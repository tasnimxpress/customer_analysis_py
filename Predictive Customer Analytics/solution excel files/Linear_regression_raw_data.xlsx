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e\Desktop\PCA\"/>
    </mc:Choice>
  </mc:AlternateContent>
  <xr:revisionPtr revIDLastSave="0" documentId="13_ncr:9_{387713D5-6A1A-4471-A265-6C60EB1EE539}" xr6:coauthVersionLast="47" xr6:coauthVersionMax="47" xr10:uidLastSave="{00000000-0000-0000-0000-000000000000}"/>
  <bookViews>
    <workbookView xWindow="-108" yWindow="-108" windowWidth="23256" windowHeight="12456" activeTab="3" xr2:uid="{B8D222AA-B624-4403-9AC8-E06728114026}"/>
  </bookViews>
  <sheets>
    <sheet name="Linear_regression_raw_data" sheetId="1" r:id="rId1"/>
    <sheet name="Sheet6" sheetId="7" r:id="rId2"/>
    <sheet name="Preprocessing" sheetId="3" r:id="rId3"/>
    <sheet name="Prediction" sheetId="9" r:id="rId4"/>
  </sheets>
  <definedNames>
    <definedName name="_xlnm._FilterDatabase" localSheetId="3" hidden="1">Prediction!$A$14:$Q$1014</definedName>
  </definedNames>
  <calcPr calcId="0"/>
</workbook>
</file>

<file path=xl/calcChain.xml><?xml version="1.0" encoding="utf-8"?>
<calcChain xmlns="http://schemas.openxmlformats.org/spreadsheetml/2006/main">
  <c r="F217" i="9" l="1"/>
  <c r="F495" i="9"/>
  <c r="F697" i="9"/>
  <c r="F21" i="9"/>
  <c r="F962" i="9"/>
  <c r="F147" i="9"/>
  <c r="F307" i="9"/>
  <c r="F477" i="9"/>
  <c r="F799" i="9"/>
  <c r="F840" i="9"/>
  <c r="F398" i="9"/>
  <c r="F244" i="9"/>
  <c r="F542" i="9"/>
  <c r="F807" i="9"/>
  <c r="F149" i="9"/>
  <c r="F908" i="9"/>
  <c r="F901" i="9"/>
  <c r="F130" i="9"/>
  <c r="F906" i="9"/>
  <c r="F300" i="9"/>
  <c r="F49" i="9"/>
  <c r="F863" i="9"/>
  <c r="F194" i="9"/>
  <c r="F452" i="9"/>
  <c r="F659" i="9"/>
  <c r="F778" i="9"/>
  <c r="F144" i="9"/>
  <c r="F354" i="9"/>
  <c r="F804" i="9"/>
  <c r="F835" i="9"/>
  <c r="F954" i="9"/>
  <c r="F834" i="9"/>
  <c r="F138" i="9"/>
  <c r="F313" i="9"/>
  <c r="F728" i="9"/>
  <c r="F461" i="9"/>
  <c r="F1011" i="9"/>
  <c r="F375" i="9"/>
  <c r="F172" i="9"/>
  <c r="F114" i="9"/>
  <c r="F534" i="9"/>
  <c r="F150" i="9"/>
  <c r="F93" i="9"/>
  <c r="F322" i="9"/>
  <c r="F87" i="9"/>
  <c r="F209" i="9"/>
  <c r="F989" i="9"/>
  <c r="F670" i="9"/>
  <c r="F44" i="9"/>
  <c r="F852" i="9"/>
  <c r="F717" i="9"/>
  <c r="F743" i="9"/>
  <c r="F38" i="9"/>
  <c r="F355" i="9"/>
  <c r="F250" i="9"/>
  <c r="F806" i="9"/>
  <c r="F192" i="9"/>
  <c r="F383" i="9"/>
  <c r="F553" i="9"/>
  <c r="F529" i="9"/>
  <c r="F533" i="9"/>
  <c r="F424" i="9"/>
  <c r="F675" i="9"/>
  <c r="F891" i="9"/>
  <c r="F358" i="9"/>
  <c r="F22" i="9"/>
  <c r="F567" i="9"/>
  <c r="F212" i="9"/>
  <c r="F577" i="9"/>
  <c r="F706" i="9"/>
  <c r="F174" i="9"/>
  <c r="F785" i="9"/>
  <c r="F735" i="9"/>
  <c r="F766" i="9"/>
  <c r="F16" i="9"/>
  <c r="F957" i="9"/>
  <c r="F186" i="9"/>
  <c r="F623" i="9"/>
  <c r="F328" i="9"/>
  <c r="F72" i="9"/>
  <c r="F102" i="9"/>
  <c r="F574" i="9"/>
  <c r="F731" i="9"/>
  <c r="F491" i="9"/>
  <c r="F512" i="9"/>
  <c r="F667" i="9"/>
  <c r="F299" i="9"/>
  <c r="F339" i="9"/>
  <c r="F166" i="9"/>
  <c r="F264" i="9"/>
  <c r="F188" i="9"/>
  <c r="F263" i="9"/>
  <c r="F103" i="9"/>
  <c r="F734" i="9"/>
  <c r="F54" i="9"/>
  <c r="F707" i="9"/>
  <c r="F426" i="9"/>
  <c r="F158" i="9"/>
  <c r="F45" i="9"/>
  <c r="F213" i="9"/>
  <c r="F513" i="9"/>
  <c r="F966" i="9"/>
  <c r="F971" i="9"/>
  <c r="F119" i="9"/>
  <c r="F344" i="9"/>
  <c r="F823" i="9"/>
  <c r="F386" i="9"/>
  <c r="F591" i="9"/>
  <c r="F251" i="9"/>
  <c r="F222" i="9"/>
  <c r="F709" i="9"/>
  <c r="F56" i="9"/>
  <c r="F711" i="9"/>
  <c r="F319" i="9"/>
  <c r="F984" i="9"/>
  <c r="F761" i="9"/>
  <c r="F683" i="9"/>
  <c r="F210" i="9"/>
  <c r="F720" i="9"/>
  <c r="F499" i="9"/>
  <c r="F131" i="9"/>
  <c r="F943" i="9"/>
  <c r="F359" i="9"/>
  <c r="F81" i="9"/>
  <c r="F633" i="9"/>
  <c r="F628" i="9"/>
  <c r="F445" i="9"/>
  <c r="F273" i="9"/>
  <c r="F163" i="9"/>
  <c r="F696" i="9"/>
  <c r="F775" i="9"/>
  <c r="F968" i="9"/>
  <c r="F860" i="9"/>
  <c r="F446" i="9"/>
  <c r="F530" i="9"/>
  <c r="F830" i="9"/>
  <c r="F969" i="9"/>
  <c r="F289" i="9"/>
  <c r="F774" i="9"/>
  <c r="F326" i="9"/>
  <c r="F540" i="9"/>
  <c r="F482" i="9"/>
  <c r="F964" i="9"/>
  <c r="F463" i="9"/>
  <c r="F956" i="9"/>
  <c r="F71" i="9"/>
  <c r="F388" i="9"/>
  <c r="F338" i="9"/>
  <c r="F556" i="9"/>
  <c r="F430" i="9"/>
  <c r="F195" i="9"/>
  <c r="F907" i="9"/>
  <c r="F357" i="9"/>
  <c r="F914" i="9"/>
  <c r="F955" i="9"/>
  <c r="F654" i="9"/>
  <c r="F691" i="9"/>
  <c r="F582" i="9"/>
  <c r="F708" i="9"/>
  <c r="F864" i="9"/>
  <c r="F632" i="9"/>
  <c r="F733" i="9"/>
  <c r="F883" i="9"/>
  <c r="F136" i="9"/>
  <c r="F142" i="9"/>
  <c r="F341" i="9"/>
  <c r="F722" i="9"/>
  <c r="F160" i="9"/>
  <c r="F714" i="9"/>
  <c r="F770" i="9"/>
  <c r="F409" i="9"/>
  <c r="F704" i="9"/>
  <c r="F62" i="9"/>
  <c r="F506" i="9"/>
  <c r="F614" i="9"/>
  <c r="F701" i="9"/>
  <c r="F887" i="9"/>
  <c r="F599" i="9"/>
  <c r="F573" i="9"/>
  <c r="F716" i="9"/>
  <c r="F232" i="9"/>
  <c r="F413" i="9"/>
  <c r="F257" i="9"/>
  <c r="F129" i="9"/>
  <c r="F927" i="9"/>
  <c r="F600" i="9"/>
  <c r="F797" i="9"/>
  <c r="F247" i="9"/>
  <c r="F963" i="9"/>
  <c r="F508" i="9"/>
  <c r="F609" i="9"/>
  <c r="F425" i="9"/>
  <c r="F385" i="9"/>
  <c r="F248" i="9"/>
  <c r="F311" i="9"/>
  <c r="F447" i="9"/>
  <c r="F215" i="9"/>
  <c r="F595" i="9"/>
  <c r="F92" i="9"/>
  <c r="F869" i="9"/>
  <c r="F612" i="9"/>
  <c r="F282" i="9"/>
  <c r="F668" i="9"/>
  <c r="F763" i="9"/>
  <c r="F412" i="9"/>
  <c r="F275" i="9"/>
  <c r="F754" i="9"/>
  <c r="F615" i="9"/>
  <c r="F96" i="9"/>
  <c r="F214" i="9"/>
  <c r="F254" i="9"/>
  <c r="F223" i="9"/>
  <c r="F587" i="9"/>
  <c r="F433" i="9"/>
  <c r="F795" i="9"/>
  <c r="F635" i="9"/>
  <c r="F649" i="9"/>
  <c r="F674" i="9"/>
  <c r="F117" i="9"/>
  <c r="F65" i="9"/>
  <c r="F46" i="9"/>
  <c r="F911" i="9"/>
  <c r="F90" i="9"/>
  <c r="F519" i="9"/>
  <c r="F373" i="9"/>
  <c r="F948" i="9"/>
  <c r="F671" i="9"/>
  <c r="F974" i="9"/>
  <c r="F380" i="9"/>
  <c r="F620" i="9"/>
  <c r="F842" i="9"/>
  <c r="F972" i="9"/>
  <c r="F203" i="9"/>
  <c r="F578" i="9"/>
  <c r="F169" i="9"/>
  <c r="F146" i="9"/>
  <c r="F850" i="9"/>
  <c r="F434" i="9"/>
  <c r="F828" i="9"/>
  <c r="F926" i="9"/>
  <c r="F727" i="9"/>
  <c r="F934" i="9"/>
  <c r="F967" i="9"/>
  <c r="F196" i="9"/>
  <c r="F932" i="9"/>
  <c r="F205" i="9"/>
  <c r="F588" i="9"/>
  <c r="F135" i="9"/>
  <c r="F296" i="9"/>
  <c r="F86" i="9"/>
  <c r="F559" i="9"/>
  <c r="F833" i="9"/>
  <c r="F576" i="9"/>
  <c r="F473" i="9"/>
  <c r="F998" i="9"/>
  <c r="F749" i="9"/>
  <c r="F986" i="9"/>
  <c r="F246" i="9"/>
  <c r="F374" i="9"/>
  <c r="F520" i="9"/>
  <c r="F284" i="9"/>
  <c r="F427" i="9"/>
  <c r="F912" i="9"/>
  <c r="F280" i="9"/>
  <c r="F474" i="9"/>
  <c r="F154" i="9"/>
  <c r="F993" i="9"/>
  <c r="F497" i="9"/>
  <c r="F59" i="9"/>
  <c r="F1009" i="9"/>
  <c r="F596" i="9"/>
  <c r="F504" i="9"/>
  <c r="F164" i="9"/>
  <c r="F84" i="9"/>
  <c r="F115" i="9"/>
  <c r="F880" i="9"/>
  <c r="F501" i="9"/>
  <c r="F920" i="9"/>
  <c r="F764" i="9"/>
  <c r="F961" i="9"/>
  <c r="F252" i="9"/>
  <c r="F382" i="9"/>
  <c r="F583" i="9"/>
  <c r="F876" i="9"/>
  <c r="F805" i="9"/>
  <c r="F361" i="9"/>
  <c r="F903" i="9"/>
  <c r="F124" i="9"/>
  <c r="F801" i="9"/>
  <c r="F935" i="9"/>
  <c r="F27" i="9"/>
  <c r="F179" i="9"/>
  <c r="F91" i="9"/>
  <c r="F258" i="9"/>
  <c r="F665" i="9"/>
  <c r="F750" i="9"/>
  <c r="F822" i="9"/>
  <c r="F748" i="9"/>
  <c r="F271" i="9"/>
  <c r="F818" i="9"/>
  <c r="F651" i="9"/>
  <c r="F133" i="9"/>
  <c r="F657" i="9"/>
  <c r="F561" i="9"/>
  <c r="F325" i="9"/>
  <c r="F279" i="9"/>
  <c r="F681" i="9"/>
  <c r="F958" i="9"/>
  <c r="F348" i="9"/>
  <c r="F36" i="9"/>
  <c r="F798" i="9"/>
  <c r="F109" i="9"/>
  <c r="F698" i="9"/>
  <c r="F30" i="9"/>
  <c r="F260" i="9"/>
  <c r="F1004" i="9"/>
  <c r="F636" i="9"/>
  <c r="F739" i="9"/>
  <c r="F241" i="9"/>
  <c r="F61" i="9"/>
  <c r="F790" i="9"/>
  <c r="F811" i="9"/>
  <c r="F702" i="9"/>
  <c r="F1007" i="9"/>
  <c r="F648" i="9"/>
  <c r="F181" i="9"/>
  <c r="F228" i="9"/>
  <c r="F847" i="9"/>
  <c r="F689" i="9"/>
  <c r="F101" i="9"/>
  <c r="F298" i="9"/>
  <c r="F782" i="9"/>
  <c r="F745" i="9"/>
  <c r="F52" i="9"/>
  <c r="F15" i="9"/>
  <c r="F493" i="9"/>
  <c r="F469" i="9"/>
  <c r="F845" i="9"/>
  <c r="F539" i="9"/>
  <c r="F507" i="9"/>
  <c r="F953" i="9"/>
  <c r="F460" i="9"/>
  <c r="F686" i="9"/>
  <c r="F557" i="9"/>
  <c r="F678" i="9"/>
  <c r="F929" i="9"/>
  <c r="F865" i="9"/>
  <c r="F301" i="9"/>
  <c r="F812" i="9"/>
  <c r="F692" i="9"/>
  <c r="F127" i="9"/>
  <c r="F894" i="9"/>
  <c r="F638" i="9"/>
  <c r="F60" i="9"/>
  <c r="F468" i="9"/>
  <c r="F902" i="9"/>
  <c r="F457" i="9"/>
  <c r="F814" i="9"/>
  <c r="F753" i="9"/>
  <c r="F560" i="9"/>
  <c r="F104" i="9"/>
  <c r="F825" i="9"/>
  <c r="F970" i="9"/>
  <c r="F437" i="9"/>
  <c r="F272" i="9"/>
  <c r="F975" i="9"/>
  <c r="F1014" i="9"/>
  <c r="F107" i="9"/>
  <c r="F37" i="9"/>
  <c r="F723" i="9"/>
  <c r="F404" i="9"/>
  <c r="F715" i="9"/>
  <c r="F979" i="9"/>
  <c r="F110" i="9"/>
  <c r="F471" i="9"/>
  <c r="F531" i="9"/>
  <c r="F76" i="9"/>
  <c r="F153" i="9"/>
  <c r="F629" i="9"/>
  <c r="F945" i="9"/>
  <c r="F331" i="9"/>
  <c r="F219" i="9"/>
  <c r="F849" i="9"/>
  <c r="F242" i="9"/>
  <c r="F617" i="9"/>
  <c r="F343" i="9"/>
  <c r="F449" i="9"/>
  <c r="F350" i="9"/>
  <c r="F924" i="9"/>
  <c r="F973" i="9"/>
  <c r="F713" i="9"/>
  <c r="F347" i="9"/>
  <c r="F303" i="9"/>
  <c r="F187" i="9"/>
  <c r="F165" i="9"/>
  <c r="F467" i="9"/>
  <c r="F682" i="9"/>
  <c r="F340" i="9"/>
  <c r="F985" i="9"/>
  <c r="F20" i="9"/>
  <c r="F514" i="9"/>
  <c r="F253" i="9"/>
  <c r="F744" i="9"/>
  <c r="F416" i="9"/>
  <c r="F643" i="9"/>
  <c r="F225" i="9"/>
  <c r="F475" i="9"/>
  <c r="F297" i="9"/>
  <c r="F318" i="9"/>
  <c r="F604" i="9"/>
  <c r="F494" i="9"/>
  <c r="F170" i="9"/>
  <c r="F422" i="9"/>
  <c r="F598" i="9"/>
  <c r="F485" i="9"/>
  <c r="F783" i="9"/>
  <c r="F118" i="9"/>
  <c r="F168" i="9"/>
  <c r="F898" i="9"/>
  <c r="F890" i="9"/>
  <c r="F916" i="9"/>
  <c r="F679" i="9"/>
  <c r="F25" i="9"/>
  <c r="F490" i="9"/>
  <c r="F312" i="9"/>
  <c r="F900" i="9"/>
  <c r="F837" i="9"/>
  <c r="F910" i="9"/>
  <c r="F996" i="9"/>
  <c r="F431" i="9"/>
  <c r="F261" i="9"/>
  <c r="F593" i="9"/>
  <c r="F111" i="9"/>
  <c r="F759" i="9"/>
  <c r="F762" i="9"/>
  <c r="F676" i="9"/>
  <c r="F308" i="9"/>
  <c r="F725" i="9"/>
  <c r="F235" i="9"/>
  <c r="F266" i="9"/>
  <c r="F476" i="9"/>
  <c r="F291" i="9"/>
  <c r="F925" i="9"/>
  <c r="F938" i="9"/>
  <c r="F134" i="9"/>
  <c r="F700" i="9"/>
  <c r="F626" i="9"/>
  <c r="F546" i="9"/>
  <c r="F417" i="9"/>
  <c r="F249" i="9"/>
  <c r="F481" i="9"/>
  <c r="F942" i="9"/>
  <c r="F784" i="9"/>
  <c r="F949" i="9"/>
  <c r="F106" i="9"/>
  <c r="F421" i="9"/>
  <c r="F230" i="9"/>
  <c r="F1001" i="9"/>
  <c r="F773" i="9"/>
  <c r="F677" i="9"/>
  <c r="F429" i="9"/>
  <c r="F356" i="9"/>
  <c r="F881" i="9"/>
  <c r="F353" i="9"/>
  <c r="F528" i="9"/>
  <c r="F82" i="9"/>
  <c r="F41" i="9"/>
  <c r="F792" i="9"/>
  <c r="F125" i="9"/>
  <c r="F365" i="9"/>
  <c r="F886" i="9"/>
  <c r="F435" i="9"/>
  <c r="F221" i="9"/>
  <c r="F982" i="9"/>
  <c r="F947" i="9"/>
  <c r="F603" i="9"/>
  <c r="F276" i="9"/>
  <c r="F478" i="9"/>
  <c r="F859" i="9"/>
  <c r="F28" i="9"/>
  <c r="F884" i="9"/>
  <c r="F897" i="9"/>
  <c r="F151" i="9"/>
  <c r="F819" i="9"/>
  <c r="F831" i="9"/>
  <c r="F590" i="9"/>
  <c r="F185" i="9"/>
  <c r="F815" i="9"/>
  <c r="F240" i="9"/>
  <c r="F565" i="9"/>
  <c r="F905" i="9"/>
  <c r="F1010" i="9"/>
  <c r="F285" i="9"/>
  <c r="F523" i="9"/>
  <c r="F844" i="9"/>
  <c r="F288" i="9"/>
  <c r="F789" i="9"/>
  <c r="F624" i="9"/>
  <c r="F922" i="9"/>
  <c r="F99" i="9"/>
  <c r="F672" i="9"/>
  <c r="F237" i="9"/>
  <c r="F650" i="9"/>
  <c r="F642" i="9"/>
  <c r="F746" i="9"/>
  <c r="F919" i="9"/>
  <c r="F644" i="9"/>
  <c r="F239" i="9"/>
  <c r="F270" i="9"/>
  <c r="F182" i="9"/>
  <c r="F190" i="9"/>
  <c r="F634" i="9"/>
  <c r="F1013" i="9"/>
  <c r="F810" i="9"/>
  <c r="F517" i="9"/>
  <c r="F224" i="9"/>
  <c r="F532" i="9"/>
  <c r="F895" i="9"/>
  <c r="F838" i="9"/>
  <c r="F581" i="9"/>
  <c r="F345" i="9"/>
  <c r="F991" i="9"/>
  <c r="F229" i="9"/>
  <c r="F694" i="9"/>
  <c r="F407" i="9"/>
  <c r="F381" i="9"/>
  <c r="F121" i="9"/>
  <c r="F26" i="9"/>
  <c r="F314" i="9"/>
  <c r="F710" i="9"/>
  <c r="F630" i="9"/>
  <c r="F575" i="9"/>
  <c r="F980" i="9"/>
  <c r="F423" i="9"/>
  <c r="F631" i="9"/>
  <c r="F334" i="9"/>
  <c r="F367" i="9"/>
  <c r="F545" i="9"/>
  <c r="F389" i="9"/>
  <c r="F997" i="9"/>
  <c r="F157" i="9"/>
  <c r="F977" i="9"/>
  <c r="F579" i="9"/>
  <c r="F586" i="9"/>
  <c r="F178" i="9"/>
  <c r="F496" i="9"/>
  <c r="F418" i="9"/>
  <c r="F747" i="9"/>
  <c r="F627" i="9"/>
  <c r="F793" i="9"/>
  <c r="F137" i="9"/>
  <c r="F436" i="9"/>
  <c r="F243" i="9"/>
  <c r="F611" i="9"/>
  <c r="F352" i="9"/>
  <c r="F77" i="9"/>
  <c r="F625" i="9"/>
  <c r="F976" i="9"/>
  <c r="F796" i="9"/>
  <c r="F928" i="9"/>
  <c r="F941" i="9"/>
  <c r="F443" i="9"/>
  <c r="F337" i="9"/>
  <c r="F480" i="9"/>
  <c r="F1002" i="9"/>
  <c r="F310" i="9"/>
  <c r="F34" i="9"/>
  <c r="F663" i="9"/>
  <c r="F841" i="9"/>
  <c r="F817" i="9"/>
  <c r="F112" i="9"/>
  <c r="F827" i="9"/>
  <c r="F899" i="9"/>
  <c r="F939" i="9"/>
  <c r="F589" i="9"/>
  <c r="F1012" i="9"/>
  <c r="F139" i="9"/>
  <c r="F293" i="9"/>
  <c r="F204" i="9"/>
  <c r="F287" i="9"/>
  <c r="F201" i="9"/>
  <c r="F824" i="9"/>
  <c r="F191" i="9"/>
  <c r="F760" i="9"/>
  <c r="F73" i="9"/>
  <c r="F771" i="9"/>
  <c r="F401" i="9"/>
  <c r="F268" i="9"/>
  <c r="F597" i="9"/>
  <c r="F362" i="9"/>
  <c r="F803" i="9"/>
  <c r="F832" i="9"/>
  <c r="F290" i="9"/>
  <c r="F521" i="9"/>
  <c r="F171" i="9"/>
  <c r="F641" i="9"/>
  <c r="F441" i="9"/>
  <c r="F765" i="9"/>
  <c r="F281" i="9"/>
  <c r="F198" i="9"/>
  <c r="F543" i="9"/>
  <c r="F857" i="9"/>
  <c r="F566" i="9"/>
  <c r="F685" i="9"/>
  <c r="F415" i="9"/>
  <c r="F408" i="9"/>
  <c r="F535" i="9"/>
  <c r="F55" i="9"/>
  <c r="F180" i="9"/>
  <c r="F245" i="9"/>
  <c r="F462" i="9"/>
  <c r="F738" i="9"/>
  <c r="F839" i="9"/>
  <c r="F718" i="9"/>
  <c r="F262" i="9"/>
  <c r="F788" i="9"/>
  <c r="F384" i="9"/>
  <c r="F821" i="9"/>
  <c r="F35" i="9"/>
  <c r="F369" i="9"/>
  <c r="F1000" i="9"/>
  <c r="F616" i="9"/>
  <c r="F664" i="9"/>
  <c r="F414" i="9"/>
  <c r="F206" i="9"/>
  <c r="F79" i="9"/>
  <c r="F522" i="9"/>
  <c r="F200" i="9"/>
  <c r="F732" i="9"/>
  <c r="F156" i="9"/>
  <c r="F167" i="9"/>
  <c r="F740" i="9"/>
  <c r="F791" i="9"/>
  <c r="F459" i="9"/>
  <c r="F234" i="9"/>
  <c r="F893" i="9"/>
  <c r="F397" i="9"/>
  <c r="F448" i="9"/>
  <c r="F755" i="9"/>
  <c r="F937" i="9"/>
  <c r="F295" i="9"/>
  <c r="F306" i="9"/>
  <c r="F510" i="9"/>
  <c r="F772" i="9"/>
  <c r="F98" i="9"/>
  <c r="F283" i="9"/>
  <c r="F400" i="9"/>
  <c r="F233" i="9"/>
  <c r="F594" i="9"/>
  <c r="F915" i="9"/>
  <c r="F868" i="9"/>
  <c r="F450" i="9"/>
  <c r="F779" i="9"/>
  <c r="F653" i="9"/>
  <c r="F684" i="9"/>
  <c r="F538" i="9"/>
  <c r="F364" i="9"/>
  <c r="F605" i="9"/>
  <c r="F366" i="9"/>
  <c r="F960" i="9"/>
  <c r="F726" i="9"/>
  <c r="F394" i="9"/>
  <c r="F959" i="9"/>
  <c r="F699" i="9"/>
  <c r="F94" i="9"/>
  <c r="F50" i="9"/>
  <c r="F349" i="9"/>
  <c r="F492" i="9"/>
  <c r="F332" i="9"/>
  <c r="F148" i="9"/>
  <c r="F97" i="9"/>
  <c r="F866" i="9"/>
  <c r="F931" i="9"/>
  <c r="F572" i="9"/>
  <c r="F116" i="9"/>
  <c r="F207" i="9"/>
  <c r="F800" i="9"/>
  <c r="F189" i="9"/>
  <c r="F637" i="9"/>
  <c r="F950" i="9"/>
  <c r="F145" i="9"/>
  <c r="F658" i="9"/>
  <c r="F368" i="9"/>
  <c r="F767" i="9"/>
  <c r="F323" i="9"/>
  <c r="F39" i="9"/>
  <c r="F226" i="9"/>
  <c r="F862" i="9"/>
  <c r="F585" i="9"/>
  <c r="F438" i="9"/>
  <c r="F990" i="9"/>
  <c r="F889" i="9"/>
  <c r="F360" i="9"/>
  <c r="F193" i="9"/>
  <c r="F820" i="9"/>
  <c r="F488" i="9"/>
  <c r="F563" i="9"/>
  <c r="F936" i="9"/>
  <c r="F372" i="9"/>
  <c r="F64" i="9"/>
  <c r="F724" i="9"/>
  <c r="F176" i="9"/>
  <c r="F550" i="9"/>
  <c r="F75" i="9"/>
  <c r="F70" i="9"/>
  <c r="F88" i="9"/>
  <c r="F562" i="9"/>
  <c r="F48" i="9"/>
  <c r="F63" i="9"/>
  <c r="F274" i="9"/>
  <c r="F440" i="9"/>
  <c r="F548" i="9"/>
  <c r="F184" i="9"/>
  <c r="F208" i="9"/>
  <c r="F569" i="9"/>
  <c r="F673" i="9"/>
  <c r="F197" i="9"/>
  <c r="F80" i="9"/>
  <c r="F1005" i="9"/>
  <c r="F885" i="9"/>
  <c r="F43" i="9"/>
  <c r="F882" i="9"/>
  <c r="F995" i="9"/>
  <c r="F351" i="9"/>
  <c r="F858" i="9"/>
  <c r="F479" i="9"/>
  <c r="F410" i="9"/>
  <c r="F647" i="9"/>
  <c r="F613" i="9"/>
  <c r="F278" i="9"/>
  <c r="F584" i="9"/>
  <c r="F453" i="9"/>
  <c r="F227" i="9"/>
  <c r="F128" i="9"/>
  <c r="F741" i="9"/>
  <c r="F202" i="9"/>
  <c r="F405" i="9"/>
  <c r="F500" i="9"/>
  <c r="F756" i="9"/>
  <c r="F420" i="9"/>
  <c r="F875" i="9"/>
  <c r="F752" i="9"/>
  <c r="F419" i="9"/>
  <c r="F458" i="9"/>
  <c r="F652" i="9"/>
  <c r="F428" i="9"/>
  <c r="F399" i="9"/>
  <c r="F525" i="9"/>
  <c r="F444" i="9"/>
  <c r="F730" i="9"/>
  <c r="F346" i="9"/>
  <c r="F105" i="9"/>
  <c r="F854" i="9"/>
  <c r="F89" i="9"/>
  <c r="F873" i="9"/>
  <c r="F846" i="9"/>
  <c r="F100" i="9"/>
  <c r="F47" i="9"/>
  <c r="F703" i="9"/>
  <c r="F987" i="9"/>
  <c r="F255" i="9"/>
  <c r="F552" i="9"/>
  <c r="F1006" i="9"/>
  <c r="F470" i="9"/>
  <c r="F387" i="9"/>
  <c r="F558" i="9"/>
  <c r="F544" i="9"/>
  <c r="F777" i="9"/>
  <c r="F439" i="9"/>
  <c r="F402" i="9"/>
  <c r="F619" i="9"/>
  <c r="F132" i="9"/>
  <c r="F68" i="9"/>
  <c r="F67" i="9"/>
  <c r="F152" i="9"/>
  <c r="F536" i="9"/>
  <c r="F516" i="9"/>
  <c r="F183" i="9"/>
  <c r="F411" i="9"/>
  <c r="F1003" i="9"/>
  <c r="F305" i="9"/>
  <c r="F108" i="9"/>
  <c r="F33" i="9"/>
  <c r="F18" i="9"/>
  <c r="F392" i="9"/>
  <c r="F808" i="9"/>
  <c r="F456" i="9"/>
  <c r="F992" i="9"/>
  <c r="F395" i="9"/>
  <c r="F378" i="9"/>
  <c r="F465" i="9"/>
  <c r="F511" i="9"/>
  <c r="F487" i="9"/>
  <c r="F162" i="9"/>
  <c r="F952" i="9"/>
  <c r="F802" i="9"/>
  <c r="F737" i="9"/>
  <c r="F554" i="9"/>
  <c r="F606" i="9"/>
  <c r="F85" i="9"/>
  <c r="F498" i="9"/>
  <c r="F874" i="9"/>
  <c r="F809" i="9"/>
  <c r="F120" i="9"/>
  <c r="F843" i="9"/>
  <c r="F363" i="9"/>
  <c r="F69" i="9"/>
  <c r="F622" i="9"/>
  <c r="F639" i="9"/>
  <c r="F342" i="9"/>
  <c r="F768" i="9"/>
  <c r="F836" i="9"/>
  <c r="F515" i="9"/>
  <c r="F826" i="9"/>
  <c r="F524" i="9"/>
  <c r="F199" i="9"/>
  <c r="F829" i="9"/>
  <c r="F486" i="9"/>
  <c r="F58" i="9"/>
  <c r="F140" i="9"/>
  <c r="F143" i="9"/>
  <c r="F269" i="9"/>
  <c r="F159" i="9"/>
  <c r="F923" i="9"/>
  <c r="F871" i="9"/>
  <c r="F66" i="9"/>
  <c r="F454" i="9"/>
  <c r="F211" i="9"/>
  <c r="F994" i="9"/>
  <c r="F816" i="9"/>
  <c r="F913" i="9"/>
  <c r="F978" i="9"/>
  <c r="F856" i="9"/>
  <c r="F690" i="9"/>
  <c r="F155" i="9"/>
  <c r="F336" i="9"/>
  <c r="F370" i="9"/>
  <c r="F406" i="9"/>
  <c r="F294" i="9"/>
  <c r="F693" i="9"/>
  <c r="F1008" i="9"/>
  <c r="F267" i="9"/>
  <c r="F371" i="9"/>
  <c r="F29" i="9"/>
  <c r="F393" i="9"/>
  <c r="F549" i="9"/>
  <c r="F660" i="9"/>
  <c r="F951" i="9"/>
  <c r="F896" i="9"/>
  <c r="F656" i="9"/>
  <c r="F537" i="9"/>
  <c r="F503" i="9"/>
  <c r="F19" i="9"/>
  <c r="F173" i="9"/>
  <c r="F390" i="9"/>
  <c r="F917" i="9"/>
  <c r="F618" i="9"/>
  <c r="F601" i="9"/>
  <c r="F113" i="9"/>
  <c r="F466" i="9"/>
  <c r="F870" i="9"/>
  <c r="F757" i="9"/>
  <c r="F83" i="9"/>
  <c r="F946" i="9"/>
  <c r="F541" i="9"/>
  <c r="F655" i="9"/>
  <c r="F218" i="9"/>
  <c r="F220" i="9"/>
  <c r="F712" i="9"/>
  <c r="F379" i="9"/>
  <c r="F666" i="9"/>
  <c r="F892" i="9"/>
  <c r="F551" i="9"/>
  <c r="F396" i="9"/>
  <c r="F526" i="9"/>
  <c r="F442" i="9"/>
  <c r="F455" i="9"/>
  <c r="F309" i="9"/>
  <c r="F24" i="9"/>
  <c r="F921" i="9"/>
  <c r="F315" i="9"/>
  <c r="F571" i="9"/>
  <c r="F464" i="9"/>
  <c r="F687" i="9"/>
  <c r="F547" i="9"/>
  <c r="F277" i="9"/>
  <c r="F758" i="9"/>
  <c r="F602" i="9"/>
  <c r="F872" i="9"/>
  <c r="F527" i="9"/>
  <c r="F861" i="9"/>
  <c r="F231" i="9"/>
  <c r="F23" i="9"/>
  <c r="F286" i="9"/>
  <c r="F51" i="9"/>
  <c r="F126" i="9"/>
  <c r="F878" i="9"/>
  <c r="F751" i="9"/>
  <c r="F302" i="9"/>
  <c r="F848" i="9"/>
  <c r="F505" i="9"/>
  <c r="F877" i="9"/>
  <c r="F216" i="9"/>
  <c r="F867" i="9"/>
  <c r="F391" i="9"/>
  <c r="F555" i="9"/>
  <c r="F324" i="9"/>
  <c r="F781" i="9"/>
  <c r="F256" i="9"/>
  <c r="F141" i="9"/>
  <c r="F981" i="9"/>
  <c r="F74" i="9"/>
  <c r="F32" i="9"/>
  <c r="F608" i="9"/>
  <c r="F123" i="9"/>
  <c r="F483" i="9"/>
  <c r="F335" i="9"/>
  <c r="F330" i="9"/>
  <c r="F518" i="9"/>
  <c r="F472" i="9"/>
  <c r="F40" i="9"/>
  <c r="F53" i="9"/>
  <c r="F376" i="9"/>
  <c r="F580" i="9"/>
  <c r="F316" i="9"/>
  <c r="F317" i="9"/>
  <c r="F329" i="9"/>
  <c r="F177" i="9"/>
  <c r="F31" i="9"/>
  <c r="F304" i="9"/>
  <c r="F592" i="9"/>
  <c r="F851" i="9"/>
  <c r="F502" i="9"/>
  <c r="F327" i="9"/>
  <c r="F238" i="9"/>
  <c r="F933" i="9"/>
  <c r="F377" i="9"/>
  <c r="F333" i="9"/>
  <c r="F695" i="9"/>
  <c r="F794" i="9"/>
  <c r="F570" i="9"/>
  <c r="F610" i="9"/>
  <c r="F661" i="9"/>
  <c r="F780" i="9"/>
  <c r="F786" i="9"/>
  <c r="F721" i="9"/>
  <c r="F484" i="9"/>
  <c r="F451" i="9"/>
  <c r="F705" i="9"/>
  <c r="F904" i="9"/>
  <c r="F680" i="9"/>
  <c r="F879" i="9"/>
  <c r="F719" i="9"/>
  <c r="F57" i="9"/>
  <c r="F909" i="9"/>
  <c r="F607" i="9"/>
  <c r="F265" i="9"/>
  <c r="F432" i="9"/>
  <c r="F940" i="9"/>
  <c r="F568" i="9"/>
  <c r="F122" i="9"/>
  <c r="F95" i="9"/>
  <c r="F965" i="9"/>
  <c r="F640" i="9"/>
  <c r="F509" i="9"/>
  <c r="F236" i="9"/>
  <c r="F944" i="9"/>
  <c r="F175" i="9"/>
  <c r="F988" i="9"/>
  <c r="F853" i="9"/>
  <c r="F489" i="9"/>
  <c r="P489" i="9" s="1"/>
  <c r="Q489" i="9" s="1"/>
  <c r="F983" i="9"/>
  <c r="F621" i="9"/>
  <c r="F918" i="9"/>
  <c r="F787" i="9"/>
  <c r="F729" i="9"/>
  <c r="F888" i="9"/>
  <c r="F161" i="9"/>
  <c r="F669" i="9"/>
  <c r="P669" i="9" s="1"/>
  <c r="Q669" i="9" s="1"/>
  <c r="F17" i="9"/>
  <c r="F930" i="9"/>
  <c r="F662" i="9"/>
  <c r="F564" i="9"/>
  <c r="F320" i="9"/>
  <c r="F855" i="9"/>
  <c r="F688" i="9"/>
  <c r="F813" i="9"/>
  <c r="P813" i="9" s="1"/>
  <c r="Q813" i="9" s="1"/>
  <c r="F403" i="9"/>
  <c r="F321" i="9"/>
  <c r="F42" i="9"/>
  <c r="F999" i="9"/>
  <c r="F292" i="9"/>
  <c r="F646" i="9"/>
  <c r="F742" i="9"/>
  <c r="F78" i="9"/>
  <c r="P78" i="9" s="1"/>
  <c r="Q78" i="9" s="1"/>
  <c r="F736" i="9"/>
  <c r="F776" i="9"/>
  <c r="F645" i="9"/>
  <c r="F259" i="9"/>
  <c r="F769" i="9"/>
  <c r="K259" i="9"/>
  <c r="J259" i="9"/>
  <c r="K645" i="9"/>
  <c r="J645" i="9"/>
  <c r="K776" i="9"/>
  <c r="J776" i="9"/>
  <c r="K736" i="9"/>
  <c r="J736" i="9"/>
  <c r="K78" i="9"/>
  <c r="J78" i="9"/>
  <c r="K742" i="9"/>
  <c r="J742" i="9"/>
  <c r="K646" i="9"/>
  <c r="J646" i="9"/>
  <c r="K292" i="9"/>
  <c r="J292" i="9"/>
  <c r="K999" i="9"/>
  <c r="J999" i="9"/>
  <c r="K42" i="9"/>
  <c r="J42" i="9"/>
  <c r="K321" i="9"/>
  <c r="J321" i="9"/>
  <c r="K403" i="9"/>
  <c r="J403" i="9"/>
  <c r="K813" i="9"/>
  <c r="J813" i="9"/>
  <c r="K688" i="9"/>
  <c r="J688" i="9"/>
  <c r="K855" i="9"/>
  <c r="J855" i="9"/>
  <c r="K320" i="9"/>
  <c r="J320" i="9"/>
  <c r="K564" i="9"/>
  <c r="J564" i="9"/>
  <c r="K662" i="9"/>
  <c r="J662" i="9"/>
  <c r="K930" i="9"/>
  <c r="J930" i="9"/>
  <c r="K17" i="9"/>
  <c r="J17" i="9"/>
  <c r="K669" i="9"/>
  <c r="J669" i="9"/>
  <c r="K161" i="9"/>
  <c r="J161" i="9"/>
  <c r="K888" i="9"/>
  <c r="J888" i="9"/>
  <c r="K729" i="9"/>
  <c r="J729" i="9"/>
  <c r="K787" i="9"/>
  <c r="J787" i="9"/>
  <c r="K918" i="9"/>
  <c r="J918" i="9"/>
  <c r="K621" i="9"/>
  <c r="J621" i="9"/>
  <c r="K983" i="9"/>
  <c r="J983" i="9"/>
  <c r="K489" i="9"/>
  <c r="J489" i="9"/>
  <c r="K853" i="9"/>
  <c r="J853" i="9"/>
  <c r="K988" i="9"/>
  <c r="J988" i="9"/>
  <c r="K175" i="9"/>
  <c r="J175" i="9"/>
  <c r="K944" i="9"/>
  <c r="J944" i="9"/>
  <c r="K236" i="9"/>
  <c r="J236" i="9"/>
  <c r="K509" i="9"/>
  <c r="J509" i="9"/>
  <c r="K640" i="9"/>
  <c r="J640" i="9"/>
  <c r="K965" i="9"/>
  <c r="J965" i="9"/>
  <c r="K95" i="9"/>
  <c r="J95" i="9"/>
  <c r="K122" i="9"/>
  <c r="J122" i="9"/>
  <c r="K568" i="9"/>
  <c r="J568" i="9"/>
  <c r="K940" i="9"/>
  <c r="J940" i="9"/>
  <c r="K432" i="9"/>
  <c r="J432" i="9"/>
  <c r="K265" i="9"/>
  <c r="J265" i="9"/>
  <c r="K607" i="9"/>
  <c r="J607" i="9"/>
  <c r="K909" i="9"/>
  <c r="J909" i="9"/>
  <c r="K57" i="9"/>
  <c r="J57" i="9"/>
  <c r="K719" i="9"/>
  <c r="J719" i="9"/>
  <c r="K879" i="9"/>
  <c r="J879" i="9"/>
  <c r="K680" i="9"/>
  <c r="J680" i="9"/>
  <c r="K904" i="9"/>
  <c r="J904" i="9"/>
  <c r="K705" i="9"/>
  <c r="J705" i="9"/>
  <c r="K451" i="9"/>
  <c r="J451" i="9"/>
  <c r="K484" i="9"/>
  <c r="J484" i="9"/>
  <c r="K721" i="9"/>
  <c r="J721" i="9"/>
  <c r="K786" i="9"/>
  <c r="J786" i="9"/>
  <c r="K780" i="9"/>
  <c r="J780" i="9"/>
  <c r="K661" i="9"/>
  <c r="J661" i="9"/>
  <c r="K610" i="9"/>
  <c r="J610" i="9"/>
  <c r="K570" i="9"/>
  <c r="J570" i="9"/>
  <c r="K794" i="9"/>
  <c r="J794" i="9"/>
  <c r="K695" i="9"/>
  <c r="J695" i="9"/>
  <c r="K333" i="9"/>
  <c r="J333" i="9"/>
  <c r="K377" i="9"/>
  <c r="J377" i="9"/>
  <c r="K933" i="9"/>
  <c r="J933" i="9"/>
  <c r="K238" i="9"/>
  <c r="J238" i="9"/>
  <c r="K327" i="9"/>
  <c r="J327" i="9"/>
  <c r="K502" i="9"/>
  <c r="J502" i="9"/>
  <c r="K851" i="9"/>
  <c r="J851" i="9"/>
  <c r="K592" i="9"/>
  <c r="J592" i="9"/>
  <c r="K304" i="9"/>
  <c r="J304" i="9"/>
  <c r="K31" i="9"/>
  <c r="J31" i="9"/>
  <c r="K177" i="9"/>
  <c r="J177" i="9"/>
  <c r="K329" i="9"/>
  <c r="J329" i="9"/>
  <c r="K317" i="9"/>
  <c r="J317" i="9"/>
  <c r="K316" i="9"/>
  <c r="J316" i="9"/>
  <c r="K580" i="9"/>
  <c r="J580" i="9"/>
  <c r="K376" i="9"/>
  <c r="J376" i="9"/>
  <c r="K53" i="9"/>
  <c r="J53" i="9"/>
  <c r="K40" i="9"/>
  <c r="J40" i="9"/>
  <c r="K472" i="9"/>
  <c r="J472" i="9"/>
  <c r="K518" i="9"/>
  <c r="J518" i="9"/>
  <c r="K330" i="9"/>
  <c r="J330" i="9"/>
  <c r="K335" i="9"/>
  <c r="J335" i="9"/>
  <c r="K483" i="9"/>
  <c r="J483" i="9"/>
  <c r="K123" i="9"/>
  <c r="J123" i="9"/>
  <c r="K608" i="9"/>
  <c r="J608" i="9"/>
  <c r="K32" i="9"/>
  <c r="J32" i="9"/>
  <c r="K74" i="9"/>
  <c r="J74" i="9"/>
  <c r="K981" i="9"/>
  <c r="J981" i="9"/>
  <c r="K141" i="9"/>
  <c r="J141" i="9"/>
  <c r="K256" i="9"/>
  <c r="J256" i="9"/>
  <c r="K781" i="9"/>
  <c r="J781" i="9"/>
  <c r="K324" i="9"/>
  <c r="J324" i="9"/>
  <c r="K555" i="9"/>
  <c r="J555" i="9"/>
  <c r="K391" i="9"/>
  <c r="J391" i="9"/>
  <c r="K867" i="9"/>
  <c r="J867" i="9"/>
  <c r="K216" i="9"/>
  <c r="J216" i="9"/>
  <c r="K877" i="9"/>
  <c r="J877" i="9"/>
  <c r="K505" i="9"/>
  <c r="J505" i="9"/>
  <c r="K848" i="9"/>
  <c r="J848" i="9"/>
  <c r="K302" i="9"/>
  <c r="J302" i="9"/>
  <c r="K751" i="9"/>
  <c r="J751" i="9"/>
  <c r="K878" i="9"/>
  <c r="J878" i="9"/>
  <c r="K126" i="9"/>
  <c r="J126" i="9"/>
  <c r="K51" i="9"/>
  <c r="J51" i="9"/>
  <c r="K286" i="9"/>
  <c r="J286" i="9"/>
  <c r="K23" i="9"/>
  <c r="J23" i="9"/>
  <c r="K231" i="9"/>
  <c r="J231" i="9"/>
  <c r="K861" i="9"/>
  <c r="J861" i="9"/>
  <c r="K527" i="9"/>
  <c r="J527" i="9"/>
  <c r="K872" i="9"/>
  <c r="J872" i="9"/>
  <c r="K602" i="9"/>
  <c r="J602" i="9"/>
  <c r="K758" i="9"/>
  <c r="J758" i="9"/>
  <c r="K277" i="9"/>
  <c r="J277" i="9"/>
  <c r="K547" i="9"/>
  <c r="J547" i="9"/>
  <c r="K687" i="9"/>
  <c r="J687" i="9"/>
  <c r="K464" i="9"/>
  <c r="J464" i="9"/>
  <c r="K571" i="9"/>
  <c r="J571" i="9"/>
  <c r="K315" i="9"/>
  <c r="J315" i="9"/>
  <c r="K921" i="9"/>
  <c r="J921" i="9"/>
  <c r="K24" i="9"/>
  <c r="J24" i="9"/>
  <c r="K309" i="9"/>
  <c r="J309" i="9"/>
  <c r="K455" i="9"/>
  <c r="J455" i="9"/>
  <c r="K442" i="9"/>
  <c r="J442" i="9"/>
  <c r="K526" i="9"/>
  <c r="J526" i="9"/>
  <c r="K396" i="9"/>
  <c r="J396" i="9"/>
  <c r="K551" i="9"/>
  <c r="J551" i="9"/>
  <c r="K892" i="9"/>
  <c r="J892" i="9"/>
  <c r="K666" i="9"/>
  <c r="J666" i="9"/>
  <c r="K379" i="9"/>
  <c r="J379" i="9"/>
  <c r="K712" i="9"/>
  <c r="J712" i="9"/>
  <c r="K220" i="9"/>
  <c r="J220" i="9"/>
  <c r="K218" i="9"/>
  <c r="J218" i="9"/>
  <c r="K655" i="9"/>
  <c r="J655" i="9"/>
  <c r="K541" i="9"/>
  <c r="J541" i="9"/>
  <c r="K946" i="9"/>
  <c r="J946" i="9"/>
  <c r="K83" i="9"/>
  <c r="J83" i="9"/>
  <c r="K757" i="9"/>
  <c r="J757" i="9"/>
  <c r="K870" i="9"/>
  <c r="J870" i="9"/>
  <c r="K466" i="9"/>
  <c r="J466" i="9"/>
  <c r="K113" i="9"/>
  <c r="J113" i="9"/>
  <c r="K601" i="9"/>
  <c r="J601" i="9"/>
  <c r="K618" i="9"/>
  <c r="J618" i="9"/>
  <c r="K917" i="9"/>
  <c r="J917" i="9"/>
  <c r="K390" i="9"/>
  <c r="J390" i="9"/>
  <c r="K173" i="9"/>
  <c r="J173" i="9"/>
  <c r="K19" i="9"/>
  <c r="J19" i="9"/>
  <c r="K503" i="9"/>
  <c r="J503" i="9"/>
  <c r="K537" i="9"/>
  <c r="J537" i="9"/>
  <c r="K656" i="9"/>
  <c r="J656" i="9"/>
  <c r="K896" i="9"/>
  <c r="J896" i="9"/>
  <c r="K951" i="9"/>
  <c r="J951" i="9"/>
  <c r="K660" i="9"/>
  <c r="J660" i="9"/>
  <c r="K549" i="9"/>
  <c r="J549" i="9"/>
  <c r="K393" i="9"/>
  <c r="J393" i="9"/>
  <c r="K29" i="9"/>
  <c r="J29" i="9"/>
  <c r="K371" i="9"/>
  <c r="J371" i="9"/>
  <c r="K267" i="9"/>
  <c r="J267" i="9"/>
  <c r="K1008" i="9"/>
  <c r="J1008" i="9"/>
  <c r="K693" i="9"/>
  <c r="J693" i="9"/>
  <c r="K294" i="9"/>
  <c r="J294" i="9"/>
  <c r="K406" i="9"/>
  <c r="J406" i="9"/>
  <c r="K370" i="9"/>
  <c r="J370" i="9"/>
  <c r="K336" i="9"/>
  <c r="J336" i="9"/>
  <c r="K155" i="9"/>
  <c r="J155" i="9"/>
  <c r="K690" i="9"/>
  <c r="J690" i="9"/>
  <c r="K856" i="9"/>
  <c r="J856" i="9"/>
  <c r="K978" i="9"/>
  <c r="J978" i="9"/>
  <c r="K913" i="9"/>
  <c r="J913" i="9"/>
  <c r="K816" i="9"/>
  <c r="J816" i="9"/>
  <c r="K994" i="9"/>
  <c r="J994" i="9"/>
  <c r="K211" i="9"/>
  <c r="J211" i="9"/>
  <c r="K454" i="9"/>
  <c r="J454" i="9"/>
  <c r="K66" i="9"/>
  <c r="J66" i="9"/>
  <c r="K871" i="9"/>
  <c r="J871" i="9"/>
  <c r="K923" i="9"/>
  <c r="J923" i="9"/>
  <c r="K159" i="9"/>
  <c r="J159" i="9"/>
  <c r="K269" i="9"/>
  <c r="J269" i="9"/>
  <c r="K143" i="9"/>
  <c r="J143" i="9"/>
  <c r="K140" i="9"/>
  <c r="J140" i="9"/>
  <c r="K58" i="9"/>
  <c r="J58" i="9"/>
  <c r="K486" i="9"/>
  <c r="J486" i="9"/>
  <c r="K829" i="9"/>
  <c r="J829" i="9"/>
  <c r="K199" i="9"/>
  <c r="J199" i="9"/>
  <c r="K524" i="9"/>
  <c r="J524" i="9"/>
  <c r="K826" i="9"/>
  <c r="J826" i="9"/>
  <c r="K515" i="9"/>
  <c r="J515" i="9"/>
  <c r="K836" i="9"/>
  <c r="J836" i="9"/>
  <c r="K768" i="9"/>
  <c r="J768" i="9"/>
  <c r="K342" i="9"/>
  <c r="J342" i="9"/>
  <c r="K639" i="9"/>
  <c r="J639" i="9"/>
  <c r="K622" i="9"/>
  <c r="J622" i="9"/>
  <c r="K69" i="9"/>
  <c r="J69" i="9"/>
  <c r="K363" i="9"/>
  <c r="J363" i="9"/>
  <c r="K843" i="9"/>
  <c r="J843" i="9"/>
  <c r="K120" i="9"/>
  <c r="J120" i="9"/>
  <c r="K809" i="9"/>
  <c r="J809" i="9"/>
  <c r="K874" i="9"/>
  <c r="J874" i="9"/>
  <c r="K498" i="9"/>
  <c r="J498" i="9"/>
  <c r="K85" i="9"/>
  <c r="J85" i="9"/>
  <c r="K606" i="9"/>
  <c r="J606" i="9"/>
  <c r="K554" i="9"/>
  <c r="J554" i="9"/>
  <c r="K737" i="9"/>
  <c r="J737" i="9"/>
  <c r="K802" i="9"/>
  <c r="J802" i="9"/>
  <c r="K952" i="9"/>
  <c r="J952" i="9"/>
  <c r="K162" i="9"/>
  <c r="J162" i="9"/>
  <c r="K487" i="9"/>
  <c r="J487" i="9"/>
  <c r="K511" i="9"/>
  <c r="J511" i="9"/>
  <c r="K465" i="9"/>
  <c r="J465" i="9"/>
  <c r="K378" i="9"/>
  <c r="J378" i="9"/>
  <c r="K395" i="9"/>
  <c r="J395" i="9"/>
  <c r="K992" i="9"/>
  <c r="J992" i="9"/>
  <c r="K456" i="9"/>
  <c r="J456" i="9"/>
  <c r="K808" i="9"/>
  <c r="J808" i="9"/>
  <c r="K392" i="9"/>
  <c r="J392" i="9"/>
  <c r="K18" i="9"/>
  <c r="J18" i="9"/>
  <c r="K33" i="9"/>
  <c r="J33" i="9"/>
  <c r="K108" i="9"/>
  <c r="J108" i="9"/>
  <c r="K305" i="9"/>
  <c r="J305" i="9"/>
  <c r="K1003" i="9"/>
  <c r="J1003" i="9"/>
  <c r="K411" i="9"/>
  <c r="J411" i="9"/>
  <c r="K183" i="9"/>
  <c r="J183" i="9"/>
  <c r="K516" i="9"/>
  <c r="J516" i="9"/>
  <c r="K536" i="9"/>
  <c r="J536" i="9"/>
  <c r="K152" i="9"/>
  <c r="J152" i="9"/>
  <c r="K67" i="9"/>
  <c r="J67" i="9"/>
  <c r="K68" i="9"/>
  <c r="J68" i="9"/>
  <c r="K132" i="9"/>
  <c r="J132" i="9"/>
  <c r="K619" i="9"/>
  <c r="J619" i="9"/>
  <c r="K402" i="9"/>
  <c r="J402" i="9"/>
  <c r="K439" i="9"/>
  <c r="J439" i="9"/>
  <c r="K777" i="9"/>
  <c r="J777" i="9"/>
  <c r="K544" i="9"/>
  <c r="J544" i="9"/>
  <c r="K558" i="9"/>
  <c r="J558" i="9"/>
  <c r="K387" i="9"/>
  <c r="J387" i="9"/>
  <c r="K470" i="9"/>
  <c r="J470" i="9"/>
  <c r="K1006" i="9"/>
  <c r="J1006" i="9"/>
  <c r="K552" i="9"/>
  <c r="J552" i="9"/>
  <c r="K255" i="9"/>
  <c r="J255" i="9"/>
  <c r="K987" i="9"/>
  <c r="J987" i="9"/>
  <c r="K703" i="9"/>
  <c r="J703" i="9"/>
  <c r="K47" i="9"/>
  <c r="J47" i="9"/>
  <c r="K100" i="9"/>
  <c r="J100" i="9"/>
  <c r="K846" i="9"/>
  <c r="J846" i="9"/>
  <c r="K873" i="9"/>
  <c r="J873" i="9"/>
  <c r="K89" i="9"/>
  <c r="J89" i="9"/>
  <c r="K854" i="9"/>
  <c r="J854" i="9"/>
  <c r="K105" i="9"/>
  <c r="J105" i="9"/>
  <c r="K346" i="9"/>
  <c r="J346" i="9"/>
  <c r="K730" i="9"/>
  <c r="J730" i="9"/>
  <c r="K444" i="9"/>
  <c r="J444" i="9"/>
  <c r="K525" i="9"/>
  <c r="J525" i="9"/>
  <c r="K399" i="9"/>
  <c r="J399" i="9"/>
  <c r="K428" i="9"/>
  <c r="J428" i="9"/>
  <c r="K652" i="9"/>
  <c r="J652" i="9"/>
  <c r="K458" i="9"/>
  <c r="J458" i="9"/>
  <c r="K419" i="9"/>
  <c r="J419" i="9"/>
  <c r="K752" i="9"/>
  <c r="J752" i="9"/>
  <c r="K875" i="9"/>
  <c r="J875" i="9"/>
  <c r="K420" i="9"/>
  <c r="J420" i="9"/>
  <c r="K756" i="9"/>
  <c r="J756" i="9"/>
  <c r="K500" i="9"/>
  <c r="J500" i="9"/>
  <c r="K405" i="9"/>
  <c r="J405" i="9"/>
  <c r="K202" i="9"/>
  <c r="J202" i="9"/>
  <c r="K741" i="9"/>
  <c r="J741" i="9"/>
  <c r="K128" i="9"/>
  <c r="J128" i="9"/>
  <c r="K227" i="9"/>
  <c r="J227" i="9"/>
  <c r="K453" i="9"/>
  <c r="J453" i="9"/>
  <c r="K584" i="9"/>
  <c r="J584" i="9"/>
  <c r="K278" i="9"/>
  <c r="J278" i="9"/>
  <c r="K613" i="9"/>
  <c r="J613" i="9"/>
  <c r="K647" i="9"/>
  <c r="J647" i="9"/>
  <c r="K410" i="9"/>
  <c r="J410" i="9"/>
  <c r="K479" i="9"/>
  <c r="J479" i="9"/>
  <c r="K858" i="9"/>
  <c r="J858" i="9"/>
  <c r="K351" i="9"/>
  <c r="J351" i="9"/>
  <c r="K995" i="9"/>
  <c r="J995" i="9"/>
  <c r="K882" i="9"/>
  <c r="J882" i="9"/>
  <c r="K43" i="9"/>
  <c r="J43" i="9"/>
  <c r="K885" i="9"/>
  <c r="J885" i="9"/>
  <c r="K1005" i="9"/>
  <c r="J1005" i="9"/>
  <c r="K80" i="9"/>
  <c r="J80" i="9"/>
  <c r="K197" i="9"/>
  <c r="J197" i="9"/>
  <c r="K673" i="9"/>
  <c r="J673" i="9"/>
  <c r="K569" i="9"/>
  <c r="J569" i="9"/>
  <c r="K208" i="9"/>
  <c r="J208" i="9"/>
  <c r="K184" i="9"/>
  <c r="J184" i="9"/>
  <c r="K548" i="9"/>
  <c r="J548" i="9"/>
  <c r="K440" i="9"/>
  <c r="J440" i="9"/>
  <c r="K274" i="9"/>
  <c r="J274" i="9"/>
  <c r="K63" i="9"/>
  <c r="J63" i="9"/>
  <c r="K48" i="9"/>
  <c r="J48" i="9"/>
  <c r="K562" i="9"/>
  <c r="J562" i="9"/>
  <c r="K88" i="9"/>
  <c r="J88" i="9"/>
  <c r="K70" i="9"/>
  <c r="J70" i="9"/>
  <c r="K75" i="9"/>
  <c r="J75" i="9"/>
  <c r="K550" i="9"/>
  <c r="J550" i="9"/>
  <c r="K176" i="9"/>
  <c r="J176" i="9"/>
  <c r="K724" i="9"/>
  <c r="J724" i="9"/>
  <c r="K64" i="9"/>
  <c r="J64" i="9"/>
  <c r="K372" i="9"/>
  <c r="J372" i="9"/>
  <c r="K936" i="9"/>
  <c r="J936" i="9"/>
  <c r="K563" i="9"/>
  <c r="J563" i="9"/>
  <c r="K488" i="9"/>
  <c r="J488" i="9"/>
  <c r="K820" i="9"/>
  <c r="J820" i="9"/>
  <c r="K193" i="9"/>
  <c r="J193" i="9"/>
  <c r="K360" i="9"/>
  <c r="J360" i="9"/>
  <c r="K889" i="9"/>
  <c r="J889" i="9"/>
  <c r="K990" i="9"/>
  <c r="J990" i="9"/>
  <c r="K438" i="9"/>
  <c r="J438" i="9"/>
  <c r="K585" i="9"/>
  <c r="J585" i="9"/>
  <c r="K862" i="9"/>
  <c r="J862" i="9"/>
  <c r="K226" i="9"/>
  <c r="J226" i="9"/>
  <c r="K39" i="9"/>
  <c r="J39" i="9"/>
  <c r="K323" i="9"/>
  <c r="J323" i="9"/>
  <c r="K767" i="9"/>
  <c r="J767" i="9"/>
  <c r="K368" i="9"/>
  <c r="J368" i="9"/>
  <c r="K658" i="9"/>
  <c r="J658" i="9"/>
  <c r="K145" i="9"/>
  <c r="J145" i="9"/>
  <c r="K950" i="9"/>
  <c r="J950" i="9"/>
  <c r="K637" i="9"/>
  <c r="J637" i="9"/>
  <c r="K189" i="9"/>
  <c r="J189" i="9"/>
  <c r="K800" i="9"/>
  <c r="J800" i="9"/>
  <c r="K207" i="9"/>
  <c r="J207" i="9"/>
  <c r="K116" i="9"/>
  <c r="J116" i="9"/>
  <c r="K572" i="9"/>
  <c r="J572" i="9"/>
  <c r="K931" i="9"/>
  <c r="J931" i="9"/>
  <c r="K866" i="9"/>
  <c r="J866" i="9"/>
  <c r="K97" i="9"/>
  <c r="J97" i="9"/>
  <c r="K148" i="9"/>
  <c r="J148" i="9"/>
  <c r="K332" i="9"/>
  <c r="J332" i="9"/>
  <c r="K492" i="9"/>
  <c r="J492" i="9"/>
  <c r="K349" i="9"/>
  <c r="J349" i="9"/>
  <c r="K50" i="9"/>
  <c r="J50" i="9"/>
  <c r="K94" i="9"/>
  <c r="J94" i="9"/>
  <c r="K699" i="9"/>
  <c r="J699" i="9"/>
  <c r="K959" i="9"/>
  <c r="J959" i="9"/>
  <c r="K394" i="9"/>
  <c r="J394" i="9"/>
  <c r="K726" i="9"/>
  <c r="J726" i="9"/>
  <c r="K960" i="9"/>
  <c r="J960" i="9"/>
  <c r="K366" i="9"/>
  <c r="J366" i="9"/>
  <c r="K605" i="9"/>
  <c r="J605" i="9"/>
  <c r="K364" i="9"/>
  <c r="J364" i="9"/>
  <c r="K538" i="9"/>
  <c r="J538" i="9"/>
  <c r="K684" i="9"/>
  <c r="J684" i="9"/>
  <c r="K653" i="9"/>
  <c r="J653" i="9"/>
  <c r="K779" i="9"/>
  <c r="J779" i="9"/>
  <c r="K450" i="9"/>
  <c r="J450" i="9"/>
  <c r="K868" i="9"/>
  <c r="J868" i="9"/>
  <c r="K915" i="9"/>
  <c r="J915" i="9"/>
  <c r="K594" i="9"/>
  <c r="J594" i="9"/>
  <c r="K233" i="9"/>
  <c r="J233" i="9"/>
  <c r="K400" i="9"/>
  <c r="J400" i="9"/>
  <c r="K283" i="9"/>
  <c r="J283" i="9"/>
  <c r="K98" i="9"/>
  <c r="J98" i="9"/>
  <c r="K772" i="9"/>
  <c r="J772" i="9"/>
  <c r="K510" i="9"/>
  <c r="J510" i="9"/>
  <c r="K306" i="9"/>
  <c r="J306" i="9"/>
  <c r="K295" i="9"/>
  <c r="J295" i="9"/>
  <c r="K937" i="9"/>
  <c r="J937" i="9"/>
  <c r="K755" i="9"/>
  <c r="J755" i="9"/>
  <c r="K448" i="9"/>
  <c r="J448" i="9"/>
  <c r="K397" i="9"/>
  <c r="J397" i="9"/>
  <c r="K893" i="9"/>
  <c r="J893" i="9"/>
  <c r="K234" i="9"/>
  <c r="J234" i="9"/>
  <c r="K459" i="9"/>
  <c r="J459" i="9"/>
  <c r="K791" i="9"/>
  <c r="J791" i="9"/>
  <c r="K740" i="9"/>
  <c r="J740" i="9"/>
  <c r="K167" i="9"/>
  <c r="J167" i="9"/>
  <c r="K156" i="9"/>
  <c r="J156" i="9"/>
  <c r="K732" i="9"/>
  <c r="J732" i="9"/>
  <c r="K200" i="9"/>
  <c r="J200" i="9"/>
  <c r="K522" i="9"/>
  <c r="J522" i="9"/>
  <c r="K79" i="9"/>
  <c r="J79" i="9"/>
  <c r="K206" i="9"/>
  <c r="J206" i="9"/>
  <c r="K414" i="9"/>
  <c r="J414" i="9"/>
  <c r="K664" i="9"/>
  <c r="J664" i="9"/>
  <c r="K616" i="9"/>
  <c r="J616" i="9"/>
  <c r="K1000" i="9"/>
  <c r="J1000" i="9"/>
  <c r="K369" i="9"/>
  <c r="J369" i="9"/>
  <c r="K35" i="9"/>
  <c r="J35" i="9"/>
  <c r="K821" i="9"/>
  <c r="J821" i="9"/>
  <c r="K384" i="9"/>
  <c r="J384" i="9"/>
  <c r="K788" i="9"/>
  <c r="J788" i="9"/>
  <c r="K262" i="9"/>
  <c r="J262" i="9"/>
  <c r="K718" i="9"/>
  <c r="J718" i="9"/>
  <c r="K839" i="9"/>
  <c r="J839" i="9"/>
  <c r="K738" i="9"/>
  <c r="J738" i="9"/>
  <c r="K462" i="9"/>
  <c r="J462" i="9"/>
  <c r="K245" i="9"/>
  <c r="J245" i="9"/>
  <c r="K180" i="9"/>
  <c r="J180" i="9"/>
  <c r="K55" i="9"/>
  <c r="J55" i="9"/>
  <c r="K535" i="9"/>
  <c r="J535" i="9"/>
  <c r="K408" i="9"/>
  <c r="J408" i="9"/>
  <c r="K415" i="9"/>
  <c r="J415" i="9"/>
  <c r="K685" i="9"/>
  <c r="J685" i="9"/>
  <c r="K566" i="9"/>
  <c r="J566" i="9"/>
  <c r="K857" i="9"/>
  <c r="J857" i="9"/>
  <c r="K543" i="9"/>
  <c r="J543" i="9"/>
  <c r="K198" i="9"/>
  <c r="J198" i="9"/>
  <c r="K281" i="9"/>
  <c r="J281" i="9"/>
  <c r="K765" i="9"/>
  <c r="J765" i="9"/>
  <c r="K441" i="9"/>
  <c r="J441" i="9"/>
  <c r="K641" i="9"/>
  <c r="J641" i="9"/>
  <c r="K171" i="9"/>
  <c r="J171" i="9"/>
  <c r="K521" i="9"/>
  <c r="J521" i="9"/>
  <c r="K290" i="9"/>
  <c r="J290" i="9"/>
  <c r="K832" i="9"/>
  <c r="J832" i="9"/>
  <c r="K803" i="9"/>
  <c r="J803" i="9"/>
  <c r="K362" i="9"/>
  <c r="J362" i="9"/>
  <c r="K597" i="9"/>
  <c r="J597" i="9"/>
  <c r="K268" i="9"/>
  <c r="J268" i="9"/>
  <c r="K401" i="9"/>
  <c r="J401" i="9"/>
  <c r="K771" i="9"/>
  <c r="J771" i="9"/>
  <c r="K73" i="9"/>
  <c r="J73" i="9"/>
  <c r="K760" i="9"/>
  <c r="J760" i="9"/>
  <c r="K191" i="9"/>
  <c r="J191" i="9"/>
  <c r="K824" i="9"/>
  <c r="J824" i="9"/>
  <c r="K201" i="9"/>
  <c r="J201" i="9"/>
  <c r="K287" i="9"/>
  <c r="J287" i="9"/>
  <c r="K204" i="9"/>
  <c r="J204" i="9"/>
  <c r="K293" i="9"/>
  <c r="J293" i="9"/>
  <c r="K139" i="9"/>
  <c r="J139" i="9"/>
  <c r="K1012" i="9"/>
  <c r="J1012" i="9"/>
  <c r="K589" i="9"/>
  <c r="J589" i="9"/>
  <c r="K939" i="9"/>
  <c r="J939" i="9"/>
  <c r="K899" i="9"/>
  <c r="J899" i="9"/>
  <c r="K827" i="9"/>
  <c r="J827" i="9"/>
  <c r="K112" i="9"/>
  <c r="J112" i="9"/>
  <c r="K817" i="9"/>
  <c r="J817" i="9"/>
  <c r="K841" i="9"/>
  <c r="J841" i="9"/>
  <c r="K663" i="9"/>
  <c r="J663" i="9"/>
  <c r="K34" i="9"/>
  <c r="J34" i="9"/>
  <c r="K310" i="9"/>
  <c r="J310" i="9"/>
  <c r="K1002" i="9"/>
  <c r="J1002" i="9"/>
  <c r="K480" i="9"/>
  <c r="J480" i="9"/>
  <c r="K337" i="9"/>
  <c r="J337" i="9"/>
  <c r="K443" i="9"/>
  <c r="J443" i="9"/>
  <c r="K941" i="9"/>
  <c r="J941" i="9"/>
  <c r="K928" i="9"/>
  <c r="J928" i="9"/>
  <c r="K796" i="9"/>
  <c r="J796" i="9"/>
  <c r="K976" i="9"/>
  <c r="J976" i="9"/>
  <c r="K625" i="9"/>
  <c r="J625" i="9"/>
  <c r="K77" i="9"/>
  <c r="J77" i="9"/>
  <c r="K352" i="9"/>
  <c r="J352" i="9"/>
  <c r="K611" i="9"/>
  <c r="J611" i="9"/>
  <c r="K243" i="9"/>
  <c r="J243" i="9"/>
  <c r="K436" i="9"/>
  <c r="J436" i="9"/>
  <c r="K137" i="9"/>
  <c r="J137" i="9"/>
  <c r="K793" i="9"/>
  <c r="J793" i="9"/>
  <c r="K627" i="9"/>
  <c r="J627" i="9"/>
  <c r="K747" i="9"/>
  <c r="J747" i="9"/>
  <c r="K418" i="9"/>
  <c r="J418" i="9"/>
  <c r="K496" i="9"/>
  <c r="J496" i="9"/>
  <c r="K178" i="9"/>
  <c r="J178" i="9"/>
  <c r="K586" i="9"/>
  <c r="J586" i="9"/>
  <c r="K579" i="9"/>
  <c r="J579" i="9"/>
  <c r="K977" i="9"/>
  <c r="J977" i="9"/>
  <c r="K157" i="9"/>
  <c r="J157" i="9"/>
  <c r="K997" i="9"/>
  <c r="J997" i="9"/>
  <c r="K389" i="9"/>
  <c r="J389" i="9"/>
  <c r="K545" i="9"/>
  <c r="J545" i="9"/>
  <c r="K367" i="9"/>
  <c r="J367" i="9"/>
  <c r="K334" i="9"/>
  <c r="J334" i="9"/>
  <c r="K631" i="9"/>
  <c r="J631" i="9"/>
  <c r="K423" i="9"/>
  <c r="J423" i="9"/>
  <c r="K980" i="9"/>
  <c r="J980" i="9"/>
  <c r="K575" i="9"/>
  <c r="J575" i="9"/>
  <c r="K630" i="9"/>
  <c r="J630" i="9"/>
  <c r="K710" i="9"/>
  <c r="J710" i="9"/>
  <c r="K314" i="9"/>
  <c r="J314" i="9"/>
  <c r="K26" i="9"/>
  <c r="J26" i="9"/>
  <c r="K121" i="9"/>
  <c r="J121" i="9"/>
  <c r="K381" i="9"/>
  <c r="J381" i="9"/>
  <c r="K407" i="9"/>
  <c r="J407" i="9"/>
  <c r="K694" i="9"/>
  <c r="J694" i="9"/>
  <c r="K229" i="9"/>
  <c r="J229" i="9"/>
  <c r="K991" i="9"/>
  <c r="J991" i="9"/>
  <c r="K345" i="9"/>
  <c r="J345" i="9"/>
  <c r="K581" i="9"/>
  <c r="J581" i="9"/>
  <c r="K838" i="9"/>
  <c r="J838" i="9"/>
  <c r="K895" i="9"/>
  <c r="J895" i="9"/>
  <c r="K532" i="9"/>
  <c r="J532" i="9"/>
  <c r="K224" i="9"/>
  <c r="J224" i="9"/>
  <c r="K517" i="9"/>
  <c r="J517" i="9"/>
  <c r="K810" i="9"/>
  <c r="J810" i="9"/>
  <c r="K1013" i="9"/>
  <c r="J1013" i="9"/>
  <c r="K634" i="9"/>
  <c r="J634" i="9"/>
  <c r="K190" i="9"/>
  <c r="J190" i="9"/>
  <c r="K182" i="9"/>
  <c r="J182" i="9"/>
  <c r="K270" i="9"/>
  <c r="J270" i="9"/>
  <c r="K239" i="9"/>
  <c r="J239" i="9"/>
  <c r="K644" i="9"/>
  <c r="J644" i="9"/>
  <c r="K919" i="9"/>
  <c r="J919" i="9"/>
  <c r="K746" i="9"/>
  <c r="J746" i="9"/>
  <c r="K642" i="9"/>
  <c r="J642" i="9"/>
  <c r="K650" i="9"/>
  <c r="J650" i="9"/>
  <c r="K237" i="9"/>
  <c r="J237" i="9"/>
  <c r="K672" i="9"/>
  <c r="J672" i="9"/>
  <c r="K99" i="9"/>
  <c r="J99" i="9"/>
  <c r="K922" i="9"/>
  <c r="J922" i="9"/>
  <c r="K624" i="9"/>
  <c r="J624" i="9"/>
  <c r="K789" i="9"/>
  <c r="J789" i="9"/>
  <c r="K288" i="9"/>
  <c r="J288" i="9"/>
  <c r="K844" i="9"/>
  <c r="J844" i="9"/>
  <c r="K523" i="9"/>
  <c r="J523" i="9"/>
  <c r="K285" i="9"/>
  <c r="J285" i="9"/>
  <c r="K1010" i="9"/>
  <c r="J1010" i="9"/>
  <c r="K905" i="9"/>
  <c r="J905" i="9"/>
  <c r="K565" i="9"/>
  <c r="J565" i="9"/>
  <c r="K240" i="9"/>
  <c r="J240" i="9"/>
  <c r="K815" i="9"/>
  <c r="J815" i="9"/>
  <c r="K185" i="9"/>
  <c r="J185" i="9"/>
  <c r="K590" i="9"/>
  <c r="J590" i="9"/>
  <c r="K831" i="9"/>
  <c r="J831" i="9"/>
  <c r="K819" i="9"/>
  <c r="J819" i="9"/>
  <c r="K151" i="9"/>
  <c r="J151" i="9"/>
  <c r="K897" i="9"/>
  <c r="J897" i="9"/>
  <c r="K884" i="9"/>
  <c r="J884" i="9"/>
  <c r="K28" i="9"/>
  <c r="J28" i="9"/>
  <c r="K859" i="9"/>
  <c r="J859" i="9"/>
  <c r="K478" i="9"/>
  <c r="J478" i="9"/>
  <c r="K276" i="9"/>
  <c r="J276" i="9"/>
  <c r="K603" i="9"/>
  <c r="J603" i="9"/>
  <c r="K947" i="9"/>
  <c r="J947" i="9"/>
  <c r="K982" i="9"/>
  <c r="J982" i="9"/>
  <c r="K221" i="9"/>
  <c r="J221" i="9"/>
  <c r="K435" i="9"/>
  <c r="J435" i="9"/>
  <c r="K886" i="9"/>
  <c r="J886" i="9"/>
  <c r="K365" i="9"/>
  <c r="J365" i="9"/>
  <c r="K125" i="9"/>
  <c r="J125" i="9"/>
  <c r="K792" i="9"/>
  <c r="J792" i="9"/>
  <c r="K41" i="9"/>
  <c r="J41" i="9"/>
  <c r="K82" i="9"/>
  <c r="J82" i="9"/>
  <c r="K528" i="9"/>
  <c r="J528" i="9"/>
  <c r="K353" i="9"/>
  <c r="J353" i="9"/>
  <c r="K881" i="9"/>
  <c r="J881" i="9"/>
  <c r="K356" i="9"/>
  <c r="J356" i="9"/>
  <c r="K429" i="9"/>
  <c r="J429" i="9"/>
  <c r="K677" i="9"/>
  <c r="J677" i="9"/>
  <c r="K773" i="9"/>
  <c r="J773" i="9"/>
  <c r="K1001" i="9"/>
  <c r="J1001" i="9"/>
  <c r="K230" i="9"/>
  <c r="J230" i="9"/>
  <c r="K421" i="9"/>
  <c r="J421" i="9"/>
  <c r="K106" i="9"/>
  <c r="J106" i="9"/>
  <c r="K949" i="9"/>
  <c r="J949" i="9"/>
  <c r="K784" i="9"/>
  <c r="J784" i="9"/>
  <c r="K942" i="9"/>
  <c r="J942" i="9"/>
  <c r="K481" i="9"/>
  <c r="J481" i="9"/>
  <c r="K249" i="9"/>
  <c r="J249" i="9"/>
  <c r="K417" i="9"/>
  <c r="J417" i="9"/>
  <c r="K546" i="9"/>
  <c r="J546" i="9"/>
  <c r="K626" i="9"/>
  <c r="J626" i="9"/>
  <c r="K700" i="9"/>
  <c r="J700" i="9"/>
  <c r="K134" i="9"/>
  <c r="J134" i="9"/>
  <c r="K938" i="9"/>
  <c r="J938" i="9"/>
  <c r="K925" i="9"/>
  <c r="J925" i="9"/>
  <c r="K291" i="9"/>
  <c r="J291" i="9"/>
  <c r="K476" i="9"/>
  <c r="J476" i="9"/>
  <c r="K266" i="9"/>
  <c r="J266" i="9"/>
  <c r="K235" i="9"/>
  <c r="J235" i="9"/>
  <c r="K725" i="9"/>
  <c r="J725" i="9"/>
  <c r="K308" i="9"/>
  <c r="J308" i="9"/>
  <c r="K676" i="9"/>
  <c r="J676" i="9"/>
  <c r="K762" i="9"/>
  <c r="J762" i="9"/>
  <c r="K759" i="9"/>
  <c r="J759" i="9"/>
  <c r="K111" i="9"/>
  <c r="J111" i="9"/>
  <c r="K593" i="9"/>
  <c r="J593" i="9"/>
  <c r="K261" i="9"/>
  <c r="J261" i="9"/>
  <c r="K431" i="9"/>
  <c r="J431" i="9"/>
  <c r="K996" i="9"/>
  <c r="J996" i="9"/>
  <c r="K910" i="9"/>
  <c r="J910" i="9"/>
  <c r="K837" i="9"/>
  <c r="J837" i="9"/>
  <c r="K900" i="9"/>
  <c r="J900" i="9"/>
  <c r="K312" i="9"/>
  <c r="J312" i="9"/>
  <c r="K490" i="9"/>
  <c r="J490" i="9"/>
  <c r="K25" i="9"/>
  <c r="J25" i="9"/>
  <c r="K679" i="9"/>
  <c r="J679" i="9"/>
  <c r="K916" i="9"/>
  <c r="J916" i="9"/>
  <c r="K890" i="9"/>
  <c r="J890" i="9"/>
  <c r="K898" i="9"/>
  <c r="J898" i="9"/>
  <c r="K168" i="9"/>
  <c r="J168" i="9"/>
  <c r="K118" i="9"/>
  <c r="J118" i="9"/>
  <c r="K783" i="9"/>
  <c r="J783" i="9"/>
  <c r="K485" i="9"/>
  <c r="J485" i="9"/>
  <c r="K598" i="9"/>
  <c r="J598" i="9"/>
  <c r="K422" i="9"/>
  <c r="J422" i="9"/>
  <c r="K170" i="9"/>
  <c r="J170" i="9"/>
  <c r="K494" i="9"/>
  <c r="J494" i="9"/>
  <c r="K604" i="9"/>
  <c r="J604" i="9"/>
  <c r="K318" i="9"/>
  <c r="J318" i="9"/>
  <c r="K297" i="9"/>
  <c r="J297" i="9"/>
  <c r="K475" i="9"/>
  <c r="P475" i="9" s="1"/>
  <c r="Q475" i="9" s="1"/>
  <c r="J475" i="9"/>
  <c r="K225" i="9"/>
  <c r="J225" i="9"/>
  <c r="K643" i="9"/>
  <c r="J643" i="9"/>
  <c r="K416" i="9"/>
  <c r="J416" i="9"/>
  <c r="K744" i="9"/>
  <c r="J744" i="9"/>
  <c r="K253" i="9"/>
  <c r="J253" i="9"/>
  <c r="K514" i="9"/>
  <c r="J514" i="9"/>
  <c r="K20" i="9"/>
  <c r="J20" i="9"/>
  <c r="K985" i="9"/>
  <c r="J985" i="9"/>
  <c r="K340" i="9"/>
  <c r="J340" i="9"/>
  <c r="K682" i="9"/>
  <c r="J682" i="9"/>
  <c r="K467" i="9"/>
  <c r="J467" i="9"/>
  <c r="K165" i="9"/>
  <c r="J165" i="9"/>
  <c r="K187" i="9"/>
  <c r="J187" i="9"/>
  <c r="K303" i="9"/>
  <c r="J303" i="9"/>
  <c r="K347" i="9"/>
  <c r="J347" i="9"/>
  <c r="K713" i="9"/>
  <c r="J713" i="9"/>
  <c r="K973" i="9"/>
  <c r="J973" i="9"/>
  <c r="K924" i="9"/>
  <c r="J924" i="9"/>
  <c r="K350" i="9"/>
  <c r="J350" i="9"/>
  <c r="K449" i="9"/>
  <c r="J449" i="9"/>
  <c r="K343" i="9"/>
  <c r="J343" i="9"/>
  <c r="K617" i="9"/>
  <c r="J617" i="9"/>
  <c r="K242" i="9"/>
  <c r="J242" i="9"/>
  <c r="K849" i="9"/>
  <c r="J849" i="9"/>
  <c r="K219" i="9"/>
  <c r="J219" i="9"/>
  <c r="K331" i="9"/>
  <c r="J331" i="9"/>
  <c r="K945" i="9"/>
  <c r="J945" i="9"/>
  <c r="K629" i="9"/>
  <c r="J629" i="9"/>
  <c r="K153" i="9"/>
  <c r="J153" i="9"/>
  <c r="K76" i="9"/>
  <c r="J76" i="9"/>
  <c r="K531" i="9"/>
  <c r="J531" i="9"/>
  <c r="K471" i="9"/>
  <c r="J471" i="9"/>
  <c r="K110" i="9"/>
  <c r="J110" i="9"/>
  <c r="K979" i="9"/>
  <c r="J979" i="9"/>
  <c r="K715" i="9"/>
  <c r="J715" i="9"/>
  <c r="K404" i="9"/>
  <c r="J404" i="9"/>
  <c r="K723" i="9"/>
  <c r="J723" i="9"/>
  <c r="K37" i="9"/>
  <c r="J37" i="9"/>
  <c r="K107" i="9"/>
  <c r="J107" i="9"/>
  <c r="K1014" i="9"/>
  <c r="J1014" i="9"/>
  <c r="K975" i="9"/>
  <c r="J975" i="9"/>
  <c r="K272" i="9"/>
  <c r="J272" i="9"/>
  <c r="K437" i="9"/>
  <c r="J437" i="9"/>
  <c r="K970" i="9"/>
  <c r="J970" i="9"/>
  <c r="K825" i="9"/>
  <c r="J825" i="9"/>
  <c r="K104" i="9"/>
  <c r="J104" i="9"/>
  <c r="K560" i="9"/>
  <c r="J560" i="9"/>
  <c r="K753" i="9"/>
  <c r="P753" i="9" s="1"/>
  <c r="Q753" i="9" s="1"/>
  <c r="J753" i="9"/>
  <c r="K814" i="9"/>
  <c r="J814" i="9"/>
  <c r="K457" i="9"/>
  <c r="J457" i="9"/>
  <c r="K902" i="9"/>
  <c r="J902" i="9"/>
  <c r="K468" i="9"/>
  <c r="J468" i="9"/>
  <c r="K60" i="9"/>
  <c r="J60" i="9"/>
  <c r="K638" i="9"/>
  <c r="J638" i="9"/>
  <c r="K894" i="9"/>
  <c r="J894" i="9"/>
  <c r="K127" i="9"/>
  <c r="J127" i="9"/>
  <c r="K692" i="9"/>
  <c r="J692" i="9"/>
  <c r="K812" i="9"/>
  <c r="J812" i="9"/>
  <c r="K301" i="9"/>
  <c r="J301" i="9"/>
  <c r="K865" i="9"/>
  <c r="J865" i="9"/>
  <c r="K929" i="9"/>
  <c r="J929" i="9"/>
  <c r="K678" i="9"/>
  <c r="J678" i="9"/>
  <c r="K557" i="9"/>
  <c r="J557" i="9"/>
  <c r="K686" i="9"/>
  <c r="P686" i="9" s="1"/>
  <c r="Q686" i="9" s="1"/>
  <c r="J686" i="9"/>
  <c r="K460" i="9"/>
  <c r="J460" i="9"/>
  <c r="K953" i="9"/>
  <c r="J953" i="9"/>
  <c r="K507" i="9"/>
  <c r="J507" i="9"/>
  <c r="K539" i="9"/>
  <c r="J539" i="9"/>
  <c r="K845" i="9"/>
  <c r="J845" i="9"/>
  <c r="K469" i="9"/>
  <c r="J469" i="9"/>
  <c r="K493" i="9"/>
  <c r="J493" i="9"/>
  <c r="K15" i="9"/>
  <c r="J15" i="9"/>
  <c r="K52" i="9"/>
  <c r="J52" i="9"/>
  <c r="K745" i="9"/>
  <c r="J745" i="9"/>
  <c r="K782" i="9"/>
  <c r="J782" i="9"/>
  <c r="K298" i="9"/>
  <c r="J298" i="9"/>
  <c r="K101" i="9"/>
  <c r="J101" i="9"/>
  <c r="K689" i="9"/>
  <c r="J689" i="9"/>
  <c r="K847" i="9"/>
  <c r="J847" i="9"/>
  <c r="K228" i="9"/>
  <c r="J228" i="9"/>
  <c r="K181" i="9"/>
  <c r="J181" i="9"/>
  <c r="K648" i="9"/>
  <c r="J648" i="9"/>
  <c r="K1007" i="9"/>
  <c r="J1007" i="9"/>
  <c r="K702" i="9"/>
  <c r="J702" i="9"/>
  <c r="K811" i="9"/>
  <c r="J811" i="9"/>
  <c r="K790" i="9"/>
  <c r="J790" i="9"/>
  <c r="K61" i="9"/>
  <c r="J61" i="9"/>
  <c r="K241" i="9"/>
  <c r="J241" i="9"/>
  <c r="K739" i="9"/>
  <c r="J739" i="9"/>
  <c r="K636" i="9"/>
  <c r="J636" i="9"/>
  <c r="K1004" i="9"/>
  <c r="J1004" i="9"/>
  <c r="K260" i="9"/>
  <c r="J260" i="9"/>
  <c r="K30" i="9"/>
  <c r="J30" i="9"/>
  <c r="K698" i="9"/>
  <c r="J698" i="9"/>
  <c r="K109" i="9"/>
  <c r="J109" i="9"/>
  <c r="K798" i="9"/>
  <c r="J798" i="9"/>
  <c r="K36" i="9"/>
  <c r="J36" i="9"/>
  <c r="K348" i="9"/>
  <c r="J348" i="9"/>
  <c r="K958" i="9"/>
  <c r="J958" i="9"/>
  <c r="K681" i="9"/>
  <c r="J681" i="9"/>
  <c r="K279" i="9"/>
  <c r="J279" i="9"/>
  <c r="K325" i="9"/>
  <c r="J325" i="9"/>
  <c r="K561" i="9"/>
  <c r="J561" i="9"/>
  <c r="K657" i="9"/>
  <c r="J657" i="9"/>
  <c r="K133" i="9"/>
  <c r="J133" i="9"/>
  <c r="K651" i="9"/>
  <c r="J651" i="9"/>
  <c r="K818" i="9"/>
  <c r="J818" i="9"/>
  <c r="K271" i="9"/>
  <c r="J271" i="9"/>
  <c r="K748" i="9"/>
  <c r="J748" i="9"/>
  <c r="K822" i="9"/>
  <c r="J822" i="9"/>
  <c r="K750" i="9"/>
  <c r="J750" i="9"/>
  <c r="K665" i="9"/>
  <c r="J665" i="9"/>
  <c r="K258" i="9"/>
  <c r="J258" i="9"/>
  <c r="K91" i="9"/>
  <c r="J91" i="9"/>
  <c r="K179" i="9"/>
  <c r="J179" i="9"/>
  <c r="K27" i="9"/>
  <c r="J27" i="9"/>
  <c r="K935" i="9"/>
  <c r="J935" i="9"/>
  <c r="K801" i="9"/>
  <c r="J801" i="9"/>
  <c r="K124" i="9"/>
  <c r="J124" i="9"/>
  <c r="K903" i="9"/>
  <c r="J903" i="9"/>
  <c r="K361" i="9"/>
  <c r="J361" i="9"/>
  <c r="K805" i="9"/>
  <c r="J805" i="9"/>
  <c r="K876" i="9"/>
  <c r="J876" i="9"/>
  <c r="K583" i="9"/>
  <c r="J583" i="9"/>
  <c r="K382" i="9"/>
  <c r="J382" i="9"/>
  <c r="K252" i="9"/>
  <c r="J252" i="9"/>
  <c r="K961" i="9"/>
  <c r="J961" i="9"/>
  <c r="K764" i="9"/>
  <c r="J764" i="9"/>
  <c r="K920" i="9"/>
  <c r="J920" i="9"/>
  <c r="K501" i="9"/>
  <c r="J501" i="9"/>
  <c r="K880" i="9"/>
  <c r="J880" i="9"/>
  <c r="K115" i="9"/>
  <c r="J115" i="9"/>
  <c r="K84" i="9"/>
  <c r="J84" i="9"/>
  <c r="K164" i="9"/>
  <c r="J164" i="9"/>
  <c r="K504" i="9"/>
  <c r="J504" i="9"/>
  <c r="K596" i="9"/>
  <c r="J596" i="9"/>
  <c r="K1009" i="9"/>
  <c r="J1009" i="9"/>
  <c r="K59" i="9"/>
  <c r="J59" i="9"/>
  <c r="K497" i="9"/>
  <c r="J497" i="9"/>
  <c r="K993" i="9"/>
  <c r="J993" i="9"/>
  <c r="K154" i="9"/>
  <c r="J154" i="9"/>
  <c r="K474" i="9"/>
  <c r="J474" i="9"/>
  <c r="K280" i="9"/>
  <c r="J280" i="9"/>
  <c r="K912" i="9"/>
  <c r="J912" i="9"/>
  <c r="K427" i="9"/>
  <c r="J427" i="9"/>
  <c r="K284" i="9"/>
  <c r="J284" i="9"/>
  <c r="K520" i="9"/>
  <c r="J520" i="9"/>
  <c r="K374" i="9"/>
  <c r="J374" i="9"/>
  <c r="K246" i="9"/>
  <c r="J246" i="9"/>
  <c r="K986" i="9"/>
  <c r="J986" i="9"/>
  <c r="K749" i="9"/>
  <c r="J749" i="9"/>
  <c r="K998" i="9"/>
  <c r="J998" i="9"/>
  <c r="K473" i="9"/>
  <c r="J473" i="9"/>
  <c r="K576" i="9"/>
  <c r="J576" i="9"/>
  <c r="K833" i="9"/>
  <c r="J833" i="9"/>
  <c r="K559" i="9"/>
  <c r="J559" i="9"/>
  <c r="K86" i="9"/>
  <c r="J86" i="9"/>
  <c r="K296" i="9"/>
  <c r="J296" i="9"/>
  <c r="K135" i="9"/>
  <c r="J135" i="9"/>
  <c r="K588" i="9"/>
  <c r="J588" i="9"/>
  <c r="K205" i="9"/>
  <c r="J205" i="9"/>
  <c r="K932" i="9"/>
  <c r="J932" i="9"/>
  <c r="K196" i="9"/>
  <c r="J196" i="9"/>
  <c r="K967" i="9"/>
  <c r="J967" i="9"/>
  <c r="K934" i="9"/>
  <c r="J934" i="9"/>
  <c r="K727" i="9"/>
  <c r="J727" i="9"/>
  <c r="K926" i="9"/>
  <c r="J926" i="9"/>
  <c r="K828" i="9"/>
  <c r="J828" i="9"/>
  <c r="K434" i="9"/>
  <c r="J434" i="9"/>
  <c r="K850" i="9"/>
  <c r="J850" i="9"/>
  <c r="K146" i="9"/>
  <c r="J146" i="9"/>
  <c r="K169" i="9"/>
  <c r="J169" i="9"/>
  <c r="K578" i="9"/>
  <c r="J578" i="9"/>
  <c r="K203" i="9"/>
  <c r="J203" i="9"/>
  <c r="K972" i="9"/>
  <c r="J972" i="9"/>
  <c r="K842" i="9"/>
  <c r="J842" i="9"/>
  <c r="K620" i="9"/>
  <c r="J620" i="9"/>
  <c r="K380" i="9"/>
  <c r="J380" i="9"/>
  <c r="K974" i="9"/>
  <c r="J974" i="9"/>
  <c r="K671" i="9"/>
  <c r="J671" i="9"/>
  <c r="K948" i="9"/>
  <c r="J948" i="9"/>
  <c r="K373" i="9"/>
  <c r="J373" i="9"/>
  <c r="K519" i="9"/>
  <c r="J519" i="9"/>
  <c r="K90" i="9"/>
  <c r="J90" i="9"/>
  <c r="K911" i="9"/>
  <c r="J911" i="9"/>
  <c r="K46" i="9"/>
  <c r="J46" i="9"/>
  <c r="K65" i="9"/>
  <c r="J65" i="9"/>
  <c r="K117" i="9"/>
  <c r="J117" i="9"/>
  <c r="K674" i="9"/>
  <c r="J674" i="9"/>
  <c r="K649" i="9"/>
  <c r="J649" i="9"/>
  <c r="K635" i="9"/>
  <c r="J635" i="9"/>
  <c r="K795" i="9"/>
  <c r="J795" i="9"/>
  <c r="K433" i="9"/>
  <c r="J433" i="9"/>
  <c r="K587" i="9"/>
  <c r="J587" i="9"/>
  <c r="K223" i="9"/>
  <c r="J223" i="9"/>
  <c r="K254" i="9"/>
  <c r="J254" i="9"/>
  <c r="K214" i="9"/>
  <c r="J214" i="9"/>
  <c r="K96" i="9"/>
  <c r="J96" i="9"/>
  <c r="K615" i="9"/>
  <c r="J615" i="9"/>
  <c r="K754" i="9"/>
  <c r="J754" i="9"/>
  <c r="K275" i="9"/>
  <c r="J275" i="9"/>
  <c r="K412" i="9"/>
  <c r="J412" i="9"/>
  <c r="K763" i="9"/>
  <c r="J763" i="9"/>
  <c r="K668" i="9"/>
  <c r="J668" i="9"/>
  <c r="K282" i="9"/>
  <c r="J282" i="9"/>
  <c r="K612" i="9"/>
  <c r="J612" i="9"/>
  <c r="K869" i="9"/>
  <c r="J869" i="9"/>
  <c r="K92" i="9"/>
  <c r="J92" i="9"/>
  <c r="K595" i="9"/>
  <c r="J595" i="9"/>
  <c r="K215" i="9"/>
  <c r="J215" i="9"/>
  <c r="K447" i="9"/>
  <c r="J447" i="9"/>
  <c r="K311" i="9"/>
  <c r="J311" i="9"/>
  <c r="K248" i="9"/>
  <c r="J248" i="9"/>
  <c r="K385" i="9"/>
  <c r="J385" i="9"/>
  <c r="K425" i="9"/>
  <c r="J425" i="9"/>
  <c r="K609" i="9"/>
  <c r="J609" i="9"/>
  <c r="K508" i="9"/>
  <c r="J508" i="9"/>
  <c r="K963" i="9"/>
  <c r="J963" i="9"/>
  <c r="K247" i="9"/>
  <c r="J247" i="9"/>
  <c r="K797" i="9"/>
  <c r="J797" i="9"/>
  <c r="K600" i="9"/>
  <c r="J600" i="9"/>
  <c r="K927" i="9"/>
  <c r="J927" i="9"/>
  <c r="K129" i="9"/>
  <c r="J129" i="9"/>
  <c r="K257" i="9"/>
  <c r="J257" i="9"/>
  <c r="K413" i="9"/>
  <c r="J413" i="9"/>
  <c r="K232" i="9"/>
  <c r="J232" i="9"/>
  <c r="K716" i="9"/>
  <c r="J716" i="9"/>
  <c r="K573" i="9"/>
  <c r="J573" i="9"/>
  <c r="K599" i="9"/>
  <c r="J599" i="9"/>
  <c r="K887" i="9"/>
  <c r="J887" i="9"/>
  <c r="K701" i="9"/>
  <c r="J701" i="9"/>
  <c r="K614" i="9"/>
  <c r="J614" i="9"/>
  <c r="K506" i="9"/>
  <c r="J506" i="9"/>
  <c r="K62" i="9"/>
  <c r="J62" i="9"/>
  <c r="K704" i="9"/>
  <c r="J704" i="9"/>
  <c r="K409" i="9"/>
  <c r="J409" i="9"/>
  <c r="K770" i="9"/>
  <c r="J770" i="9"/>
  <c r="K714" i="9"/>
  <c r="J714" i="9"/>
  <c r="K160" i="9"/>
  <c r="J160" i="9"/>
  <c r="K722" i="9"/>
  <c r="J722" i="9"/>
  <c r="K341" i="9"/>
  <c r="J341" i="9"/>
  <c r="K142" i="9"/>
  <c r="J142" i="9"/>
  <c r="K136" i="9"/>
  <c r="J136" i="9"/>
  <c r="K883" i="9"/>
  <c r="J883" i="9"/>
  <c r="K733" i="9"/>
  <c r="J733" i="9"/>
  <c r="K632" i="9"/>
  <c r="J632" i="9"/>
  <c r="K864" i="9"/>
  <c r="J864" i="9"/>
  <c r="K708" i="9"/>
  <c r="J708" i="9"/>
  <c r="K582" i="9"/>
  <c r="J582" i="9"/>
  <c r="K691" i="9"/>
  <c r="J691" i="9"/>
  <c r="K654" i="9"/>
  <c r="J654" i="9"/>
  <c r="K955" i="9"/>
  <c r="J955" i="9"/>
  <c r="K914" i="9"/>
  <c r="J914" i="9"/>
  <c r="K357" i="9"/>
  <c r="J357" i="9"/>
  <c r="K907" i="9"/>
  <c r="J907" i="9"/>
  <c r="K195" i="9"/>
  <c r="J195" i="9"/>
  <c r="K430" i="9"/>
  <c r="J430" i="9"/>
  <c r="K556" i="9"/>
  <c r="J556" i="9"/>
  <c r="K338" i="9"/>
  <c r="J338" i="9"/>
  <c r="K388" i="9"/>
  <c r="J388" i="9"/>
  <c r="K71" i="9"/>
  <c r="J71" i="9"/>
  <c r="K956" i="9"/>
  <c r="J956" i="9"/>
  <c r="K463" i="9"/>
  <c r="J463" i="9"/>
  <c r="K964" i="9"/>
  <c r="J964" i="9"/>
  <c r="K482" i="9"/>
  <c r="J482" i="9"/>
  <c r="K540" i="9"/>
  <c r="J540" i="9"/>
  <c r="K326" i="9"/>
  <c r="J326" i="9"/>
  <c r="K774" i="9"/>
  <c r="J774" i="9"/>
  <c r="K289" i="9"/>
  <c r="J289" i="9"/>
  <c r="K969" i="9"/>
  <c r="J969" i="9"/>
  <c r="K830" i="9"/>
  <c r="J830" i="9"/>
  <c r="K530" i="9"/>
  <c r="J530" i="9"/>
  <c r="K446" i="9"/>
  <c r="J446" i="9"/>
  <c r="K860" i="9"/>
  <c r="J860" i="9"/>
  <c r="K968" i="9"/>
  <c r="J968" i="9"/>
  <c r="K775" i="9"/>
  <c r="J775" i="9"/>
  <c r="K696" i="9"/>
  <c r="J696" i="9"/>
  <c r="K163" i="9"/>
  <c r="J163" i="9"/>
  <c r="K273" i="9"/>
  <c r="J273" i="9"/>
  <c r="K445" i="9"/>
  <c r="J445" i="9"/>
  <c r="K628" i="9"/>
  <c r="J628" i="9"/>
  <c r="K633" i="9"/>
  <c r="J633" i="9"/>
  <c r="K81" i="9"/>
  <c r="J81" i="9"/>
  <c r="K359" i="9"/>
  <c r="J359" i="9"/>
  <c r="K943" i="9"/>
  <c r="J943" i="9"/>
  <c r="K131" i="9"/>
  <c r="J131" i="9"/>
  <c r="K499" i="9"/>
  <c r="J499" i="9"/>
  <c r="K720" i="9"/>
  <c r="J720" i="9"/>
  <c r="K210" i="9"/>
  <c r="J210" i="9"/>
  <c r="K683" i="9"/>
  <c r="J683" i="9"/>
  <c r="K761" i="9"/>
  <c r="J761" i="9"/>
  <c r="K984" i="9"/>
  <c r="J984" i="9"/>
  <c r="K319" i="9"/>
  <c r="J319" i="9"/>
  <c r="K711" i="9"/>
  <c r="J711" i="9"/>
  <c r="K56" i="9"/>
  <c r="J56" i="9"/>
  <c r="K709" i="9"/>
  <c r="J709" i="9"/>
  <c r="K222" i="9"/>
  <c r="J222" i="9"/>
  <c r="K251" i="9"/>
  <c r="J251" i="9"/>
  <c r="K591" i="9"/>
  <c r="J591" i="9"/>
  <c r="K386" i="9"/>
  <c r="J386" i="9"/>
  <c r="K823" i="9"/>
  <c r="J823" i="9"/>
  <c r="K344" i="9"/>
  <c r="J344" i="9"/>
  <c r="K119" i="9"/>
  <c r="J119" i="9"/>
  <c r="K971" i="9"/>
  <c r="J971" i="9"/>
  <c r="K966" i="9"/>
  <c r="J966" i="9"/>
  <c r="K513" i="9"/>
  <c r="J513" i="9"/>
  <c r="K213" i="9"/>
  <c r="J213" i="9"/>
  <c r="K45" i="9"/>
  <c r="J45" i="9"/>
  <c r="K158" i="9"/>
  <c r="J158" i="9"/>
  <c r="K426" i="9"/>
  <c r="J426" i="9"/>
  <c r="K707" i="9"/>
  <c r="J707" i="9"/>
  <c r="K54" i="9"/>
  <c r="J54" i="9"/>
  <c r="K734" i="9"/>
  <c r="J734" i="9"/>
  <c r="K103" i="9"/>
  <c r="J103" i="9"/>
  <c r="P103" i="9" s="1"/>
  <c r="Q103" i="9" s="1"/>
  <c r="K263" i="9"/>
  <c r="J263" i="9"/>
  <c r="K188" i="9"/>
  <c r="J188" i="9"/>
  <c r="K264" i="9"/>
  <c r="J264" i="9"/>
  <c r="K166" i="9"/>
  <c r="J166" i="9"/>
  <c r="K339" i="9"/>
  <c r="J339" i="9"/>
  <c r="K299" i="9"/>
  <c r="J299" i="9"/>
  <c r="K667" i="9"/>
  <c r="J667" i="9"/>
  <c r="K512" i="9"/>
  <c r="J512" i="9"/>
  <c r="K491" i="9"/>
  <c r="J491" i="9"/>
  <c r="K731" i="9"/>
  <c r="J731" i="9"/>
  <c r="K574" i="9"/>
  <c r="J574" i="9"/>
  <c r="K102" i="9"/>
  <c r="J102" i="9"/>
  <c r="P102" i="9" s="1"/>
  <c r="Q102" i="9" s="1"/>
  <c r="K72" i="9"/>
  <c r="J72" i="9"/>
  <c r="K328" i="9"/>
  <c r="J328" i="9"/>
  <c r="K623" i="9"/>
  <c r="J623" i="9"/>
  <c r="K186" i="9"/>
  <c r="J186" i="9"/>
  <c r="K957" i="9"/>
  <c r="J957" i="9"/>
  <c r="K16" i="9"/>
  <c r="J16" i="9"/>
  <c r="K766" i="9"/>
  <c r="J766" i="9"/>
  <c r="K735" i="9"/>
  <c r="J735" i="9"/>
  <c r="K785" i="9"/>
  <c r="J785" i="9"/>
  <c r="K174" i="9"/>
  <c r="J174" i="9"/>
  <c r="K706" i="9"/>
  <c r="J706" i="9"/>
  <c r="K577" i="9"/>
  <c r="J577" i="9"/>
  <c r="P577" i="9" s="1"/>
  <c r="Q577" i="9" s="1"/>
  <c r="K212" i="9"/>
  <c r="J212" i="9"/>
  <c r="K567" i="9"/>
  <c r="J567" i="9"/>
  <c r="K22" i="9"/>
  <c r="J22" i="9"/>
  <c r="K358" i="9"/>
  <c r="J358" i="9"/>
  <c r="K891" i="9"/>
  <c r="J891" i="9"/>
  <c r="K675" i="9"/>
  <c r="J675" i="9"/>
  <c r="K424" i="9"/>
  <c r="J424" i="9"/>
  <c r="K533" i="9"/>
  <c r="J533" i="9"/>
  <c r="K529" i="9"/>
  <c r="J529" i="9"/>
  <c r="K553" i="9"/>
  <c r="J553" i="9"/>
  <c r="K383" i="9"/>
  <c r="J383" i="9"/>
  <c r="K192" i="9"/>
  <c r="J192" i="9"/>
  <c r="K806" i="9"/>
  <c r="J806" i="9"/>
  <c r="K250" i="9"/>
  <c r="J250" i="9"/>
  <c r="K355" i="9"/>
  <c r="J355" i="9"/>
  <c r="K38" i="9"/>
  <c r="J38" i="9"/>
  <c r="P38" i="9" s="1"/>
  <c r="Q38" i="9" s="1"/>
  <c r="K743" i="9"/>
  <c r="J743" i="9"/>
  <c r="K717" i="9"/>
  <c r="J717" i="9"/>
  <c r="K852" i="9"/>
  <c r="J852" i="9"/>
  <c r="K44" i="9"/>
  <c r="J44" i="9"/>
  <c r="K670" i="9"/>
  <c r="J670" i="9"/>
  <c r="K989" i="9"/>
  <c r="J989" i="9"/>
  <c r="K209" i="9"/>
  <c r="J209" i="9"/>
  <c r="K87" i="9"/>
  <c r="J87" i="9"/>
  <c r="K322" i="9"/>
  <c r="J322" i="9"/>
  <c r="K93" i="9"/>
  <c r="J93" i="9"/>
  <c r="K150" i="9"/>
  <c r="J150" i="9"/>
  <c r="K534" i="9"/>
  <c r="J534" i="9"/>
  <c r="K114" i="9"/>
  <c r="J114" i="9"/>
  <c r="K172" i="9"/>
  <c r="J172" i="9"/>
  <c r="K375" i="9"/>
  <c r="J375" i="9"/>
  <c r="K1011" i="9"/>
  <c r="J1011" i="9"/>
  <c r="K461" i="9"/>
  <c r="J461" i="9"/>
  <c r="K728" i="9"/>
  <c r="J728" i="9"/>
  <c r="K313" i="9"/>
  <c r="J313" i="9"/>
  <c r="K138" i="9"/>
  <c r="J138" i="9"/>
  <c r="K834" i="9"/>
  <c r="J834" i="9"/>
  <c r="K954" i="9"/>
  <c r="J954" i="9"/>
  <c r="K835" i="9"/>
  <c r="J835" i="9"/>
  <c r="K804" i="9"/>
  <c r="J804" i="9"/>
  <c r="P804" i="9" s="1"/>
  <c r="Q804" i="9" s="1"/>
  <c r="K354" i="9"/>
  <c r="J354" i="9"/>
  <c r="K144" i="9"/>
  <c r="J144" i="9"/>
  <c r="K778" i="9"/>
  <c r="J778" i="9"/>
  <c r="K659" i="9"/>
  <c r="J659" i="9"/>
  <c r="K452" i="9"/>
  <c r="J452" i="9"/>
  <c r="K194" i="9"/>
  <c r="J194" i="9"/>
  <c r="K863" i="9"/>
  <c r="J863" i="9"/>
  <c r="K49" i="9"/>
  <c r="J49" i="9"/>
  <c r="K300" i="9"/>
  <c r="J300" i="9"/>
  <c r="K906" i="9"/>
  <c r="J906" i="9"/>
  <c r="K130" i="9"/>
  <c r="J130" i="9"/>
  <c r="K901" i="9"/>
  <c r="J901" i="9"/>
  <c r="K908" i="9"/>
  <c r="J908" i="9"/>
  <c r="K149" i="9"/>
  <c r="J149" i="9"/>
  <c r="P149" i="9" s="1"/>
  <c r="Q149" i="9" s="1"/>
  <c r="K807" i="9"/>
  <c r="J807" i="9"/>
  <c r="K542" i="9"/>
  <c r="J542" i="9"/>
  <c r="K244" i="9"/>
  <c r="J244" i="9"/>
  <c r="K398" i="9"/>
  <c r="J398" i="9"/>
  <c r="K840" i="9"/>
  <c r="J840" i="9"/>
  <c r="K799" i="9"/>
  <c r="J799" i="9"/>
  <c r="K477" i="9"/>
  <c r="J477" i="9"/>
  <c r="K307" i="9"/>
  <c r="J307" i="9"/>
  <c r="K147" i="9"/>
  <c r="J147" i="9"/>
  <c r="K962" i="9"/>
  <c r="J962" i="9"/>
  <c r="P962" i="9" s="1"/>
  <c r="Q962" i="9" s="1"/>
  <c r="K21" i="9"/>
  <c r="J21" i="9"/>
  <c r="K697" i="9"/>
  <c r="J697" i="9"/>
  <c r="K495" i="9"/>
  <c r="J495" i="9"/>
  <c r="K217" i="9"/>
  <c r="J217" i="9"/>
  <c r="K769" i="9"/>
  <c r="J769" i="9"/>
  <c r="P160" i="9" l="1"/>
  <c r="Q160" i="9" s="1"/>
  <c r="P965" i="9"/>
  <c r="Q965" i="9" s="1"/>
  <c r="P909" i="9"/>
  <c r="Q909" i="9" s="1"/>
  <c r="P484" i="9"/>
  <c r="Q484" i="9" s="1"/>
  <c r="P695" i="9"/>
  <c r="Q695" i="9" s="1"/>
  <c r="P592" i="9"/>
  <c r="Q592" i="9" s="1"/>
  <c r="P376" i="9"/>
  <c r="Q376" i="9" s="1"/>
  <c r="P123" i="9"/>
  <c r="Q123" i="9" s="1"/>
  <c r="P324" i="9"/>
  <c r="Q324" i="9" s="1"/>
  <c r="P302" i="9"/>
  <c r="Q302" i="9" s="1"/>
  <c r="P861" i="9"/>
  <c r="Q861" i="9" s="1"/>
  <c r="P464" i="9"/>
  <c r="Q464" i="9" s="1"/>
  <c r="P526" i="9"/>
  <c r="Q526" i="9" s="1"/>
  <c r="P218" i="9"/>
  <c r="Q218" i="9" s="1"/>
  <c r="P113" i="9"/>
  <c r="Q113" i="9" s="1"/>
  <c r="P537" i="9"/>
  <c r="Q537" i="9" s="1"/>
  <c r="P371" i="9"/>
  <c r="Q371" i="9" s="1"/>
  <c r="P155" i="9"/>
  <c r="Q155" i="9" s="1"/>
  <c r="P454" i="9"/>
  <c r="Q454" i="9" s="1"/>
  <c r="P58" i="9"/>
  <c r="Q58" i="9" s="1"/>
  <c r="P768" i="9"/>
  <c r="Q768" i="9" s="1"/>
  <c r="P809" i="9"/>
  <c r="Q809" i="9" s="1"/>
  <c r="P952" i="9"/>
  <c r="Q952" i="9" s="1"/>
  <c r="P456" i="9"/>
  <c r="Q456" i="9" s="1"/>
  <c r="P411" i="9"/>
  <c r="Q411" i="9" s="1"/>
  <c r="P619" i="9"/>
  <c r="Q619" i="9" s="1"/>
  <c r="P1006" i="9"/>
  <c r="Q1006" i="9" s="1"/>
  <c r="P873" i="9"/>
  <c r="Q873" i="9" s="1"/>
  <c r="P399" i="9"/>
  <c r="Q399" i="9" s="1"/>
  <c r="P756" i="9"/>
  <c r="Q756" i="9" s="1"/>
  <c r="P584" i="9"/>
  <c r="Q584" i="9" s="1"/>
  <c r="P995" i="9"/>
  <c r="Q995" i="9" s="1"/>
  <c r="P569" i="9"/>
  <c r="Q569" i="9" s="1"/>
  <c r="P562" i="9"/>
  <c r="Q562" i="9" s="1"/>
  <c r="P372" i="9"/>
  <c r="Q372" i="9" s="1"/>
  <c r="P990" i="9"/>
  <c r="Q990" i="9" s="1"/>
  <c r="P368" i="9"/>
  <c r="Q368" i="9" s="1"/>
  <c r="P116" i="9"/>
  <c r="Q116" i="9" s="1"/>
  <c r="P349" i="9"/>
  <c r="Q349" i="9" s="1"/>
  <c r="P366" i="9"/>
  <c r="Q366" i="9" s="1"/>
  <c r="P868" i="9"/>
  <c r="Q868" i="9" s="1"/>
  <c r="P510" i="9"/>
  <c r="Q510" i="9" s="1"/>
  <c r="P234" i="9"/>
  <c r="Q234" i="9" s="1"/>
  <c r="P522" i="9"/>
  <c r="Q522" i="9" s="1"/>
  <c r="P35" i="9"/>
  <c r="Q35" i="9" s="1"/>
  <c r="P462" i="9"/>
  <c r="Q462" i="9" s="1"/>
  <c r="P566" i="9"/>
  <c r="Q566" i="9" s="1"/>
  <c r="P171" i="9"/>
  <c r="Q171" i="9" s="1"/>
  <c r="P401" i="9"/>
  <c r="Q401" i="9" s="1"/>
  <c r="P204" i="9"/>
  <c r="Q204" i="9" s="1"/>
  <c r="P112" i="9"/>
  <c r="Q112" i="9" s="1"/>
  <c r="P337" i="9"/>
  <c r="Q337" i="9" s="1"/>
  <c r="P352" i="9"/>
  <c r="Q352" i="9" s="1"/>
  <c r="P418" i="9"/>
  <c r="Q418" i="9" s="1"/>
  <c r="P328" i="9"/>
  <c r="Q328" i="9" s="1"/>
  <c r="P971" i="9"/>
  <c r="Q971" i="9" s="1"/>
  <c r="P346" i="9"/>
  <c r="Q346" i="9" s="1"/>
  <c r="P465" i="9"/>
  <c r="Q465" i="9" s="1"/>
  <c r="P159" i="9"/>
  <c r="Q159" i="9" s="1"/>
  <c r="P24" i="9"/>
  <c r="Q24" i="9" s="1"/>
  <c r="P518" i="9"/>
  <c r="Q518" i="9" s="1"/>
  <c r="P680" i="9"/>
  <c r="Q680" i="9" s="1"/>
  <c r="P564" i="9"/>
  <c r="Q564" i="9" s="1"/>
  <c r="P776" i="9"/>
  <c r="Q776" i="9" s="1"/>
  <c r="P321" i="9"/>
  <c r="Q321" i="9" s="1"/>
  <c r="P930" i="9"/>
  <c r="Q930" i="9" s="1"/>
  <c r="P621" i="9"/>
  <c r="Q621" i="9" s="1"/>
  <c r="P509" i="9"/>
  <c r="Q509" i="9" s="1"/>
  <c r="P265" i="9"/>
  <c r="Q265" i="9" s="1"/>
  <c r="P705" i="9"/>
  <c r="Q705" i="9" s="1"/>
  <c r="P570" i="9"/>
  <c r="Q570" i="9" s="1"/>
  <c r="P502" i="9"/>
  <c r="Q502" i="9" s="1"/>
  <c r="P316" i="9"/>
  <c r="Q316" i="9" s="1"/>
  <c r="P595" i="9"/>
  <c r="Q595" i="9" s="1"/>
  <c r="P183" i="9"/>
  <c r="Q183" i="9" s="1"/>
  <c r="P736" i="9"/>
  <c r="Q736" i="9" s="1"/>
  <c r="P403" i="9"/>
  <c r="Q403" i="9" s="1"/>
  <c r="P17" i="9"/>
  <c r="Q17" i="9" s="1"/>
  <c r="P983" i="9"/>
  <c r="Q983" i="9" s="1"/>
  <c r="P640" i="9"/>
  <c r="Q640" i="9" s="1"/>
  <c r="P607" i="9"/>
  <c r="Q607" i="9" s="1"/>
  <c r="P451" i="9"/>
  <c r="Q451" i="9" s="1"/>
  <c r="P794" i="9"/>
  <c r="Q794" i="9" s="1"/>
  <c r="P211" i="9"/>
  <c r="Q211" i="9" s="1"/>
  <c r="P389" i="9"/>
  <c r="Q389" i="9" s="1"/>
  <c r="P630" i="9"/>
  <c r="Q630" i="9" s="1"/>
  <c r="P229" i="9"/>
  <c r="Q229" i="9" s="1"/>
  <c r="P517" i="9"/>
  <c r="Q517" i="9" s="1"/>
  <c r="P644" i="9"/>
  <c r="Q644" i="9" s="1"/>
  <c r="P922" i="9"/>
  <c r="Q922" i="9" s="1"/>
  <c r="P905" i="9"/>
  <c r="Q905" i="9" s="1"/>
  <c r="P151" i="9"/>
  <c r="Q151" i="9" s="1"/>
  <c r="P947" i="9"/>
  <c r="Q947" i="9" s="1"/>
  <c r="P41" i="9"/>
  <c r="Q41" i="9" s="1"/>
  <c r="P773" i="9"/>
  <c r="Q773" i="9" s="1"/>
  <c r="P481" i="9"/>
  <c r="Q481" i="9" s="1"/>
  <c r="P925" i="9"/>
  <c r="Q925" i="9" s="1"/>
  <c r="P762" i="9"/>
  <c r="Q762" i="9" s="1"/>
  <c r="P837" i="9"/>
  <c r="Q837" i="9" s="1"/>
  <c r="P898" i="9"/>
  <c r="Q898" i="9" s="1"/>
  <c r="P494" i="9"/>
  <c r="Q494" i="9" s="1"/>
  <c r="P744" i="9"/>
  <c r="Q744" i="9" s="1"/>
  <c r="P165" i="9"/>
  <c r="Q165" i="9" s="1"/>
  <c r="P449" i="9"/>
  <c r="Q449" i="9" s="1"/>
  <c r="P629" i="9"/>
  <c r="Q629" i="9" s="1"/>
  <c r="P404" i="9"/>
  <c r="Q404" i="9" s="1"/>
  <c r="P970" i="9"/>
  <c r="Q970" i="9" s="1"/>
  <c r="P468" i="9"/>
  <c r="Q468" i="9" s="1"/>
  <c r="P865" i="9"/>
  <c r="Q865" i="9" s="1"/>
  <c r="P539" i="9"/>
  <c r="Q539" i="9" s="1"/>
  <c r="P298" i="9"/>
  <c r="Q298" i="9" s="1"/>
  <c r="P702" i="9"/>
  <c r="Q702" i="9" s="1"/>
  <c r="P260" i="9"/>
  <c r="Q260" i="9" s="1"/>
  <c r="P681" i="9"/>
  <c r="Q681" i="9" s="1"/>
  <c r="P271" i="9"/>
  <c r="Q271" i="9" s="1"/>
  <c r="P27" i="9"/>
  <c r="Q27" i="9" s="1"/>
  <c r="P583" i="9"/>
  <c r="Q583" i="9" s="1"/>
  <c r="P115" i="9"/>
  <c r="Q115" i="9" s="1"/>
  <c r="P993" i="9"/>
  <c r="Q993" i="9" s="1"/>
  <c r="P374" i="9"/>
  <c r="Q374" i="9" s="1"/>
  <c r="P530" i="9"/>
  <c r="Q530" i="9" s="1"/>
  <c r="P195" i="9"/>
  <c r="Q195" i="9" s="1"/>
  <c r="P795" i="9"/>
  <c r="Q795" i="9" s="1"/>
  <c r="P842" i="9"/>
  <c r="Q842" i="9" s="1"/>
  <c r="P912" i="9"/>
  <c r="Q912" i="9" s="1"/>
  <c r="P713" i="9"/>
  <c r="Q713" i="9" s="1"/>
  <c r="P555" i="9"/>
  <c r="Q555" i="9" s="1"/>
  <c r="P646" i="9"/>
  <c r="Q646" i="9" s="1"/>
  <c r="P855" i="9"/>
  <c r="Q855" i="9" s="1"/>
  <c r="P888" i="9"/>
  <c r="Q888" i="9" s="1"/>
  <c r="P988" i="9"/>
  <c r="Q988" i="9" s="1"/>
  <c r="P122" i="9"/>
  <c r="Q122" i="9" s="1"/>
  <c r="P719" i="9"/>
  <c r="Q719" i="9" s="1"/>
  <c r="P786" i="9"/>
  <c r="Q786" i="9" s="1"/>
  <c r="P377" i="9"/>
  <c r="Q377" i="9" s="1"/>
  <c r="P31" i="9"/>
  <c r="Q31" i="9" s="1"/>
  <c r="P417" i="9"/>
  <c r="Q417" i="9" s="1"/>
  <c r="P534" i="9"/>
  <c r="Q534" i="9" s="1"/>
  <c r="P769" i="9"/>
  <c r="Q769" i="9" s="1"/>
  <c r="P292" i="9"/>
  <c r="Q292" i="9" s="1"/>
  <c r="P320" i="9"/>
  <c r="Q320" i="9" s="1"/>
  <c r="P729" i="9"/>
  <c r="Q729" i="9" s="1"/>
  <c r="P175" i="9"/>
  <c r="Q175" i="9" s="1"/>
  <c r="P568" i="9"/>
  <c r="Q568" i="9" s="1"/>
  <c r="P879" i="9"/>
  <c r="Q879" i="9" s="1"/>
  <c r="P780" i="9"/>
  <c r="Q780" i="9" s="1"/>
  <c r="P933" i="9"/>
  <c r="Q933" i="9" s="1"/>
  <c r="P177" i="9"/>
  <c r="Q177" i="9" s="1"/>
  <c r="P472" i="9"/>
  <c r="Q472" i="9" s="1"/>
  <c r="P74" i="9"/>
  <c r="Q74" i="9" s="1"/>
  <c r="P867" i="9"/>
  <c r="Q867" i="9" s="1"/>
  <c r="P126" i="9"/>
  <c r="Q126" i="9" s="1"/>
  <c r="P602" i="9"/>
  <c r="Q602" i="9" s="1"/>
  <c r="P921" i="9"/>
  <c r="Q921" i="9" s="1"/>
  <c r="P892" i="9"/>
  <c r="Q892" i="9" s="1"/>
  <c r="P946" i="9"/>
  <c r="Q946" i="9" s="1"/>
  <c r="P917" i="9"/>
  <c r="Q917" i="9" s="1"/>
  <c r="P951" i="9"/>
  <c r="Q951" i="9" s="1"/>
  <c r="P693" i="9"/>
  <c r="Q693" i="9" s="1"/>
  <c r="P978" i="9"/>
  <c r="Q978" i="9" s="1"/>
  <c r="P923" i="9"/>
  <c r="Q923" i="9" s="1"/>
  <c r="P199" i="9"/>
  <c r="Q199" i="9" s="1"/>
  <c r="P622" i="9"/>
  <c r="Q622" i="9" s="1"/>
  <c r="P85" i="9"/>
  <c r="Q85" i="9" s="1"/>
  <c r="P511" i="9"/>
  <c r="Q511" i="9" s="1"/>
  <c r="P18" i="9"/>
  <c r="Q18" i="9" s="1"/>
  <c r="P536" i="9"/>
  <c r="Q536" i="9" s="1"/>
  <c r="P777" i="9"/>
  <c r="Q777" i="9" s="1"/>
  <c r="P987" i="9"/>
  <c r="Q987" i="9" s="1"/>
  <c r="P105" i="9"/>
  <c r="Q105" i="9" s="1"/>
  <c r="P458" i="9"/>
  <c r="Q458" i="9" s="1"/>
  <c r="P202" i="9"/>
  <c r="Q202" i="9" s="1"/>
  <c r="P647" i="9"/>
  <c r="Q647" i="9" s="1"/>
  <c r="P885" i="9"/>
  <c r="Q885" i="9" s="1"/>
  <c r="P548" i="9"/>
  <c r="Q548" i="9" s="1"/>
  <c r="P75" i="9"/>
  <c r="Q75" i="9" s="1"/>
  <c r="P488" i="9"/>
  <c r="Q488" i="9" s="1"/>
  <c r="P862" i="9"/>
  <c r="Q862" i="9" s="1"/>
  <c r="P950" i="9"/>
  <c r="Q950" i="9" s="1"/>
  <c r="P866" i="9"/>
  <c r="Q866" i="9" s="1"/>
  <c r="P699" i="9"/>
  <c r="Q699" i="9" s="1"/>
  <c r="P538" i="9"/>
  <c r="Q538" i="9" s="1"/>
  <c r="P233" i="9"/>
  <c r="Q233" i="9" s="1"/>
  <c r="P937" i="9"/>
  <c r="Q937" i="9" s="1"/>
  <c r="P740" i="9"/>
  <c r="Q740" i="9" s="1"/>
  <c r="P414" i="9"/>
  <c r="Q414" i="9" s="1"/>
  <c r="P788" i="9"/>
  <c r="Q788" i="9" s="1"/>
  <c r="P55" i="9"/>
  <c r="Q55" i="9" s="1"/>
  <c r="P198" i="9"/>
  <c r="Q198" i="9" s="1"/>
  <c r="P832" i="9"/>
  <c r="Q832" i="9" s="1"/>
  <c r="P760" i="9"/>
  <c r="Q760" i="9" s="1"/>
  <c r="P1012" i="9"/>
  <c r="Q1012" i="9" s="1"/>
  <c r="P663" i="9"/>
  <c r="Q663" i="9" s="1"/>
  <c r="P928" i="9"/>
  <c r="Q928" i="9" s="1"/>
  <c r="P436" i="9"/>
  <c r="Q436" i="9" s="1"/>
  <c r="P586" i="9"/>
  <c r="Q586" i="9" s="1"/>
  <c r="P334" i="9"/>
  <c r="Q334" i="9" s="1"/>
  <c r="P26" i="9"/>
  <c r="Q26" i="9" s="1"/>
  <c r="P581" i="9"/>
  <c r="Q581" i="9" s="1"/>
  <c r="P634" i="9"/>
  <c r="Q634" i="9" s="1"/>
  <c r="P266" i="9"/>
  <c r="Q266" i="9" s="1"/>
  <c r="P490" i="9"/>
  <c r="Q490" i="9" s="1"/>
  <c r="P560" i="9"/>
  <c r="Q560" i="9" s="1"/>
  <c r="P972" i="9"/>
  <c r="Q972" i="9" s="1"/>
  <c r="P129" i="9"/>
  <c r="Q129" i="9" s="1"/>
  <c r="P119" i="9"/>
  <c r="Q119" i="9" s="1"/>
  <c r="P499" i="9"/>
  <c r="Q499" i="9" s="1"/>
  <c r="P830" i="9"/>
  <c r="Q830" i="9" s="1"/>
  <c r="P907" i="9"/>
  <c r="Q907" i="9" s="1"/>
  <c r="P869" i="9"/>
  <c r="Q869" i="9" s="1"/>
  <c r="P635" i="9"/>
  <c r="Q635" i="9" s="1"/>
  <c r="P135" i="9"/>
  <c r="Q135" i="9" s="1"/>
  <c r="P280" i="9"/>
  <c r="Q280" i="9" s="1"/>
  <c r="P961" i="9"/>
  <c r="Q961" i="9" s="1"/>
  <c r="P750" i="9"/>
  <c r="Q750" i="9" s="1"/>
  <c r="P109" i="9"/>
  <c r="Q109" i="9" s="1"/>
  <c r="P847" i="9"/>
  <c r="Q847" i="9" s="1"/>
  <c r="P557" i="9"/>
  <c r="Q557" i="9" s="1"/>
  <c r="P531" i="9"/>
  <c r="Q531" i="9" s="1"/>
  <c r="P347" i="9"/>
  <c r="Q347" i="9" s="1"/>
  <c r="P297" i="9"/>
  <c r="Q297" i="9" s="1"/>
  <c r="P546" i="9"/>
  <c r="Q546" i="9" s="1"/>
  <c r="P390" i="9"/>
  <c r="Q390" i="9" s="1"/>
  <c r="P410" i="9"/>
  <c r="Q410" i="9" s="1"/>
  <c r="P764" i="9"/>
  <c r="Q764" i="9" s="1"/>
  <c r="P40" i="9"/>
  <c r="Q40" i="9" s="1"/>
  <c r="P32" i="9"/>
  <c r="Q32" i="9" s="1"/>
  <c r="P391" i="9"/>
  <c r="Q391" i="9" s="1"/>
  <c r="P878" i="9"/>
  <c r="Q878" i="9" s="1"/>
  <c r="P872" i="9"/>
  <c r="Q872" i="9" s="1"/>
  <c r="P315" i="9"/>
  <c r="Q315" i="9" s="1"/>
  <c r="P551" i="9"/>
  <c r="Q551" i="9" s="1"/>
  <c r="P541" i="9"/>
  <c r="Q541" i="9" s="1"/>
  <c r="P618" i="9"/>
  <c r="Q618" i="9" s="1"/>
  <c r="P896" i="9"/>
  <c r="Q896" i="9" s="1"/>
  <c r="P1008" i="9"/>
  <c r="Q1008" i="9" s="1"/>
  <c r="P856" i="9"/>
  <c r="Q856" i="9" s="1"/>
  <c r="P871" i="9"/>
  <c r="Q871" i="9" s="1"/>
  <c r="P829" i="9"/>
  <c r="Q829" i="9" s="1"/>
  <c r="P639" i="9"/>
  <c r="Q639" i="9" s="1"/>
  <c r="P498" i="9"/>
  <c r="Q498" i="9" s="1"/>
  <c r="P487" i="9"/>
  <c r="Q487" i="9" s="1"/>
  <c r="P392" i="9"/>
  <c r="Q392" i="9" s="1"/>
  <c r="P516" i="9"/>
  <c r="Q516" i="9" s="1"/>
  <c r="P439" i="9"/>
  <c r="Q439" i="9" s="1"/>
  <c r="P255" i="9"/>
  <c r="Q255" i="9" s="1"/>
  <c r="P854" i="9"/>
  <c r="Q854" i="9" s="1"/>
  <c r="P652" i="9"/>
  <c r="Q652" i="9" s="1"/>
  <c r="P405" i="9"/>
  <c r="Q405" i="9" s="1"/>
  <c r="P613" i="9"/>
  <c r="Q613" i="9" s="1"/>
  <c r="P43" i="9"/>
  <c r="Q43" i="9" s="1"/>
  <c r="P184" i="9"/>
  <c r="Q184" i="9" s="1"/>
  <c r="P70" i="9"/>
  <c r="Q70" i="9" s="1"/>
  <c r="P563" i="9"/>
  <c r="Q563" i="9" s="1"/>
  <c r="P585" i="9"/>
  <c r="Q585" i="9" s="1"/>
  <c r="P145" i="9"/>
  <c r="Q145" i="9" s="1"/>
  <c r="P931" i="9"/>
  <c r="Q931" i="9" s="1"/>
  <c r="P94" i="9"/>
  <c r="Q94" i="9" s="1"/>
  <c r="P364" i="9"/>
  <c r="Q364" i="9" s="1"/>
  <c r="P594" i="9"/>
  <c r="Q594" i="9" s="1"/>
  <c r="P295" i="9"/>
  <c r="Q295" i="9" s="1"/>
  <c r="P791" i="9"/>
  <c r="Q791" i="9" s="1"/>
  <c r="P206" i="9"/>
  <c r="Q206" i="9" s="1"/>
  <c r="P384" i="9"/>
  <c r="Q384" i="9" s="1"/>
  <c r="P180" i="9"/>
  <c r="Q180" i="9" s="1"/>
  <c r="P543" i="9"/>
  <c r="Q543" i="9" s="1"/>
  <c r="P290" i="9"/>
  <c r="Q290" i="9" s="1"/>
  <c r="P73" i="9"/>
  <c r="Q73" i="9" s="1"/>
  <c r="P139" i="9"/>
  <c r="Q139" i="9" s="1"/>
  <c r="P841" i="9"/>
  <c r="Q841" i="9" s="1"/>
  <c r="P941" i="9"/>
  <c r="Q941" i="9" s="1"/>
  <c r="P243" i="9"/>
  <c r="Q243" i="9" s="1"/>
  <c r="P178" i="9"/>
  <c r="Q178" i="9" s="1"/>
  <c r="P367" i="9"/>
  <c r="Q367" i="9" s="1"/>
  <c r="P314" i="9"/>
  <c r="Q314" i="9" s="1"/>
  <c r="P345" i="9"/>
  <c r="Q345" i="9" s="1"/>
  <c r="P1013" i="9"/>
  <c r="Q1013" i="9" s="1"/>
  <c r="P746" i="9"/>
  <c r="Q746" i="9" s="1"/>
  <c r="P789" i="9"/>
  <c r="Q789" i="9" s="1"/>
  <c r="P240" i="9"/>
  <c r="Q240" i="9" s="1"/>
  <c r="P884" i="9"/>
  <c r="Q884" i="9" s="1"/>
  <c r="P221" i="9"/>
  <c r="Q221" i="9" s="1"/>
  <c r="P528" i="9"/>
  <c r="Q528" i="9" s="1"/>
  <c r="P230" i="9"/>
  <c r="Q230" i="9" s="1"/>
  <c r="P476" i="9"/>
  <c r="Q476" i="9" s="1"/>
  <c r="P111" i="9"/>
  <c r="Q111" i="9" s="1"/>
  <c r="P312" i="9"/>
  <c r="Q312" i="9" s="1"/>
  <c r="P118" i="9"/>
  <c r="Q118" i="9" s="1"/>
  <c r="P318" i="9"/>
  <c r="Q318" i="9" s="1"/>
  <c r="P514" i="9"/>
  <c r="Q514" i="9" s="1"/>
  <c r="P303" i="9"/>
  <c r="Q303" i="9" s="1"/>
  <c r="P617" i="9"/>
  <c r="Q617" i="9" s="1"/>
  <c r="P76" i="9"/>
  <c r="Q76" i="9" s="1"/>
  <c r="P37" i="9"/>
  <c r="Q37" i="9" s="1"/>
  <c r="P104" i="9"/>
  <c r="Q104" i="9" s="1"/>
  <c r="P638" i="9"/>
  <c r="Q638" i="9" s="1"/>
  <c r="P678" i="9"/>
  <c r="Q678" i="9" s="1"/>
  <c r="P469" i="9"/>
  <c r="Q469" i="9" s="1"/>
  <c r="P689" i="9"/>
  <c r="Q689" i="9" s="1"/>
  <c r="P790" i="9"/>
  <c r="Q790" i="9" s="1"/>
  <c r="P698" i="9"/>
  <c r="Q698" i="9" s="1"/>
  <c r="P325" i="9"/>
  <c r="Q325" i="9" s="1"/>
  <c r="P822" i="9"/>
  <c r="Q822" i="9" s="1"/>
  <c r="P801" i="9"/>
  <c r="Q801" i="9" s="1"/>
  <c r="P252" i="9"/>
  <c r="Q252" i="9" s="1"/>
  <c r="P164" i="9"/>
  <c r="Q164" i="9" s="1"/>
  <c r="P474" i="9"/>
  <c r="Q474" i="9" s="1"/>
  <c r="P986" i="9"/>
  <c r="Q986" i="9" s="1"/>
  <c r="P642" i="9"/>
  <c r="Q642" i="9" s="1"/>
  <c r="P288" i="9"/>
  <c r="Q288" i="9" s="1"/>
  <c r="P815" i="9"/>
  <c r="Q815" i="9" s="1"/>
  <c r="P28" i="9"/>
  <c r="Q28" i="9" s="1"/>
  <c r="P435" i="9"/>
  <c r="Q435" i="9" s="1"/>
  <c r="P353" i="9"/>
  <c r="Q353" i="9" s="1"/>
  <c r="P421" i="9"/>
  <c r="Q421" i="9" s="1"/>
  <c r="P593" i="9"/>
  <c r="Q593" i="9" s="1"/>
  <c r="P783" i="9"/>
  <c r="Q783" i="9" s="1"/>
  <c r="P20" i="9"/>
  <c r="Q20" i="9" s="1"/>
  <c r="P242" i="9"/>
  <c r="Q242" i="9" s="1"/>
  <c r="P107" i="9"/>
  <c r="Q107" i="9" s="1"/>
  <c r="P894" i="9"/>
  <c r="Q894" i="9" s="1"/>
  <c r="P493" i="9"/>
  <c r="Q493" i="9" s="1"/>
  <c r="P61" i="9"/>
  <c r="Q61" i="9" s="1"/>
  <c r="P561" i="9"/>
  <c r="Q561" i="9" s="1"/>
  <c r="P124" i="9"/>
  <c r="Q124" i="9" s="1"/>
  <c r="P335" i="9"/>
  <c r="Q335" i="9" s="1"/>
  <c r="P256" i="9"/>
  <c r="Q256" i="9" s="1"/>
  <c r="P505" i="9"/>
  <c r="Q505" i="9" s="1"/>
  <c r="P23" i="9"/>
  <c r="Q23" i="9" s="1"/>
  <c r="P547" i="9"/>
  <c r="Q547" i="9" s="1"/>
  <c r="P455" i="9"/>
  <c r="Q455" i="9" s="1"/>
  <c r="P712" i="9"/>
  <c r="Q712" i="9" s="1"/>
  <c r="P870" i="9"/>
  <c r="Q870" i="9" s="1"/>
  <c r="P19" i="9"/>
  <c r="Q19" i="9" s="1"/>
  <c r="P393" i="9"/>
  <c r="Q393" i="9" s="1"/>
  <c r="P370" i="9"/>
  <c r="Q370" i="9" s="1"/>
  <c r="P994" i="9"/>
  <c r="Q994" i="9" s="1"/>
  <c r="P143" i="9"/>
  <c r="Q143" i="9" s="1"/>
  <c r="P515" i="9"/>
  <c r="Q515" i="9" s="1"/>
  <c r="P843" i="9"/>
  <c r="Q843" i="9" s="1"/>
  <c r="P737" i="9"/>
  <c r="Q737" i="9" s="1"/>
  <c r="P395" i="9"/>
  <c r="Q395" i="9" s="1"/>
  <c r="P305" i="9"/>
  <c r="Q305" i="9" s="1"/>
  <c r="P68" i="9"/>
  <c r="Q68" i="9" s="1"/>
  <c r="P387" i="9"/>
  <c r="Q387" i="9" s="1"/>
  <c r="P100" i="9"/>
  <c r="Q100" i="9" s="1"/>
  <c r="P444" i="9"/>
  <c r="Q444" i="9" s="1"/>
  <c r="P875" i="9"/>
  <c r="Q875" i="9" s="1"/>
  <c r="P227" i="9"/>
  <c r="Q227" i="9" s="1"/>
  <c r="P858" i="9"/>
  <c r="Q858" i="9" s="1"/>
  <c r="P197" i="9"/>
  <c r="Q197" i="9" s="1"/>
  <c r="P63" i="9"/>
  <c r="Q63" i="9" s="1"/>
  <c r="P724" i="9"/>
  <c r="Q724" i="9" s="1"/>
  <c r="P360" i="9"/>
  <c r="Q360" i="9" s="1"/>
  <c r="P323" i="9"/>
  <c r="Q323" i="9" s="1"/>
  <c r="P800" i="9"/>
  <c r="Q800" i="9" s="1"/>
  <c r="P332" i="9"/>
  <c r="Q332" i="9" s="1"/>
  <c r="P726" i="9"/>
  <c r="Q726" i="9" s="1"/>
  <c r="P779" i="9"/>
  <c r="Q779" i="9" s="1"/>
  <c r="P98" i="9"/>
  <c r="Q98" i="9" s="1"/>
  <c r="P397" i="9"/>
  <c r="Q397" i="9" s="1"/>
  <c r="P732" i="9"/>
  <c r="Q732" i="9" s="1"/>
  <c r="P1000" i="9"/>
  <c r="Q1000" i="9" s="1"/>
  <c r="P839" i="9"/>
  <c r="Q839" i="9" s="1"/>
  <c r="P415" i="9"/>
  <c r="Q415" i="9" s="1"/>
  <c r="P441" i="9"/>
  <c r="Q441" i="9" s="1"/>
  <c r="P597" i="9"/>
  <c r="Q597" i="9" s="1"/>
  <c r="P201" i="9"/>
  <c r="Q201" i="9" s="1"/>
  <c r="P899" i="9"/>
  <c r="Q899" i="9" s="1"/>
  <c r="P1002" i="9"/>
  <c r="Q1002" i="9" s="1"/>
  <c r="P625" i="9"/>
  <c r="Q625" i="9" s="1"/>
  <c r="P627" i="9"/>
  <c r="Q627" i="9" s="1"/>
  <c r="P157" i="9"/>
  <c r="Q157" i="9" s="1"/>
  <c r="P980" i="9"/>
  <c r="Q980" i="9" s="1"/>
  <c r="P407" i="9"/>
  <c r="Q407" i="9" s="1"/>
  <c r="P532" i="9"/>
  <c r="Q532" i="9" s="1"/>
  <c r="P270" i="9"/>
  <c r="Q270" i="9" s="1"/>
  <c r="P672" i="9"/>
  <c r="Q672" i="9" s="1"/>
  <c r="P285" i="9"/>
  <c r="Q285" i="9" s="1"/>
  <c r="P831" i="9"/>
  <c r="Q831" i="9" s="1"/>
  <c r="P276" i="9"/>
  <c r="Q276" i="9" s="1"/>
  <c r="P125" i="9"/>
  <c r="Q125" i="9" s="1"/>
  <c r="P429" i="9"/>
  <c r="Q429" i="9" s="1"/>
  <c r="P784" i="9"/>
  <c r="Q784" i="9" s="1"/>
  <c r="P851" i="9"/>
  <c r="Q851" i="9" s="1"/>
  <c r="P580" i="9"/>
  <c r="Q580" i="9" s="1"/>
  <c r="P483" i="9"/>
  <c r="Q483" i="9" s="1"/>
  <c r="P781" i="9"/>
  <c r="Q781" i="9" s="1"/>
  <c r="P848" i="9"/>
  <c r="Q848" i="9" s="1"/>
  <c r="P231" i="9"/>
  <c r="Q231" i="9" s="1"/>
  <c r="P687" i="9"/>
  <c r="Q687" i="9" s="1"/>
  <c r="P442" i="9"/>
  <c r="Q442" i="9" s="1"/>
  <c r="P220" i="9"/>
  <c r="Q220" i="9" s="1"/>
  <c r="P466" i="9"/>
  <c r="Q466" i="9" s="1"/>
  <c r="P503" i="9"/>
  <c r="Q503" i="9" s="1"/>
  <c r="P29" i="9"/>
  <c r="Q29" i="9" s="1"/>
  <c r="P336" i="9"/>
  <c r="Q336" i="9" s="1"/>
  <c r="P140" i="9"/>
  <c r="Q140" i="9" s="1"/>
  <c r="P836" i="9"/>
  <c r="Q836" i="9" s="1"/>
  <c r="P120" i="9"/>
  <c r="Q120" i="9" s="1"/>
  <c r="P802" i="9"/>
  <c r="Q802" i="9" s="1"/>
  <c r="P992" i="9"/>
  <c r="Q992" i="9" s="1"/>
  <c r="P1003" i="9"/>
  <c r="Q1003" i="9" s="1"/>
  <c r="P132" i="9"/>
  <c r="Q132" i="9" s="1"/>
  <c r="P470" i="9"/>
  <c r="Q470" i="9" s="1"/>
  <c r="P846" i="9"/>
  <c r="Q846" i="9" s="1"/>
  <c r="P525" i="9"/>
  <c r="Q525" i="9" s="1"/>
  <c r="P420" i="9"/>
  <c r="Q420" i="9" s="1"/>
  <c r="P453" i="9"/>
  <c r="Q453" i="9" s="1"/>
  <c r="P351" i="9"/>
  <c r="Q351" i="9" s="1"/>
  <c r="P673" i="9"/>
  <c r="Q673" i="9" s="1"/>
  <c r="P48" i="9"/>
  <c r="Q48" i="9" s="1"/>
  <c r="P64" i="9"/>
  <c r="Q64" i="9" s="1"/>
  <c r="P889" i="9"/>
  <c r="Q889" i="9" s="1"/>
  <c r="P767" i="9"/>
  <c r="Q767" i="9" s="1"/>
  <c r="P207" i="9"/>
  <c r="Q207" i="9" s="1"/>
  <c r="P492" i="9"/>
  <c r="Q492" i="9" s="1"/>
  <c r="P960" i="9"/>
  <c r="Q960" i="9" s="1"/>
  <c r="P450" i="9"/>
  <c r="Q450" i="9" s="1"/>
  <c r="P772" i="9"/>
  <c r="Q772" i="9" s="1"/>
  <c r="P893" i="9"/>
  <c r="Q893" i="9" s="1"/>
  <c r="P200" i="9"/>
  <c r="Q200" i="9" s="1"/>
  <c r="P369" i="9"/>
  <c r="Q369" i="9" s="1"/>
  <c r="P738" i="9"/>
  <c r="Q738" i="9" s="1"/>
  <c r="P685" i="9"/>
  <c r="Q685" i="9" s="1"/>
  <c r="P641" i="9"/>
  <c r="Q641" i="9" s="1"/>
  <c r="P268" i="9"/>
  <c r="Q268" i="9" s="1"/>
  <c r="P287" i="9"/>
  <c r="Q287" i="9" s="1"/>
  <c r="P827" i="9"/>
  <c r="Q827" i="9" s="1"/>
  <c r="P480" i="9"/>
  <c r="Q480" i="9" s="1"/>
  <c r="P77" i="9"/>
  <c r="Q77" i="9" s="1"/>
  <c r="P747" i="9"/>
  <c r="Q747" i="9" s="1"/>
  <c r="P997" i="9"/>
  <c r="Q997" i="9" s="1"/>
  <c r="P575" i="9"/>
  <c r="Q575" i="9" s="1"/>
  <c r="P694" i="9"/>
  <c r="Q694" i="9" s="1"/>
  <c r="P224" i="9"/>
  <c r="Q224" i="9" s="1"/>
  <c r="P239" i="9"/>
  <c r="Q239" i="9" s="1"/>
  <c r="P99" i="9"/>
  <c r="Q99" i="9" s="1"/>
  <c r="P1010" i="9"/>
  <c r="Q1010" i="9" s="1"/>
  <c r="P819" i="9"/>
  <c r="Q819" i="9" s="1"/>
  <c r="P603" i="9"/>
  <c r="Q603" i="9" s="1"/>
  <c r="P792" i="9"/>
  <c r="Q792" i="9" s="1"/>
  <c r="P677" i="9"/>
  <c r="Q677" i="9" s="1"/>
  <c r="P942" i="9"/>
  <c r="Q942" i="9" s="1"/>
  <c r="P938" i="9"/>
  <c r="Q938" i="9" s="1"/>
  <c r="P676" i="9"/>
  <c r="Q676" i="9" s="1"/>
  <c r="P910" i="9"/>
  <c r="Q910" i="9" s="1"/>
  <c r="P890" i="9"/>
  <c r="Q890" i="9" s="1"/>
  <c r="P170" i="9"/>
  <c r="Q170" i="9" s="1"/>
  <c r="P416" i="9"/>
  <c r="Q416" i="9" s="1"/>
  <c r="P467" i="9"/>
  <c r="Q467" i="9" s="1"/>
  <c r="P350" i="9"/>
  <c r="Q350" i="9" s="1"/>
  <c r="P945" i="9"/>
  <c r="Q945" i="9" s="1"/>
  <c r="P715" i="9"/>
  <c r="Q715" i="9" s="1"/>
  <c r="P437" i="9"/>
  <c r="Q437" i="9" s="1"/>
  <c r="P902" i="9"/>
  <c r="Q902" i="9" s="1"/>
  <c r="P301" i="9"/>
  <c r="Q301" i="9" s="1"/>
  <c r="P507" i="9"/>
  <c r="Q507" i="9" s="1"/>
  <c r="P782" i="9"/>
  <c r="Q782" i="9" s="1"/>
  <c r="P1007" i="9"/>
  <c r="Q1007" i="9" s="1"/>
  <c r="P1004" i="9"/>
  <c r="Q1004" i="9" s="1"/>
  <c r="P958" i="9"/>
  <c r="Q958" i="9" s="1"/>
  <c r="P818" i="9"/>
  <c r="Q818" i="9" s="1"/>
  <c r="P179" i="9"/>
  <c r="Q179" i="9" s="1"/>
  <c r="P876" i="9"/>
  <c r="Q876" i="9" s="1"/>
  <c r="P322" i="9"/>
  <c r="Q322" i="9" s="1"/>
  <c r="P807" i="9"/>
  <c r="Q807" i="9" s="1"/>
  <c r="P623" i="9"/>
  <c r="Q623" i="9" s="1"/>
  <c r="P966" i="9"/>
  <c r="Q966" i="9" s="1"/>
  <c r="P210" i="9"/>
  <c r="Q210" i="9" s="1"/>
  <c r="P446" i="9"/>
  <c r="Q446" i="9" s="1"/>
  <c r="P430" i="9"/>
  <c r="Q430" i="9" s="1"/>
  <c r="P341" i="9"/>
  <c r="Q341" i="9" s="1"/>
  <c r="P413" i="9"/>
  <c r="Q413" i="9" s="1"/>
  <c r="P433" i="9"/>
  <c r="Q433" i="9" s="1"/>
  <c r="P620" i="9"/>
  <c r="Q620" i="9" s="1"/>
  <c r="P205" i="9"/>
  <c r="Q205" i="9" s="1"/>
  <c r="P427" i="9"/>
  <c r="Q427" i="9" s="1"/>
  <c r="P920" i="9"/>
  <c r="Q920" i="9" s="1"/>
  <c r="P258" i="9"/>
  <c r="Q258" i="9" s="1"/>
  <c r="P36" i="9"/>
  <c r="Q36" i="9" s="1"/>
  <c r="P181" i="9"/>
  <c r="Q181" i="9" s="1"/>
  <c r="P460" i="9"/>
  <c r="Q460" i="9" s="1"/>
  <c r="P814" i="9"/>
  <c r="Q814" i="9" s="1"/>
  <c r="P110" i="9"/>
  <c r="Q110" i="9" s="1"/>
  <c r="P973" i="9"/>
  <c r="Q973" i="9" s="1"/>
  <c r="P225" i="9"/>
  <c r="Q225" i="9" s="1"/>
  <c r="P679" i="9"/>
  <c r="Q679" i="9" s="1"/>
  <c r="P725" i="9"/>
  <c r="Q725" i="9" s="1"/>
  <c r="P700" i="9"/>
  <c r="Q700" i="9" s="1"/>
  <c r="P897" i="9"/>
  <c r="Q897" i="9" s="1"/>
  <c r="P565" i="9"/>
  <c r="Q565" i="9" s="1"/>
  <c r="P810" i="9"/>
  <c r="Q810" i="9" s="1"/>
  <c r="P817" i="9"/>
  <c r="Q817" i="9" s="1"/>
  <c r="P857" i="9"/>
  <c r="Q857" i="9" s="1"/>
  <c r="P459" i="9"/>
  <c r="Q459" i="9" s="1"/>
  <c r="P50" i="9"/>
  <c r="Q50" i="9" s="1"/>
  <c r="P936" i="9"/>
  <c r="Q936" i="9" s="1"/>
  <c r="P208" i="9"/>
  <c r="Q208" i="9" s="1"/>
  <c r="P428" i="9"/>
  <c r="Q428" i="9" s="1"/>
  <c r="P874" i="9"/>
  <c r="Q874" i="9" s="1"/>
  <c r="P267" i="9"/>
  <c r="Q267" i="9" s="1"/>
  <c r="P396" i="9"/>
  <c r="Q396" i="9" s="1"/>
  <c r="P304" i="9"/>
  <c r="Q304" i="9" s="1"/>
  <c r="P853" i="9"/>
  <c r="Q853" i="9" s="1"/>
  <c r="P333" i="9"/>
  <c r="Q333" i="9" s="1"/>
  <c r="P655" i="9"/>
  <c r="Q655" i="9" s="1"/>
  <c r="P808" i="9"/>
  <c r="Q808" i="9" s="1"/>
  <c r="P742" i="9"/>
  <c r="Q742" i="9" s="1"/>
  <c r="P161" i="9"/>
  <c r="Q161" i="9" s="1"/>
  <c r="P608" i="9"/>
  <c r="Q608" i="9" s="1"/>
  <c r="P656" i="9"/>
  <c r="Q656" i="9" s="1"/>
  <c r="P342" i="9"/>
  <c r="Q342" i="9" s="1"/>
  <c r="P500" i="9"/>
  <c r="Q500" i="9" s="1"/>
  <c r="P882" i="9"/>
  <c r="Q882" i="9" s="1"/>
  <c r="P658" i="9"/>
  <c r="Q658" i="9" s="1"/>
  <c r="P915" i="9"/>
  <c r="Q915" i="9" s="1"/>
  <c r="P821" i="9"/>
  <c r="Q821" i="9" s="1"/>
  <c r="P771" i="9"/>
  <c r="Q771" i="9" s="1"/>
  <c r="P611" i="9"/>
  <c r="Q611" i="9" s="1"/>
  <c r="P496" i="9"/>
  <c r="Q496" i="9" s="1"/>
  <c r="P919" i="9"/>
  <c r="Q919" i="9" s="1"/>
  <c r="P999" i="9"/>
  <c r="Q999" i="9" s="1"/>
  <c r="P661" i="9"/>
  <c r="Q661" i="9" s="1"/>
  <c r="P329" i="9"/>
  <c r="Q329" i="9" s="1"/>
  <c r="P758" i="9"/>
  <c r="Q758" i="9" s="1"/>
  <c r="P83" i="9"/>
  <c r="Q83" i="9" s="1"/>
  <c r="P524" i="9"/>
  <c r="Q524" i="9" s="1"/>
  <c r="P606" i="9"/>
  <c r="Q606" i="9" s="1"/>
  <c r="P703" i="9"/>
  <c r="Q703" i="9" s="1"/>
  <c r="P741" i="9"/>
  <c r="Q741" i="9" s="1"/>
  <c r="P559" i="9"/>
  <c r="Q559" i="9" s="1"/>
  <c r="P967" i="9"/>
  <c r="Q967" i="9" s="1"/>
  <c r="P169" i="9"/>
  <c r="Q169" i="9" s="1"/>
  <c r="P671" i="9"/>
  <c r="Q671" i="9" s="1"/>
  <c r="P117" i="9"/>
  <c r="Q117" i="9" s="1"/>
  <c r="P254" i="9"/>
  <c r="Q254" i="9" s="1"/>
  <c r="P668" i="9"/>
  <c r="Q668" i="9" s="1"/>
  <c r="P311" i="9"/>
  <c r="Q311" i="9" s="1"/>
  <c r="P797" i="9"/>
  <c r="Q797" i="9" s="1"/>
  <c r="P573" i="9"/>
  <c r="Q573" i="9" s="1"/>
  <c r="P409" i="9"/>
  <c r="Q409" i="9" s="1"/>
  <c r="P883" i="9"/>
  <c r="Q883" i="9" s="1"/>
  <c r="P955" i="9"/>
  <c r="Q955" i="9" s="1"/>
  <c r="P388" i="9"/>
  <c r="Q388" i="9" s="1"/>
  <c r="P774" i="9"/>
  <c r="Q774" i="9" s="1"/>
  <c r="P775" i="9"/>
  <c r="Q775" i="9" s="1"/>
  <c r="P359" i="9"/>
  <c r="Q359" i="9" s="1"/>
  <c r="P984" i="9"/>
  <c r="Q984" i="9" s="1"/>
  <c r="P386" i="9"/>
  <c r="Q386" i="9" s="1"/>
  <c r="P45" i="9"/>
  <c r="Q45" i="9" s="1"/>
  <c r="P188" i="9"/>
  <c r="Q188" i="9" s="1"/>
  <c r="P731" i="9"/>
  <c r="Q731" i="9" s="1"/>
  <c r="P16" i="9"/>
  <c r="Q16" i="9" s="1"/>
  <c r="P567" i="9"/>
  <c r="Q567" i="9" s="1"/>
  <c r="P553" i="9"/>
  <c r="Q553" i="9" s="1"/>
  <c r="P717" i="9"/>
  <c r="Q717" i="9" s="1"/>
  <c r="P93" i="9"/>
  <c r="Q93" i="9" s="1"/>
  <c r="P728" i="9"/>
  <c r="Q728" i="9" s="1"/>
  <c r="P144" i="9"/>
  <c r="Q144" i="9" s="1"/>
  <c r="P906" i="9"/>
  <c r="Q906" i="9" s="1"/>
  <c r="P398" i="9"/>
  <c r="Q398" i="9" s="1"/>
  <c r="P697" i="9"/>
  <c r="Q697" i="9" s="1"/>
  <c r="P688" i="9"/>
  <c r="Q688" i="9" s="1"/>
  <c r="P95" i="9"/>
  <c r="Q95" i="9" s="1"/>
  <c r="P57" i="9"/>
  <c r="Q57" i="9" s="1"/>
  <c r="P721" i="9"/>
  <c r="Q721" i="9" s="1"/>
  <c r="P53" i="9"/>
  <c r="Q53" i="9" s="1"/>
  <c r="P751" i="9"/>
  <c r="Q751" i="9" s="1"/>
  <c r="P527" i="9"/>
  <c r="Q527" i="9" s="1"/>
  <c r="P571" i="9"/>
  <c r="Q571" i="9" s="1"/>
  <c r="P601" i="9"/>
  <c r="Q601" i="9" s="1"/>
  <c r="P690" i="9"/>
  <c r="Q690" i="9" s="1"/>
  <c r="P66" i="9"/>
  <c r="Q66" i="9" s="1"/>
  <c r="P486" i="9"/>
  <c r="Q486" i="9" s="1"/>
  <c r="P162" i="9"/>
  <c r="Q162" i="9" s="1"/>
  <c r="P402" i="9"/>
  <c r="Q402" i="9" s="1"/>
  <c r="P552" i="9"/>
  <c r="Q552" i="9" s="1"/>
  <c r="P89" i="9"/>
  <c r="Q89" i="9" s="1"/>
  <c r="P278" i="9"/>
  <c r="Q278" i="9" s="1"/>
  <c r="P88" i="9"/>
  <c r="Q88" i="9" s="1"/>
  <c r="P438" i="9"/>
  <c r="Q438" i="9" s="1"/>
  <c r="P572" i="9"/>
  <c r="Q572" i="9" s="1"/>
  <c r="P605" i="9"/>
  <c r="Q605" i="9" s="1"/>
  <c r="P306" i="9"/>
  <c r="Q306" i="9" s="1"/>
  <c r="P79" i="9"/>
  <c r="Q79" i="9" s="1"/>
  <c r="P245" i="9"/>
  <c r="Q245" i="9" s="1"/>
  <c r="P521" i="9"/>
  <c r="Q521" i="9" s="1"/>
  <c r="P293" i="9"/>
  <c r="Q293" i="9" s="1"/>
  <c r="P443" i="9"/>
  <c r="Q443" i="9" s="1"/>
  <c r="P545" i="9"/>
  <c r="Q545" i="9" s="1"/>
  <c r="P710" i="9"/>
  <c r="Q710" i="9" s="1"/>
  <c r="P991" i="9"/>
  <c r="Q991" i="9" s="1"/>
  <c r="P624" i="9"/>
  <c r="Q624" i="9" s="1"/>
  <c r="P982" i="9"/>
  <c r="Q982" i="9" s="1"/>
  <c r="P82" i="9"/>
  <c r="Q82" i="9" s="1"/>
  <c r="P1001" i="9"/>
  <c r="Q1001" i="9" s="1"/>
  <c r="P249" i="9"/>
  <c r="Q249" i="9" s="1"/>
  <c r="P291" i="9"/>
  <c r="Q291" i="9" s="1"/>
  <c r="P759" i="9"/>
  <c r="Q759" i="9" s="1"/>
  <c r="P900" i="9"/>
  <c r="Q900" i="9" s="1"/>
  <c r="P168" i="9"/>
  <c r="Q168" i="9" s="1"/>
  <c r="P604" i="9"/>
  <c r="Q604" i="9" s="1"/>
  <c r="P253" i="9"/>
  <c r="Q253" i="9" s="1"/>
  <c r="P187" i="9"/>
  <c r="Q187" i="9" s="1"/>
  <c r="P343" i="9"/>
  <c r="Q343" i="9" s="1"/>
  <c r="P153" i="9"/>
  <c r="Q153" i="9" s="1"/>
  <c r="P723" i="9"/>
  <c r="Q723" i="9" s="1"/>
  <c r="P825" i="9"/>
  <c r="Q825" i="9" s="1"/>
  <c r="P60" i="9"/>
  <c r="Q60" i="9" s="1"/>
  <c r="P929" i="9"/>
  <c r="Q929" i="9" s="1"/>
  <c r="P845" i="9"/>
  <c r="Q845" i="9" s="1"/>
  <c r="P101" i="9"/>
  <c r="Q101" i="9" s="1"/>
  <c r="P811" i="9"/>
  <c r="Q811" i="9" s="1"/>
  <c r="P30" i="9"/>
  <c r="Q30" i="9" s="1"/>
  <c r="P279" i="9"/>
  <c r="Q279" i="9" s="1"/>
  <c r="P748" i="9"/>
  <c r="Q748" i="9" s="1"/>
  <c r="P935" i="9"/>
  <c r="Q935" i="9" s="1"/>
  <c r="P382" i="9"/>
  <c r="Q382" i="9" s="1"/>
  <c r="P84" i="9"/>
  <c r="Q84" i="9" s="1"/>
  <c r="P154" i="9"/>
  <c r="Q154" i="9" s="1"/>
  <c r="P246" i="9"/>
  <c r="Q246" i="9" s="1"/>
  <c r="P86" i="9"/>
  <c r="Q86" i="9" s="1"/>
  <c r="P934" i="9"/>
  <c r="Q934" i="9" s="1"/>
  <c r="P578" i="9"/>
  <c r="Q578" i="9" s="1"/>
  <c r="P948" i="9"/>
  <c r="Q948" i="9" s="1"/>
  <c r="P674" i="9"/>
  <c r="Q674" i="9" s="1"/>
  <c r="P214" i="9"/>
  <c r="Q214" i="9" s="1"/>
  <c r="P282" i="9"/>
  <c r="Q282" i="9" s="1"/>
  <c r="P248" i="9"/>
  <c r="Q248" i="9" s="1"/>
  <c r="P600" i="9"/>
  <c r="Q600" i="9" s="1"/>
  <c r="P599" i="9"/>
  <c r="Q599" i="9" s="1"/>
  <c r="P770" i="9"/>
  <c r="Q770" i="9" s="1"/>
  <c r="P733" i="9"/>
  <c r="Q733" i="9" s="1"/>
  <c r="P914" i="9"/>
  <c r="Q914" i="9" s="1"/>
  <c r="P71" i="9"/>
  <c r="Q71" i="9" s="1"/>
  <c r="P289" i="9"/>
  <c r="Q289" i="9" s="1"/>
  <c r="P696" i="9"/>
  <c r="Q696" i="9" s="1"/>
  <c r="P943" i="9"/>
  <c r="Q943" i="9" s="1"/>
  <c r="P319" i="9"/>
  <c r="Q319" i="9" s="1"/>
  <c r="P823" i="9"/>
  <c r="Q823" i="9" s="1"/>
  <c r="P158" i="9"/>
  <c r="Q158" i="9" s="1"/>
  <c r="P264" i="9"/>
  <c r="Q264" i="9" s="1"/>
  <c r="P574" i="9"/>
  <c r="Q574" i="9" s="1"/>
  <c r="P766" i="9"/>
  <c r="Q766" i="9" s="1"/>
  <c r="P22" i="9"/>
  <c r="Q22" i="9" s="1"/>
  <c r="P383" i="9"/>
  <c r="Q383" i="9" s="1"/>
  <c r="P852" i="9"/>
  <c r="Q852" i="9" s="1"/>
  <c r="P150" i="9"/>
  <c r="Q150" i="9" s="1"/>
  <c r="P313" i="9"/>
  <c r="Q313" i="9" s="1"/>
  <c r="P778" i="9"/>
  <c r="Q778" i="9" s="1"/>
  <c r="P130" i="9"/>
  <c r="Q130" i="9" s="1"/>
  <c r="P840" i="9"/>
  <c r="Q840" i="9" s="1"/>
  <c r="P495" i="9"/>
  <c r="Q495" i="9" s="1"/>
  <c r="P259" i="9"/>
  <c r="Q259" i="9" s="1"/>
  <c r="P787" i="9"/>
  <c r="Q787" i="9" s="1"/>
  <c r="P944" i="9"/>
  <c r="Q944" i="9" s="1"/>
  <c r="P940" i="9"/>
  <c r="Q940" i="9" s="1"/>
  <c r="P238" i="9"/>
  <c r="Q238" i="9" s="1"/>
  <c r="P981" i="9"/>
  <c r="Q981" i="9" s="1"/>
  <c r="P216" i="9"/>
  <c r="Q216" i="9" s="1"/>
  <c r="P51" i="9"/>
  <c r="Q51" i="9" s="1"/>
  <c r="P666" i="9"/>
  <c r="Q666" i="9" s="1"/>
  <c r="P660" i="9"/>
  <c r="Q660" i="9" s="1"/>
  <c r="P294" i="9"/>
  <c r="Q294" i="9" s="1"/>
  <c r="P913" i="9"/>
  <c r="Q913" i="9" s="1"/>
  <c r="P69" i="9"/>
  <c r="Q69" i="9" s="1"/>
  <c r="P33" i="9"/>
  <c r="Q33" i="9" s="1"/>
  <c r="P152" i="9"/>
  <c r="Q152" i="9" s="1"/>
  <c r="P544" i="9"/>
  <c r="Q544" i="9" s="1"/>
  <c r="P419" i="9"/>
  <c r="Q419" i="9" s="1"/>
  <c r="P1005" i="9"/>
  <c r="Q1005" i="9" s="1"/>
  <c r="P440" i="9"/>
  <c r="Q440" i="9" s="1"/>
  <c r="P550" i="9"/>
  <c r="Q550" i="9" s="1"/>
  <c r="P820" i="9"/>
  <c r="Q820" i="9" s="1"/>
  <c r="P226" i="9"/>
  <c r="Q226" i="9" s="1"/>
  <c r="P637" i="9"/>
  <c r="Q637" i="9" s="1"/>
  <c r="P97" i="9"/>
  <c r="Q97" i="9" s="1"/>
  <c r="P959" i="9"/>
  <c r="Q959" i="9" s="1"/>
  <c r="P684" i="9"/>
  <c r="Q684" i="9" s="1"/>
  <c r="P400" i="9"/>
  <c r="Q400" i="9" s="1"/>
  <c r="P755" i="9"/>
  <c r="Q755" i="9" s="1"/>
  <c r="P167" i="9"/>
  <c r="Q167" i="9" s="1"/>
  <c r="P664" i="9"/>
  <c r="Q664" i="9" s="1"/>
  <c r="P262" i="9"/>
  <c r="Q262" i="9" s="1"/>
  <c r="P535" i="9"/>
  <c r="Q535" i="9" s="1"/>
  <c r="P281" i="9"/>
  <c r="Q281" i="9" s="1"/>
  <c r="P803" i="9"/>
  <c r="Q803" i="9" s="1"/>
  <c r="P191" i="9"/>
  <c r="Q191" i="9" s="1"/>
  <c r="P589" i="9"/>
  <c r="Q589" i="9" s="1"/>
  <c r="P34" i="9"/>
  <c r="Q34" i="9" s="1"/>
  <c r="P796" i="9"/>
  <c r="Q796" i="9" s="1"/>
  <c r="P137" i="9"/>
  <c r="Q137" i="9" s="1"/>
  <c r="P579" i="9"/>
  <c r="Q579" i="9" s="1"/>
  <c r="P631" i="9"/>
  <c r="Q631" i="9" s="1"/>
  <c r="P121" i="9"/>
  <c r="Q121" i="9" s="1"/>
  <c r="P838" i="9"/>
  <c r="Q838" i="9" s="1"/>
  <c r="P190" i="9"/>
  <c r="Q190" i="9" s="1"/>
  <c r="P650" i="9"/>
  <c r="Q650" i="9" s="1"/>
  <c r="P844" i="9"/>
  <c r="Q844" i="9" s="1"/>
  <c r="P185" i="9"/>
  <c r="Q185" i="9" s="1"/>
  <c r="P859" i="9"/>
  <c r="Q859" i="9" s="1"/>
  <c r="P886" i="9"/>
  <c r="Q886" i="9" s="1"/>
  <c r="P881" i="9"/>
  <c r="Q881" i="9" s="1"/>
  <c r="P106" i="9"/>
  <c r="Q106" i="9" s="1"/>
  <c r="P626" i="9"/>
  <c r="Q626" i="9" s="1"/>
  <c r="P235" i="9"/>
  <c r="Q235" i="9" s="1"/>
  <c r="P25" i="9"/>
  <c r="Q25" i="9" s="1"/>
  <c r="P471" i="9"/>
  <c r="Q471" i="9" s="1"/>
  <c r="P228" i="9"/>
  <c r="Q228" i="9" s="1"/>
  <c r="P798" i="9"/>
  <c r="Q798" i="9" s="1"/>
  <c r="P665" i="9"/>
  <c r="Q665" i="9" s="1"/>
  <c r="P588" i="9"/>
  <c r="Q588" i="9" s="1"/>
  <c r="P92" i="9"/>
  <c r="Q92" i="9" s="1"/>
  <c r="P257" i="9"/>
  <c r="Q257" i="9" s="1"/>
  <c r="P722" i="9"/>
  <c r="Q722" i="9" s="1"/>
  <c r="P720" i="9"/>
  <c r="Q720" i="9" s="1"/>
  <c r="P645" i="9"/>
  <c r="Q645" i="9" s="1"/>
  <c r="P918" i="9"/>
  <c r="Q918" i="9" s="1"/>
  <c r="P236" i="9"/>
  <c r="Q236" i="9" s="1"/>
  <c r="P432" i="9"/>
  <c r="Q432" i="9" s="1"/>
  <c r="P610" i="9"/>
  <c r="Q610" i="9" s="1"/>
  <c r="P317" i="9"/>
  <c r="Q317" i="9" s="1"/>
  <c r="P141" i="9"/>
  <c r="Q141" i="9" s="1"/>
  <c r="P877" i="9"/>
  <c r="Q877" i="9" s="1"/>
  <c r="P286" i="9"/>
  <c r="Q286" i="9" s="1"/>
  <c r="P277" i="9"/>
  <c r="Q277" i="9" s="1"/>
  <c r="P309" i="9"/>
  <c r="Q309" i="9" s="1"/>
  <c r="P379" i="9"/>
  <c r="Q379" i="9" s="1"/>
  <c r="P757" i="9"/>
  <c r="Q757" i="9" s="1"/>
  <c r="P173" i="9"/>
  <c r="Q173" i="9" s="1"/>
  <c r="P406" i="9"/>
  <c r="Q406" i="9" s="1"/>
  <c r="P269" i="9"/>
  <c r="Q269" i="9" s="1"/>
  <c r="P363" i="9"/>
  <c r="Q363" i="9" s="1"/>
  <c r="P554" i="9"/>
  <c r="Q554" i="9" s="1"/>
  <c r="P108" i="9"/>
  <c r="Q108" i="9" s="1"/>
  <c r="P47" i="9"/>
  <c r="Q47" i="9" s="1"/>
  <c r="P80" i="9"/>
  <c r="Q80" i="9" s="1"/>
  <c r="P193" i="9"/>
  <c r="Q193" i="9" s="1"/>
  <c r="P189" i="9"/>
  <c r="Q189" i="9" s="1"/>
  <c r="P148" i="9"/>
  <c r="Q148" i="9" s="1"/>
  <c r="P394" i="9"/>
  <c r="Q394" i="9" s="1"/>
  <c r="P653" i="9"/>
  <c r="Q653" i="9" s="1"/>
  <c r="P283" i="9"/>
  <c r="Q283" i="9" s="1"/>
  <c r="P448" i="9"/>
  <c r="Q448" i="9" s="1"/>
  <c r="P156" i="9"/>
  <c r="Q156" i="9" s="1"/>
  <c r="P616" i="9"/>
  <c r="Q616" i="9" s="1"/>
  <c r="P718" i="9"/>
  <c r="Q718" i="9" s="1"/>
  <c r="P408" i="9"/>
  <c r="Q408" i="9" s="1"/>
  <c r="P765" i="9"/>
  <c r="Q765" i="9" s="1"/>
  <c r="P362" i="9"/>
  <c r="Q362" i="9" s="1"/>
  <c r="P824" i="9"/>
  <c r="Q824" i="9" s="1"/>
  <c r="P939" i="9"/>
  <c r="Q939" i="9" s="1"/>
  <c r="P310" i="9"/>
  <c r="Q310" i="9" s="1"/>
  <c r="P976" i="9"/>
  <c r="Q976" i="9" s="1"/>
  <c r="P793" i="9"/>
  <c r="Q793" i="9" s="1"/>
  <c r="P977" i="9"/>
  <c r="Q977" i="9" s="1"/>
  <c r="P423" i="9"/>
  <c r="Q423" i="9" s="1"/>
  <c r="P381" i="9"/>
  <c r="Q381" i="9" s="1"/>
  <c r="P895" i="9"/>
  <c r="Q895" i="9" s="1"/>
  <c r="P182" i="9"/>
  <c r="Q182" i="9" s="1"/>
  <c r="P523" i="9"/>
  <c r="Q523" i="9" s="1"/>
  <c r="P590" i="9"/>
  <c r="Q590" i="9" s="1"/>
  <c r="P478" i="9"/>
  <c r="Q478" i="9" s="1"/>
  <c r="P365" i="9"/>
  <c r="Q365" i="9" s="1"/>
  <c r="P356" i="9"/>
  <c r="Q356" i="9" s="1"/>
  <c r="P949" i="9"/>
  <c r="Q949" i="9" s="1"/>
  <c r="P431" i="9"/>
  <c r="Q431" i="9" s="1"/>
  <c r="P598" i="9"/>
  <c r="Q598" i="9" s="1"/>
  <c r="P340" i="9"/>
  <c r="Q340" i="9" s="1"/>
  <c r="P219" i="9"/>
  <c r="Q219" i="9" s="1"/>
  <c r="P975" i="9"/>
  <c r="Q975" i="9" s="1"/>
  <c r="P692" i="9"/>
  <c r="Q692" i="9" s="1"/>
  <c r="P52" i="9"/>
  <c r="Q52" i="9" s="1"/>
  <c r="P739" i="9"/>
  <c r="Q739" i="9" s="1"/>
  <c r="P133" i="9"/>
  <c r="Q133" i="9" s="1"/>
  <c r="P361" i="9"/>
  <c r="Q361" i="9" s="1"/>
  <c r="P1009" i="9"/>
  <c r="Q1009" i="9" s="1"/>
  <c r="P473" i="9"/>
  <c r="Q473" i="9" s="1"/>
  <c r="P434" i="9"/>
  <c r="Q434" i="9" s="1"/>
  <c r="P911" i="9"/>
  <c r="Q911" i="9" s="1"/>
  <c r="P275" i="9"/>
  <c r="Q275" i="9" s="1"/>
  <c r="P508" i="9"/>
  <c r="Q508" i="9" s="1"/>
  <c r="P506" i="9"/>
  <c r="Q506" i="9" s="1"/>
  <c r="P582" i="9"/>
  <c r="Q582" i="9" s="1"/>
  <c r="P482" i="9"/>
  <c r="Q482" i="9" s="1"/>
  <c r="P628" i="9"/>
  <c r="Q628" i="9" s="1"/>
  <c r="P222" i="9"/>
  <c r="Q222" i="9" s="1"/>
  <c r="P734" i="9"/>
  <c r="Q734" i="9" s="1"/>
  <c r="P355" i="9"/>
  <c r="Q355" i="9" s="1"/>
  <c r="P835" i="9"/>
  <c r="Q835" i="9" s="1"/>
  <c r="P42" i="9"/>
  <c r="Q42" i="9" s="1"/>
  <c r="P662" i="9"/>
  <c r="Q662" i="9" s="1"/>
  <c r="P904" i="9"/>
  <c r="Q904" i="9" s="1"/>
  <c r="P327" i="9"/>
  <c r="Q327" i="9" s="1"/>
  <c r="P330" i="9"/>
  <c r="Q330" i="9" s="1"/>
  <c r="P549" i="9"/>
  <c r="Q549" i="9" s="1"/>
  <c r="P816" i="9"/>
  <c r="Q816" i="9" s="1"/>
  <c r="P826" i="9"/>
  <c r="Q826" i="9" s="1"/>
  <c r="P378" i="9"/>
  <c r="Q378" i="9" s="1"/>
  <c r="P67" i="9"/>
  <c r="Q67" i="9" s="1"/>
  <c r="P558" i="9"/>
  <c r="Q558" i="9" s="1"/>
  <c r="P730" i="9"/>
  <c r="Q730" i="9" s="1"/>
  <c r="P752" i="9"/>
  <c r="Q752" i="9" s="1"/>
  <c r="P128" i="9"/>
  <c r="Q128" i="9" s="1"/>
  <c r="P479" i="9"/>
  <c r="Q479" i="9" s="1"/>
  <c r="P274" i="9"/>
  <c r="Q274" i="9" s="1"/>
  <c r="P176" i="9"/>
  <c r="Q176" i="9" s="1"/>
  <c r="P39" i="9"/>
  <c r="Q39" i="9" s="1"/>
  <c r="P237" i="9"/>
  <c r="Q237" i="9" s="1"/>
  <c r="P512" i="9"/>
  <c r="Q512" i="9" s="1"/>
  <c r="P880" i="9"/>
  <c r="Q880" i="9" s="1"/>
  <c r="P497" i="9"/>
  <c r="Q497" i="9" s="1"/>
  <c r="P520" i="9"/>
  <c r="Q520" i="9" s="1"/>
  <c r="P833" i="9"/>
  <c r="Q833" i="9" s="1"/>
  <c r="P196" i="9"/>
  <c r="Q196" i="9" s="1"/>
  <c r="P146" i="9"/>
  <c r="Q146" i="9" s="1"/>
  <c r="P974" i="9"/>
  <c r="Q974" i="9" s="1"/>
  <c r="P65" i="9"/>
  <c r="Q65" i="9" s="1"/>
  <c r="P223" i="9"/>
  <c r="Q223" i="9" s="1"/>
  <c r="P763" i="9"/>
  <c r="Q763" i="9" s="1"/>
  <c r="P447" i="9"/>
  <c r="Q447" i="9" s="1"/>
  <c r="P247" i="9"/>
  <c r="Q247" i="9" s="1"/>
  <c r="P716" i="9"/>
  <c r="Q716" i="9" s="1"/>
  <c r="P704" i="9"/>
  <c r="Q704" i="9" s="1"/>
  <c r="P136" i="9"/>
  <c r="Q136" i="9" s="1"/>
  <c r="P654" i="9"/>
  <c r="Q654" i="9" s="1"/>
  <c r="P338" i="9"/>
  <c r="Q338" i="9" s="1"/>
  <c r="P326" i="9"/>
  <c r="Q326" i="9" s="1"/>
  <c r="P968" i="9"/>
  <c r="Q968" i="9" s="1"/>
  <c r="P81" i="9"/>
  <c r="Q81" i="9" s="1"/>
  <c r="P761" i="9"/>
  <c r="Q761" i="9" s="1"/>
  <c r="P591" i="9"/>
  <c r="Q591" i="9" s="1"/>
  <c r="P213" i="9"/>
  <c r="Q213" i="9" s="1"/>
  <c r="P263" i="9"/>
  <c r="Q263" i="9" s="1"/>
  <c r="P491" i="9"/>
  <c r="Q491" i="9" s="1"/>
  <c r="P957" i="9"/>
  <c r="Q957" i="9" s="1"/>
  <c r="P212" i="9"/>
  <c r="Q212" i="9" s="1"/>
  <c r="P529" i="9"/>
  <c r="Q529" i="9" s="1"/>
  <c r="P743" i="9"/>
  <c r="Q743" i="9" s="1"/>
  <c r="P461" i="9"/>
  <c r="Q461" i="9" s="1"/>
  <c r="P354" i="9"/>
  <c r="Q354" i="9" s="1"/>
  <c r="P300" i="9"/>
  <c r="Q300" i="9" s="1"/>
  <c r="P244" i="9"/>
  <c r="Q244" i="9" s="1"/>
  <c r="P21" i="9"/>
  <c r="Q21" i="9" s="1"/>
  <c r="P296" i="9"/>
  <c r="Q296" i="9" s="1"/>
  <c r="P727" i="9"/>
  <c r="Q727" i="9" s="1"/>
  <c r="P203" i="9"/>
  <c r="Q203" i="9" s="1"/>
  <c r="P373" i="9"/>
  <c r="Q373" i="9" s="1"/>
  <c r="P649" i="9"/>
  <c r="Q649" i="9" s="1"/>
  <c r="P96" i="9"/>
  <c r="Q96" i="9" s="1"/>
  <c r="P612" i="9"/>
  <c r="Q612" i="9" s="1"/>
  <c r="P385" i="9"/>
  <c r="Q385" i="9" s="1"/>
  <c r="P927" i="9"/>
  <c r="Q927" i="9" s="1"/>
  <c r="P887" i="9"/>
  <c r="Q887" i="9" s="1"/>
  <c r="P714" i="9"/>
  <c r="Q714" i="9" s="1"/>
  <c r="P632" i="9"/>
  <c r="Q632" i="9" s="1"/>
  <c r="P357" i="9"/>
  <c r="Q357" i="9" s="1"/>
  <c r="P956" i="9"/>
  <c r="Q956" i="9" s="1"/>
  <c r="P969" i="9"/>
  <c r="Q969" i="9" s="1"/>
  <c r="P163" i="9"/>
  <c r="Q163" i="9" s="1"/>
  <c r="P131" i="9"/>
  <c r="Q131" i="9" s="1"/>
  <c r="P711" i="9"/>
  <c r="Q711" i="9" s="1"/>
  <c r="P344" i="9"/>
  <c r="Q344" i="9" s="1"/>
  <c r="P426" i="9"/>
  <c r="Q426" i="9" s="1"/>
  <c r="P166" i="9"/>
  <c r="Q166" i="9" s="1"/>
  <c r="P735" i="9"/>
  <c r="Q735" i="9" s="1"/>
  <c r="P358" i="9"/>
  <c r="Q358" i="9" s="1"/>
  <c r="P192" i="9"/>
  <c r="Q192" i="9" s="1"/>
  <c r="P44" i="9"/>
  <c r="Q44" i="9" s="1"/>
  <c r="P138" i="9"/>
  <c r="Q138" i="9" s="1"/>
  <c r="P659" i="9"/>
  <c r="Q659" i="9" s="1"/>
  <c r="P901" i="9"/>
  <c r="Q901" i="9" s="1"/>
  <c r="P799" i="9"/>
  <c r="Q799" i="9" s="1"/>
  <c r="P217" i="9"/>
  <c r="Q217" i="9" s="1"/>
  <c r="P504" i="9"/>
  <c r="Q504" i="9" s="1"/>
  <c r="P749" i="9"/>
  <c r="Q749" i="9" s="1"/>
  <c r="P926" i="9"/>
  <c r="Q926" i="9" s="1"/>
  <c r="P519" i="9"/>
  <c r="Q519" i="9" s="1"/>
  <c r="P615" i="9"/>
  <c r="Q615" i="9" s="1"/>
  <c r="P425" i="9"/>
  <c r="Q425" i="9" s="1"/>
  <c r="P701" i="9"/>
  <c r="Q701" i="9" s="1"/>
  <c r="P864" i="9"/>
  <c r="Q864" i="9" s="1"/>
  <c r="P463" i="9"/>
  <c r="Q463" i="9" s="1"/>
  <c r="P273" i="9"/>
  <c r="Q273" i="9" s="1"/>
  <c r="P56" i="9"/>
  <c r="Q56" i="9" s="1"/>
  <c r="P261" i="9"/>
  <c r="Q261" i="9" s="1"/>
  <c r="P485" i="9"/>
  <c r="Q485" i="9" s="1"/>
  <c r="P985" i="9"/>
  <c r="Q985" i="9" s="1"/>
  <c r="P849" i="9"/>
  <c r="Q849" i="9" s="1"/>
  <c r="P1014" i="9"/>
  <c r="Q1014" i="9" s="1"/>
  <c r="P127" i="9"/>
  <c r="Q127" i="9" s="1"/>
  <c r="P15" i="9"/>
  <c r="Q15" i="9" s="1"/>
  <c r="P241" i="9"/>
  <c r="Q241" i="9" s="1"/>
  <c r="P657" i="9"/>
  <c r="Q657" i="9" s="1"/>
  <c r="P903" i="9"/>
  <c r="Q903" i="9" s="1"/>
  <c r="P596" i="9"/>
  <c r="Q596" i="9" s="1"/>
  <c r="P998" i="9"/>
  <c r="Q998" i="9" s="1"/>
  <c r="P828" i="9"/>
  <c r="Q828" i="9" s="1"/>
  <c r="P90" i="9"/>
  <c r="Q90" i="9" s="1"/>
  <c r="P754" i="9"/>
  <c r="Q754" i="9" s="1"/>
  <c r="P609" i="9"/>
  <c r="Q609" i="9" s="1"/>
  <c r="P614" i="9"/>
  <c r="Q614" i="9" s="1"/>
  <c r="P708" i="9"/>
  <c r="Q708" i="9" s="1"/>
  <c r="P964" i="9"/>
  <c r="Q964" i="9" s="1"/>
  <c r="P445" i="9"/>
  <c r="Q445" i="9" s="1"/>
  <c r="P709" i="9"/>
  <c r="Q709" i="9" s="1"/>
  <c r="P54" i="9"/>
  <c r="Q54" i="9" s="1"/>
  <c r="P299" i="9"/>
  <c r="Q299" i="9" s="1"/>
  <c r="P174" i="9"/>
  <c r="Q174" i="9" s="1"/>
  <c r="P675" i="9"/>
  <c r="Q675" i="9" s="1"/>
  <c r="P250" i="9"/>
  <c r="Q250" i="9" s="1"/>
  <c r="P989" i="9"/>
  <c r="Q989" i="9" s="1"/>
  <c r="P172" i="9"/>
  <c r="Q172" i="9" s="1"/>
  <c r="P954" i="9"/>
  <c r="Q954" i="9" s="1"/>
  <c r="P194" i="9"/>
  <c r="Q194" i="9" s="1"/>
  <c r="P307" i="9"/>
  <c r="Q307" i="9" s="1"/>
  <c r="P707" i="9"/>
  <c r="Q707" i="9" s="1"/>
  <c r="P339" i="9"/>
  <c r="Q339" i="9" s="1"/>
  <c r="P72" i="9"/>
  <c r="Q72" i="9" s="1"/>
  <c r="P785" i="9"/>
  <c r="Q785" i="9" s="1"/>
  <c r="P891" i="9"/>
  <c r="Q891" i="9" s="1"/>
  <c r="P806" i="9"/>
  <c r="Q806" i="9" s="1"/>
  <c r="P670" i="9"/>
  <c r="Q670" i="9" s="1"/>
  <c r="P114" i="9"/>
  <c r="Q114" i="9" s="1"/>
  <c r="P834" i="9"/>
  <c r="Q834" i="9" s="1"/>
  <c r="P452" i="9"/>
  <c r="Q452" i="9" s="1"/>
  <c r="P908" i="9"/>
  <c r="Q908" i="9" s="1"/>
  <c r="P477" i="9"/>
  <c r="Q477" i="9" s="1"/>
  <c r="P667" i="9"/>
  <c r="Q667" i="9" s="1"/>
  <c r="P706" i="9"/>
  <c r="Q706" i="9" s="1"/>
  <c r="P424" i="9"/>
  <c r="Q424" i="9" s="1"/>
  <c r="P209" i="9"/>
  <c r="Q209" i="9" s="1"/>
  <c r="P375" i="9"/>
  <c r="Q375" i="9" s="1"/>
  <c r="P863" i="9"/>
  <c r="Q863" i="9" s="1"/>
  <c r="P147" i="9"/>
  <c r="Q147" i="9" s="1"/>
  <c r="P134" i="9"/>
  <c r="Q134" i="9" s="1"/>
  <c r="P308" i="9"/>
  <c r="Q308" i="9" s="1"/>
  <c r="P996" i="9"/>
  <c r="Q996" i="9" s="1"/>
  <c r="P916" i="9"/>
  <c r="Q916" i="9" s="1"/>
  <c r="P422" i="9"/>
  <c r="Q422" i="9" s="1"/>
  <c r="P643" i="9"/>
  <c r="Q643" i="9" s="1"/>
  <c r="P682" i="9"/>
  <c r="Q682" i="9" s="1"/>
  <c r="P924" i="9"/>
  <c r="Q924" i="9" s="1"/>
  <c r="P331" i="9"/>
  <c r="Q331" i="9" s="1"/>
  <c r="P979" i="9"/>
  <c r="Q979" i="9" s="1"/>
  <c r="P272" i="9"/>
  <c r="Q272" i="9" s="1"/>
  <c r="P457" i="9"/>
  <c r="Q457" i="9" s="1"/>
  <c r="P812" i="9"/>
  <c r="Q812" i="9" s="1"/>
  <c r="P953" i="9"/>
  <c r="Q953" i="9" s="1"/>
  <c r="P745" i="9"/>
  <c r="Q745" i="9" s="1"/>
  <c r="P648" i="9"/>
  <c r="Q648" i="9" s="1"/>
  <c r="P636" i="9"/>
  <c r="Q636" i="9" s="1"/>
  <c r="P348" i="9"/>
  <c r="Q348" i="9" s="1"/>
  <c r="P651" i="9"/>
  <c r="Q651" i="9" s="1"/>
  <c r="P91" i="9"/>
  <c r="Q91" i="9" s="1"/>
  <c r="P805" i="9"/>
  <c r="Q805" i="9" s="1"/>
  <c r="P501" i="9"/>
  <c r="Q501" i="9" s="1"/>
  <c r="P59" i="9"/>
  <c r="Q59" i="9" s="1"/>
  <c r="P284" i="9"/>
  <c r="Q284" i="9" s="1"/>
  <c r="P576" i="9"/>
  <c r="Q576" i="9" s="1"/>
  <c r="P932" i="9"/>
  <c r="Q932" i="9" s="1"/>
  <c r="P850" i="9"/>
  <c r="Q850" i="9" s="1"/>
  <c r="P380" i="9"/>
  <c r="Q380" i="9" s="1"/>
  <c r="P46" i="9"/>
  <c r="Q46" i="9" s="1"/>
  <c r="P587" i="9"/>
  <c r="Q587" i="9" s="1"/>
  <c r="P412" i="9"/>
  <c r="Q412" i="9" s="1"/>
  <c r="P215" i="9"/>
  <c r="Q215" i="9" s="1"/>
  <c r="P963" i="9"/>
  <c r="Q963" i="9" s="1"/>
  <c r="P232" i="9"/>
  <c r="Q232" i="9" s="1"/>
  <c r="P62" i="9"/>
  <c r="Q62" i="9" s="1"/>
  <c r="P142" i="9"/>
  <c r="Q142" i="9" s="1"/>
  <c r="P691" i="9"/>
  <c r="Q691" i="9" s="1"/>
  <c r="P556" i="9"/>
  <c r="Q556" i="9" s="1"/>
  <c r="P540" i="9"/>
  <c r="Q540" i="9" s="1"/>
  <c r="P860" i="9"/>
  <c r="Q860" i="9" s="1"/>
  <c r="P633" i="9"/>
  <c r="Q633" i="9" s="1"/>
  <c r="P683" i="9"/>
  <c r="Q683" i="9" s="1"/>
  <c r="P251" i="9"/>
  <c r="Q251" i="9" s="1"/>
  <c r="P513" i="9"/>
  <c r="Q513" i="9" s="1"/>
  <c r="P186" i="9"/>
  <c r="Q186" i="9" s="1"/>
  <c r="P533" i="9"/>
  <c r="Q533" i="9" s="1"/>
  <c r="P87" i="9"/>
  <c r="Q87" i="9" s="1"/>
  <c r="P1011" i="9"/>
  <c r="Q1011" i="9" s="1"/>
  <c r="P49" i="9"/>
  <c r="Q49" i="9" s="1"/>
  <c r="P542" i="9"/>
  <c r="Q542" i="9" s="1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K2" i="3"/>
  <c r="J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</calcChain>
</file>

<file path=xl/sharedStrings.xml><?xml version="1.0" encoding="utf-8"?>
<sst xmlns="http://schemas.openxmlformats.org/spreadsheetml/2006/main" count="12097" uniqueCount="262">
  <si>
    <t>Store_ID</t>
  </si>
  <si>
    <t>State</t>
  </si>
  <si>
    <t>City</t>
  </si>
  <si>
    <t>Location_Type</t>
  </si>
  <si>
    <t>Population_Density</t>
  </si>
  <si>
    <t>Number_of_Competitors</t>
  </si>
  <si>
    <t>Average_Income_per_capita</t>
  </si>
  <si>
    <t>Weather_Conditions</t>
  </si>
  <si>
    <t>Store_Size</t>
  </si>
  <si>
    <t>Parking_Space</t>
  </si>
  <si>
    <t>Opening_Date</t>
  </si>
  <si>
    <t>Sales</t>
  </si>
  <si>
    <t>MD</t>
  </si>
  <si>
    <t>Laurel</t>
  </si>
  <si>
    <t>Rural</t>
  </si>
  <si>
    <t>Cold</t>
  </si>
  <si>
    <t>MI</t>
  </si>
  <si>
    <t>Lansing</t>
  </si>
  <si>
    <t>Urban</t>
  </si>
  <si>
    <t>NY</t>
  </si>
  <si>
    <t>Albany</t>
  </si>
  <si>
    <t>Hot</t>
  </si>
  <si>
    <t>Detroit</t>
  </si>
  <si>
    <t>Moderate</t>
  </si>
  <si>
    <t>NC</t>
  </si>
  <si>
    <t>High Point</t>
  </si>
  <si>
    <t>MO</t>
  </si>
  <si>
    <t>Independence</t>
  </si>
  <si>
    <t>GA</t>
  </si>
  <si>
    <t>TN</t>
  </si>
  <si>
    <t>Clarksville</t>
  </si>
  <si>
    <t>FL</t>
  </si>
  <si>
    <t>Gainesville</t>
  </si>
  <si>
    <t>WA</t>
  </si>
  <si>
    <t>Olympia</t>
  </si>
  <si>
    <t>AZ</t>
  </si>
  <si>
    <t>Glendale</t>
  </si>
  <si>
    <t>CA</t>
  </si>
  <si>
    <t>Oakland</t>
  </si>
  <si>
    <t>Burlington</t>
  </si>
  <si>
    <t>WI</t>
  </si>
  <si>
    <t>Waukesha</t>
  </si>
  <si>
    <t>Oshkosh</t>
  </si>
  <si>
    <t>Marietta</t>
  </si>
  <si>
    <t>PA</t>
  </si>
  <si>
    <t>Reading</t>
  </si>
  <si>
    <t>Augusta</t>
  </si>
  <si>
    <t>Columbia</t>
  </si>
  <si>
    <t>Lee's Summit</t>
  </si>
  <si>
    <t>Macon</t>
  </si>
  <si>
    <t>Hagerstown</t>
  </si>
  <si>
    <t>Warren</t>
  </si>
  <si>
    <t>Saratoga Springs</t>
  </si>
  <si>
    <t>TX</t>
  </si>
  <si>
    <t>Plano</t>
  </si>
  <si>
    <t>IL</t>
  </si>
  <si>
    <t>Naperville</t>
  </si>
  <si>
    <t>MA</t>
  </si>
  <si>
    <t>Quincy</t>
  </si>
  <si>
    <t>Hendersonville</t>
  </si>
  <si>
    <t>Yonkers</t>
  </si>
  <si>
    <t>Sacramento</t>
  </si>
  <si>
    <t>Mesa</t>
  </si>
  <si>
    <t>St. Petersburg</t>
  </si>
  <si>
    <t>O'Fallon</t>
  </si>
  <si>
    <t>Harrisburg</t>
  </si>
  <si>
    <t>Elgin</t>
  </si>
  <si>
    <t>Springfield</t>
  </si>
  <si>
    <t>Everett</t>
  </si>
  <si>
    <t>Kansas City</t>
  </si>
  <si>
    <t>Milwaukee</t>
  </si>
  <si>
    <t>Madison</t>
  </si>
  <si>
    <t>NJ</t>
  </si>
  <si>
    <t>Camden</t>
  </si>
  <si>
    <t>VA</t>
  </si>
  <si>
    <t>Lynchburg</t>
  </si>
  <si>
    <t>Bowie</t>
  </si>
  <si>
    <t>Greensboro</t>
  </si>
  <si>
    <t>Fall River</t>
  </si>
  <si>
    <t>Vancouver</t>
  </si>
  <si>
    <t>Renton</t>
  </si>
  <si>
    <t>Hialeah</t>
  </si>
  <si>
    <t>Bethlehem</t>
  </si>
  <si>
    <t>Jackson</t>
  </si>
  <si>
    <t>Flint</t>
  </si>
  <si>
    <t>Frederick</t>
  </si>
  <si>
    <t>Lynn</t>
  </si>
  <si>
    <t>Dearborn</t>
  </si>
  <si>
    <t>Tacoma</t>
  </si>
  <si>
    <t>Hampton</t>
  </si>
  <si>
    <t>Riverside</t>
  </si>
  <si>
    <t>Bellingham</t>
  </si>
  <si>
    <t>Spokane</t>
  </si>
  <si>
    <t>St. Louis</t>
  </si>
  <si>
    <t>Fayetteville</t>
  </si>
  <si>
    <t>Rockville</t>
  </si>
  <si>
    <t>Hamilton</t>
  </si>
  <si>
    <t>Raleigh</t>
  </si>
  <si>
    <t>Bloomington</t>
  </si>
  <si>
    <t>Cape Girardeau</t>
  </si>
  <si>
    <t>Gastonia</t>
  </si>
  <si>
    <t>Charlotte</t>
  </si>
  <si>
    <t>Sandy Springs</t>
  </si>
  <si>
    <t>Kenosha</t>
  </si>
  <si>
    <t>Bartlett</t>
  </si>
  <si>
    <t>Waukegan</t>
  </si>
  <si>
    <t>Charlottesville</t>
  </si>
  <si>
    <t>Nashville</t>
  </si>
  <si>
    <t>OH</t>
  </si>
  <si>
    <t>Toledo</t>
  </si>
  <si>
    <t>Chattanooga</t>
  </si>
  <si>
    <t>Erie</t>
  </si>
  <si>
    <t>Atlanta</t>
  </si>
  <si>
    <t>Chesapeake</t>
  </si>
  <si>
    <t>Long Beach</t>
  </si>
  <si>
    <t>Columbus</t>
  </si>
  <si>
    <t>Cambridge</t>
  </si>
  <si>
    <t>Parma</t>
  </si>
  <si>
    <t>San Diego</t>
  </si>
  <si>
    <t>Gilbert</t>
  </si>
  <si>
    <t>Norfolk</t>
  </si>
  <si>
    <t>Appleton</t>
  </si>
  <si>
    <t>IN</t>
  </si>
  <si>
    <t>Indianapolis</t>
  </si>
  <si>
    <t>Durham</t>
  </si>
  <si>
    <t>Tampa</t>
  </si>
  <si>
    <t>Silver Spring</t>
  </si>
  <si>
    <t>Fresno</t>
  </si>
  <si>
    <t>San Francisco</t>
  </si>
  <si>
    <t>New York City</t>
  </si>
  <si>
    <t>Syracuse</t>
  </si>
  <si>
    <t>Dallas</t>
  </si>
  <si>
    <t>Johnson City</t>
  </si>
  <si>
    <t>Fishers</t>
  </si>
  <si>
    <t>Winston-Salem</t>
  </si>
  <si>
    <t>Memphis</t>
  </si>
  <si>
    <t>Eau Claire</t>
  </si>
  <si>
    <t>South Bend</t>
  </si>
  <si>
    <t>Fort Wayne</t>
  </si>
  <si>
    <t>Flagstaff</t>
  </si>
  <si>
    <t>Gaithersburg</t>
  </si>
  <si>
    <t>Houston</t>
  </si>
  <si>
    <t>Canton</t>
  </si>
  <si>
    <t>Lancaster</t>
  </si>
  <si>
    <t>Scranton</t>
  </si>
  <si>
    <t>Edison</t>
  </si>
  <si>
    <t>Palm Bay</t>
  </si>
  <si>
    <t>Jersey City</t>
  </si>
  <si>
    <t>Peoria</t>
  </si>
  <si>
    <t>Lubbock</t>
  </si>
  <si>
    <t>Chandler</t>
  </si>
  <si>
    <t>Paterson</t>
  </si>
  <si>
    <t>Arlington</t>
  </si>
  <si>
    <t>Newport News</t>
  </si>
  <si>
    <t>Cary</t>
  </si>
  <si>
    <t>Ithaca</t>
  </si>
  <si>
    <t>Jefferson City</t>
  </si>
  <si>
    <t>Corpus Christi</t>
  </si>
  <si>
    <t>Elizabeth</t>
  </si>
  <si>
    <t>St. Joseph</t>
  </si>
  <si>
    <t>Trenton</t>
  </si>
  <si>
    <t>Akron</t>
  </si>
  <si>
    <t>Boston</t>
  </si>
  <si>
    <t>Richmond</t>
  </si>
  <si>
    <t>Knoxville</t>
  </si>
  <si>
    <t>Jacksonville</t>
  </si>
  <si>
    <t>San Jose</t>
  </si>
  <si>
    <t>Newark</t>
  </si>
  <si>
    <t>Brockton</t>
  </si>
  <si>
    <t>Chicago</t>
  </si>
  <si>
    <t>Miami</t>
  </si>
  <si>
    <t>Kalamazoo</t>
  </si>
  <si>
    <t>Orlando</t>
  </si>
  <si>
    <t>Baltimore</t>
  </si>
  <si>
    <t>New Bedford</t>
  </si>
  <si>
    <t>Joliet</t>
  </si>
  <si>
    <t>Ann Arbor</t>
  </si>
  <si>
    <t>Tempe</t>
  </si>
  <si>
    <t>Austin</t>
  </si>
  <si>
    <t>New Rochelle</t>
  </si>
  <si>
    <t>Toms River</t>
  </si>
  <si>
    <t>Athens</t>
  </si>
  <si>
    <t>Sheboygan</t>
  </si>
  <si>
    <t>Battle Creek</t>
  </si>
  <si>
    <t>Kent</t>
  </si>
  <si>
    <t>Tallahassee</t>
  </si>
  <si>
    <t>Fort Lauderdale</t>
  </si>
  <si>
    <t>Roswell</t>
  </si>
  <si>
    <t>Murfreesboro</t>
  </si>
  <si>
    <t>Muncie</t>
  </si>
  <si>
    <t>Philadelphia</t>
  </si>
  <si>
    <t>Phoenix</t>
  </si>
  <si>
    <t>Scottsdale</t>
  </si>
  <si>
    <t>Champaign</t>
  </si>
  <si>
    <t>Lafayette</t>
  </si>
  <si>
    <t>Gary</t>
  </si>
  <si>
    <t>Annapolis</t>
  </si>
  <si>
    <t>Fort Worth</t>
  </si>
  <si>
    <t>Bellevue</t>
  </si>
  <si>
    <t>Rochester</t>
  </si>
  <si>
    <t>Tucson</t>
  </si>
  <si>
    <t>Allentown</t>
  </si>
  <si>
    <t>Los Angeles</t>
  </si>
  <si>
    <t>Youngstown</t>
  </si>
  <si>
    <t>Bakersfield</t>
  </si>
  <si>
    <t>Lorain</t>
  </si>
  <si>
    <t>Lowell</t>
  </si>
  <si>
    <t>Sterling Heights</t>
  </si>
  <si>
    <t>Carmel</t>
  </si>
  <si>
    <t>Alexandria</t>
  </si>
  <si>
    <t>Green Bay</t>
  </si>
  <si>
    <t>Grand Rapids</t>
  </si>
  <si>
    <t>San Antonio</t>
  </si>
  <si>
    <t>Woodbridge</t>
  </si>
  <si>
    <t>Dayton</t>
  </si>
  <si>
    <t>Worcester</t>
  </si>
  <si>
    <t>Buffalo</t>
  </si>
  <si>
    <t>Pittsburgh</t>
  </si>
  <si>
    <t>Schenectady</t>
  </si>
  <si>
    <t>Roanoke</t>
  </si>
  <si>
    <t>Seattle</t>
  </si>
  <si>
    <t>Virginia Beach</t>
  </si>
  <si>
    <t>Evansville</t>
  </si>
  <si>
    <t>York</t>
  </si>
  <si>
    <t>Cincinnati</t>
  </si>
  <si>
    <t>El Paso</t>
  </si>
  <si>
    <t>Racine</t>
  </si>
  <si>
    <t>Cleveland</t>
  </si>
  <si>
    <t>Weather_Cold</t>
  </si>
  <si>
    <t>Weather_Hot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</si>
  <si>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</si>
  <si>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</si>
  <si>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</si>
  <si>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</si>
  <si>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</si>
  <si>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</si>
  <si>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</si>
  <si>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</si>
  <si>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</si>
  <si>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</si>
  <si>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</si>
  <si>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</si>
  <si>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</si>
  <si>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</si>
  <si>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</si>
  <si>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</si>
  <si>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</si>
  <si>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</si>
  <si>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</si>
  <si>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</si>
  <si>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</si>
  <si>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</si>
  <si>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</si>
  <si>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</si>
  <si>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    Where Y  = Dependent Variable</t>
  </si>
  <si>
    <t xml:space="preserve">    X1,X2,X3,… = Independent Variables</t>
  </si>
  <si>
    <r>
      <t>Y = b + a</t>
    </r>
    <r>
      <rPr>
        <sz val="10"/>
        <color theme="1"/>
        <rFont val="Aptos Narrow"/>
        <family val="2"/>
        <scheme val="minor"/>
      </rPr>
      <t>1</t>
    </r>
    <r>
      <rPr>
        <sz val="20"/>
        <color theme="1"/>
        <rFont val="Aptos Narrow"/>
        <family val="2"/>
        <scheme val="minor"/>
      </rPr>
      <t>x</t>
    </r>
    <r>
      <rPr>
        <sz val="10"/>
        <color theme="1"/>
        <rFont val="Aptos Narrow"/>
        <family val="2"/>
        <scheme val="minor"/>
      </rPr>
      <t xml:space="preserve">1 </t>
    </r>
    <r>
      <rPr>
        <sz val="20"/>
        <color theme="1"/>
        <rFont val="Aptos Narrow"/>
        <family val="2"/>
        <scheme val="minor"/>
      </rPr>
      <t>+ a</t>
    </r>
    <r>
      <rPr>
        <sz val="10"/>
        <color theme="1"/>
        <rFont val="Aptos Narrow"/>
        <family val="2"/>
        <scheme val="minor"/>
      </rPr>
      <t>2</t>
    </r>
    <r>
      <rPr>
        <sz val="20"/>
        <color theme="1"/>
        <rFont val="Aptos Narrow"/>
        <family val="2"/>
        <scheme val="minor"/>
      </rPr>
      <t>x</t>
    </r>
    <r>
      <rPr>
        <sz val="10"/>
        <color theme="1"/>
        <rFont val="Aptos Narrow"/>
        <family val="2"/>
        <scheme val="minor"/>
      </rPr>
      <t xml:space="preserve">2 </t>
    </r>
    <r>
      <rPr>
        <sz val="20"/>
        <color theme="1"/>
        <rFont val="Aptos Narrow"/>
        <family val="2"/>
        <scheme val="minor"/>
      </rPr>
      <t>+ a</t>
    </r>
    <r>
      <rPr>
        <sz val="10"/>
        <color theme="1"/>
        <rFont val="Aptos Narrow"/>
        <family val="2"/>
        <scheme val="minor"/>
      </rPr>
      <t>3</t>
    </r>
    <r>
      <rPr>
        <sz val="20"/>
        <color theme="1"/>
        <rFont val="Aptos Narrow"/>
        <family val="2"/>
        <scheme val="minor"/>
      </rPr>
      <t>x</t>
    </r>
    <r>
      <rPr>
        <sz val="10"/>
        <color theme="1"/>
        <rFont val="Aptos Narrow"/>
        <family val="2"/>
        <scheme val="minor"/>
      </rPr>
      <t xml:space="preserve">3 </t>
    </r>
    <r>
      <rPr>
        <sz val="20"/>
        <color theme="1"/>
        <rFont val="Aptos Narrow"/>
        <family val="2"/>
        <scheme val="minor"/>
      </rPr>
      <t>+ ...+ a</t>
    </r>
    <r>
      <rPr>
        <sz val="10"/>
        <color theme="1"/>
        <rFont val="Aptos Narrow"/>
        <family val="2"/>
        <scheme val="minor"/>
      </rPr>
      <t>n</t>
    </r>
    <r>
      <rPr>
        <sz val="20"/>
        <color theme="1"/>
        <rFont val="Aptos Narrow"/>
        <family val="2"/>
        <scheme val="minor"/>
      </rPr>
      <t>x</t>
    </r>
    <r>
      <rPr>
        <sz val="10"/>
        <color theme="1"/>
        <rFont val="Aptos Narrow"/>
        <family val="2"/>
        <scheme val="minor"/>
      </rPr>
      <t>n</t>
    </r>
  </si>
  <si>
    <t xml:space="preserve">    n= Number of observations</t>
  </si>
  <si>
    <t xml:space="preserve">    b = Intercept</t>
  </si>
  <si>
    <t xml:space="preserve">    a1,a1,… = Coeficients</t>
  </si>
  <si>
    <t>Predicted Sales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</si>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</sst>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33" borderId="0" xfId="0" applyFill="1"/>
    <xf numFmtId="0" fontId="0" fillId="33" borderId="11" xfId="0" applyFill="1" applyBorder="1"/>
    <xf numFmtId="0" fontId="0" fillId="33" borderId="0" xfId="0" applyFill="1" applyBorder="1"/>
    <xf numFmtId="14" fontId="0" fillId="33" borderId="0" xfId="0" applyNumberFormat="1" applyFill="1" applyBorder="1"/>
    <xf numFmtId="0" fontId="0" fillId="33" borderId="12" xfId="0" applyFill="1" applyBorder="1"/>
    <xf numFmtId="0" fontId="0" fillId="33" borderId="13" xfId="0" applyFill="1" applyBorder="1"/>
    <xf numFmtId="14" fontId="0" fillId="33" borderId="13" xfId="0" applyNumberFormat="1" applyFill="1" applyBorder="1"/>
    <xf numFmtId="0" fontId="18" fillId="34" borderId="10" xfId="0" applyFont="1" applyFill="1" applyBorder="1"/>
    <xf numFmtId="0" fontId="0" fillId="35" borderId="14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0" borderId="0" xfId="0" applyFill="1" applyBorder="1" applyAlignment="1"/>
    <xf numFmtId="0" fontId="0" fillId="0" borderId="17" xfId="0" applyFill="1" applyBorder="1" applyAlignment="1"/>
    <xf numFmtId="0" fontId="19" fillId="0" borderId="18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Continuous"/>
    </xf>
    <xf numFmtId="0" fontId="0" fillId="36" borderId="0" xfId="0" applyFill="1" applyBorder="1" applyAlignment="1"/>
    <xf numFmtId="0" fontId="19" fillId="36" borderId="18" xfId="0" applyFont="1" applyFill="1" applyBorder="1" applyAlignment="1">
      <alignment horizontal="center"/>
    </xf>
    <xf numFmtId="0" fontId="0" fillId="36" borderId="17" xfId="0" applyFill="1" applyBorder="1" applyAlignment="1"/>
    <xf numFmtId="0" fontId="0" fillId="37" borderId="0" xfId="0" applyFill="1" applyBorder="1" applyAlignment="1"/>
    <xf numFmtId="0" fontId="0" fillId="0" borderId="0" xfId="0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22" fillId="33" borderId="23" xfId="0" applyFont="1" applyFill="1" applyBorder="1" applyAlignment="1">
      <alignment horizontal="left"/>
    </xf>
    <xf numFmtId="0" fontId="22" fillId="33" borderId="0" xfId="0" applyFont="1" applyFill="1" applyBorder="1" applyAlignment="1">
      <alignment horizontal="left"/>
    </xf>
    <xf numFmtId="0" fontId="22" fillId="33" borderId="24" xfId="0" applyFont="1" applyFill="1" applyBorder="1" applyAlignment="1">
      <alignment horizontal="left"/>
    </xf>
    <xf numFmtId="0" fontId="22" fillId="33" borderId="23" xfId="0" applyFont="1" applyFill="1" applyBorder="1"/>
    <xf numFmtId="0" fontId="22" fillId="33" borderId="0" xfId="0" applyFont="1" applyFill="1" applyBorder="1"/>
    <xf numFmtId="0" fontId="22" fillId="33" borderId="24" xfId="0" applyFont="1" applyFill="1" applyBorder="1"/>
    <xf numFmtId="0" fontId="22" fillId="33" borderId="25" xfId="0" applyFont="1" applyFill="1" applyBorder="1"/>
    <xf numFmtId="0" fontId="22" fillId="33" borderId="19" xfId="0" applyFont="1" applyFill="1" applyBorder="1"/>
    <xf numFmtId="0" fontId="22" fillId="33" borderId="26" xfId="0" applyFont="1" applyFill="1" applyBorder="1"/>
    <xf numFmtId="0" fontId="22" fillId="33" borderId="23" xfId="0" applyFont="1" applyFill="1" applyBorder="1" applyAlignment="1">
      <alignment horizontal="left"/>
    </xf>
    <xf numFmtId="0" fontId="22" fillId="33" borderId="0" xfId="0" applyFont="1" applyFill="1" applyBorder="1" applyAlignment="1">
      <alignment horizontal="left"/>
    </xf>
    <xf numFmtId="0" fontId="22" fillId="33" borderId="24" xfId="0" applyFont="1" applyFill="1" applyBorder="1" applyAlignment="1">
      <alignment horizontal="left"/>
    </xf>
    <xf numFmtId="0" fontId="0" fillId="0" borderId="0" xfId="0" applyBorder="1"/>
    <xf numFmtId="0" fontId="20" fillId="33" borderId="20" xfId="0" applyFont="1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BE4A-56EA-41C4-B808-3F2A5CB9E623}">
  <dimension ref="A1:L1001"/>
  <sheetViews>
    <sheetView workbookViewId="0">
      <selection activeCell="G1" sqref="G1"/>
    </sheetView>
  </sheetViews>
  <sheetFormatPr defaultRowHeight="14.4" x14ac:dyDescent="0.3"/>
  <cols>
    <col min="1" max="1" width="8.77734375" style="1" bestFit="1" customWidth="1"/>
    <col min="2" max="2" width="5.77734375" style="1" bestFit="1" customWidth="1"/>
    <col min="3" max="3" width="14.44140625" style="1" bestFit="1" customWidth="1"/>
    <col min="4" max="4" width="14.21875" style="1" bestFit="1" customWidth="1"/>
    <col min="5" max="5" width="19.109375" style="1" bestFit="1" customWidth="1"/>
    <col min="6" max="6" width="23.88671875" style="1" bestFit="1" customWidth="1"/>
    <col min="7" max="7" width="27.21875" style="1" bestFit="1" customWidth="1"/>
    <col min="8" max="8" width="20.109375" style="1" bestFit="1" customWidth="1"/>
    <col min="9" max="9" width="10.5546875" style="1" bestFit="1" customWidth="1"/>
    <col min="10" max="10" width="14.77734375" style="1" bestFit="1" customWidth="1"/>
    <col min="11" max="11" width="14.109375" style="1" bestFit="1" customWidth="1"/>
    <col min="12" max="12" width="12" style="1" bestFit="1" customWidth="1"/>
    <col min="13" max="16384" width="8.88671875" style="1"/>
  </cols>
  <sheetData>
    <row r="1" spans="1:12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3">
      <c r="A2" s="2">
        <v>0</v>
      </c>
      <c r="B2" s="3" t="s">
        <v>12</v>
      </c>
      <c r="C2" s="3" t="s">
        <v>13</v>
      </c>
      <c r="D2" s="3" t="s">
        <v>14</v>
      </c>
      <c r="E2" s="3">
        <v>4421</v>
      </c>
      <c r="F2" s="3">
        <v>8</v>
      </c>
      <c r="G2" s="3">
        <v>85246</v>
      </c>
      <c r="H2" s="3" t="s">
        <v>15</v>
      </c>
      <c r="I2" s="3">
        <v>1994</v>
      </c>
      <c r="J2" s="3">
        <v>22</v>
      </c>
      <c r="K2" s="4">
        <v>44110</v>
      </c>
      <c r="L2" s="9">
        <v>292504.02039999998</v>
      </c>
    </row>
    <row r="3" spans="1:12" x14ac:dyDescent="0.3">
      <c r="A3" s="2">
        <v>1</v>
      </c>
      <c r="B3" s="3" t="s">
        <v>16</v>
      </c>
      <c r="C3" s="3" t="s">
        <v>17</v>
      </c>
      <c r="D3" s="3" t="s">
        <v>18</v>
      </c>
      <c r="E3" s="3">
        <v>1003</v>
      </c>
      <c r="F3" s="3">
        <v>6</v>
      </c>
      <c r="G3" s="3">
        <v>72018</v>
      </c>
      <c r="H3" s="3" t="s">
        <v>15</v>
      </c>
      <c r="I3" s="3">
        <v>1006</v>
      </c>
      <c r="J3" s="3">
        <v>50</v>
      </c>
      <c r="K3" s="4">
        <v>44354</v>
      </c>
      <c r="L3" s="10">
        <v>349046.79139999999</v>
      </c>
    </row>
    <row r="4" spans="1:12" x14ac:dyDescent="0.3">
      <c r="A4" s="2">
        <v>2</v>
      </c>
      <c r="B4" s="3" t="s">
        <v>19</v>
      </c>
      <c r="C4" s="3" t="s">
        <v>20</v>
      </c>
      <c r="D4" s="3" t="s">
        <v>18</v>
      </c>
      <c r="E4" s="3">
        <v>21636</v>
      </c>
      <c r="F4" s="3">
        <v>2</v>
      </c>
      <c r="G4" s="3">
        <v>87882</v>
      </c>
      <c r="H4" s="3" t="s">
        <v>21</v>
      </c>
      <c r="I4" s="3">
        <v>2112</v>
      </c>
      <c r="J4" s="3">
        <v>49</v>
      </c>
      <c r="K4" s="4">
        <v>45517</v>
      </c>
      <c r="L4" s="10">
        <v>387145.66729999997</v>
      </c>
    </row>
    <row r="5" spans="1:12" x14ac:dyDescent="0.3">
      <c r="A5" s="2">
        <v>3</v>
      </c>
      <c r="B5" s="3" t="s">
        <v>16</v>
      </c>
      <c r="C5" s="3" t="s">
        <v>22</v>
      </c>
      <c r="D5" s="3" t="s">
        <v>18</v>
      </c>
      <c r="E5" s="3">
        <v>6186</v>
      </c>
      <c r="F5" s="3">
        <v>9</v>
      </c>
      <c r="G5" s="3">
        <v>91333</v>
      </c>
      <c r="H5" s="3" t="s">
        <v>23</v>
      </c>
      <c r="I5" s="3">
        <v>1162</v>
      </c>
      <c r="J5" s="3">
        <v>98</v>
      </c>
      <c r="K5" s="4">
        <v>44247</v>
      </c>
      <c r="L5" s="10">
        <v>366571.79879999999</v>
      </c>
    </row>
    <row r="6" spans="1:12" x14ac:dyDescent="0.3">
      <c r="A6" s="2">
        <v>4</v>
      </c>
      <c r="B6" s="3" t="s">
        <v>24</v>
      </c>
      <c r="C6" s="3" t="s">
        <v>25</v>
      </c>
      <c r="D6" s="3" t="s">
        <v>14</v>
      </c>
      <c r="E6" s="3">
        <v>29822</v>
      </c>
      <c r="F6" s="3">
        <v>6</v>
      </c>
      <c r="G6" s="3">
        <v>93144</v>
      </c>
      <c r="H6" s="3" t="s">
        <v>23</v>
      </c>
      <c r="I6" s="3">
        <v>1495</v>
      </c>
      <c r="J6" s="3">
        <v>32</v>
      </c>
      <c r="K6" s="4">
        <v>44821</v>
      </c>
      <c r="L6" s="10">
        <v>344911.7095</v>
      </c>
    </row>
    <row r="7" spans="1:12" x14ac:dyDescent="0.3">
      <c r="A7" s="2">
        <v>5</v>
      </c>
      <c r="B7" s="3" t="s">
        <v>26</v>
      </c>
      <c r="C7" s="3" t="s">
        <v>27</v>
      </c>
      <c r="D7" s="3" t="s">
        <v>18</v>
      </c>
      <c r="E7" s="3">
        <v>1605</v>
      </c>
      <c r="F7" s="3">
        <v>1</v>
      </c>
      <c r="G7" s="3">
        <v>96860</v>
      </c>
      <c r="H7" s="3" t="s">
        <v>15</v>
      </c>
      <c r="I7" s="3">
        <v>1701</v>
      </c>
      <c r="J7" s="3">
        <v>63</v>
      </c>
      <c r="K7" s="4">
        <v>44281</v>
      </c>
      <c r="L7" s="10">
        <v>339285.53570000001</v>
      </c>
    </row>
    <row r="8" spans="1:12" x14ac:dyDescent="0.3">
      <c r="A8" s="2">
        <v>6</v>
      </c>
      <c r="B8" s="3" t="s">
        <v>28</v>
      </c>
      <c r="C8" s="3" t="s">
        <v>20</v>
      </c>
      <c r="D8" s="3" t="s">
        <v>14</v>
      </c>
      <c r="E8" s="3">
        <v>7970</v>
      </c>
      <c r="F8" s="3">
        <v>2</v>
      </c>
      <c r="G8" s="3">
        <v>64646</v>
      </c>
      <c r="H8" s="3" t="s">
        <v>21</v>
      </c>
      <c r="I8" s="3">
        <v>2511</v>
      </c>
      <c r="J8" s="3">
        <v>87</v>
      </c>
      <c r="K8" s="4">
        <v>45419</v>
      </c>
      <c r="L8" s="10">
        <v>375705.26870000002</v>
      </c>
    </row>
    <row r="9" spans="1:12" x14ac:dyDescent="0.3">
      <c r="A9" s="2">
        <v>7</v>
      </c>
      <c r="B9" s="3" t="s">
        <v>29</v>
      </c>
      <c r="C9" s="3" t="s">
        <v>30</v>
      </c>
      <c r="D9" s="3" t="s">
        <v>14</v>
      </c>
      <c r="E9" s="3">
        <v>24241</v>
      </c>
      <c r="F9" s="3">
        <v>1</v>
      </c>
      <c r="G9" s="3">
        <v>80916</v>
      </c>
      <c r="H9" s="3" t="s">
        <v>23</v>
      </c>
      <c r="I9" s="3">
        <v>2445</v>
      </c>
      <c r="J9" s="3">
        <v>77</v>
      </c>
      <c r="K9" s="4">
        <v>44701</v>
      </c>
      <c r="L9" s="10">
        <v>362291.28110000002</v>
      </c>
    </row>
    <row r="10" spans="1:12" x14ac:dyDescent="0.3">
      <c r="A10" s="2">
        <v>8</v>
      </c>
      <c r="B10" s="3" t="s">
        <v>31</v>
      </c>
      <c r="C10" s="3" t="s">
        <v>32</v>
      </c>
      <c r="D10" s="3" t="s">
        <v>18</v>
      </c>
      <c r="E10" s="3">
        <v>17821</v>
      </c>
      <c r="F10" s="3">
        <v>3</v>
      </c>
      <c r="G10" s="3">
        <v>59800</v>
      </c>
      <c r="H10" s="3" t="s">
        <v>21</v>
      </c>
      <c r="I10" s="3">
        <v>1104</v>
      </c>
      <c r="J10" s="3">
        <v>54</v>
      </c>
      <c r="K10" s="4">
        <v>44268</v>
      </c>
      <c r="L10" s="10">
        <v>367056.68790000002</v>
      </c>
    </row>
    <row r="11" spans="1:12" x14ac:dyDescent="0.3">
      <c r="A11" s="2">
        <v>9</v>
      </c>
      <c r="B11" s="3" t="s">
        <v>33</v>
      </c>
      <c r="C11" s="3" t="s">
        <v>34</v>
      </c>
      <c r="D11" s="3" t="s">
        <v>18</v>
      </c>
      <c r="E11" s="3">
        <v>24488</v>
      </c>
      <c r="F11" s="3">
        <v>7</v>
      </c>
      <c r="G11" s="3">
        <v>58091</v>
      </c>
      <c r="H11" s="3" t="s">
        <v>23</v>
      </c>
      <c r="I11" s="3">
        <v>1863</v>
      </c>
      <c r="J11" s="3">
        <v>41</v>
      </c>
      <c r="K11" s="4">
        <v>44218</v>
      </c>
      <c r="L11" s="10">
        <v>360674.67849999998</v>
      </c>
    </row>
    <row r="12" spans="1:12" x14ac:dyDescent="0.3">
      <c r="A12" s="2">
        <v>10</v>
      </c>
      <c r="B12" s="3" t="s">
        <v>35</v>
      </c>
      <c r="C12" s="3" t="s">
        <v>36</v>
      </c>
      <c r="D12" s="3" t="s">
        <v>18</v>
      </c>
      <c r="E12" s="3">
        <v>12381</v>
      </c>
      <c r="F12" s="3">
        <v>2</v>
      </c>
      <c r="G12" s="3">
        <v>67275</v>
      </c>
      <c r="H12" s="3" t="s">
        <v>21</v>
      </c>
      <c r="I12" s="3">
        <v>1494</v>
      </c>
      <c r="J12" s="3">
        <v>56</v>
      </c>
      <c r="K12" s="4">
        <v>45178</v>
      </c>
      <c r="L12" s="10">
        <v>361361.4901</v>
      </c>
    </row>
    <row r="13" spans="1:12" x14ac:dyDescent="0.3">
      <c r="A13" s="2">
        <v>11</v>
      </c>
      <c r="B13" s="3" t="s">
        <v>37</v>
      </c>
      <c r="C13" s="3" t="s">
        <v>38</v>
      </c>
      <c r="D13" s="3" t="s">
        <v>18</v>
      </c>
      <c r="E13" s="3">
        <v>17305</v>
      </c>
      <c r="F13" s="3">
        <v>5</v>
      </c>
      <c r="G13" s="3">
        <v>99501</v>
      </c>
      <c r="H13" s="3" t="s">
        <v>21</v>
      </c>
      <c r="I13" s="3">
        <v>1901</v>
      </c>
      <c r="J13" s="3">
        <v>58</v>
      </c>
      <c r="K13" s="4">
        <v>44242</v>
      </c>
      <c r="L13" s="10">
        <v>385884.98629999999</v>
      </c>
    </row>
    <row r="14" spans="1:12" x14ac:dyDescent="0.3">
      <c r="A14" s="2">
        <v>12</v>
      </c>
      <c r="B14" s="3" t="s">
        <v>24</v>
      </c>
      <c r="C14" s="3" t="s">
        <v>39</v>
      </c>
      <c r="D14" s="3" t="s">
        <v>14</v>
      </c>
      <c r="E14" s="3">
        <v>3338</v>
      </c>
      <c r="F14" s="3">
        <v>3</v>
      </c>
      <c r="G14" s="3">
        <v>95768</v>
      </c>
      <c r="H14" s="3" t="s">
        <v>15</v>
      </c>
      <c r="I14" s="3">
        <v>2580</v>
      </c>
      <c r="J14" s="3">
        <v>70</v>
      </c>
      <c r="K14" s="4">
        <v>44546</v>
      </c>
      <c r="L14" s="10">
        <v>343201.23979999998</v>
      </c>
    </row>
    <row r="15" spans="1:12" x14ac:dyDescent="0.3">
      <c r="A15" s="2">
        <v>13</v>
      </c>
      <c r="B15" s="3" t="s">
        <v>40</v>
      </c>
      <c r="C15" s="3" t="s">
        <v>41</v>
      </c>
      <c r="D15" s="3" t="s">
        <v>18</v>
      </c>
      <c r="E15" s="3">
        <v>23007</v>
      </c>
      <c r="F15" s="3">
        <v>4</v>
      </c>
      <c r="G15" s="3">
        <v>82092</v>
      </c>
      <c r="H15" s="3" t="s">
        <v>21</v>
      </c>
      <c r="I15" s="3">
        <v>2864</v>
      </c>
      <c r="J15" s="3">
        <v>77</v>
      </c>
      <c r="K15" s="4">
        <v>44462</v>
      </c>
      <c r="L15" s="10">
        <v>408282.20250000001</v>
      </c>
    </row>
    <row r="16" spans="1:12" x14ac:dyDescent="0.3">
      <c r="A16" s="2">
        <v>14</v>
      </c>
      <c r="B16" s="3" t="s">
        <v>40</v>
      </c>
      <c r="C16" s="3" t="s">
        <v>42</v>
      </c>
      <c r="D16" s="3" t="s">
        <v>18</v>
      </c>
      <c r="E16" s="3">
        <v>1189</v>
      </c>
      <c r="F16" s="3">
        <v>1</v>
      </c>
      <c r="G16" s="3">
        <v>78860</v>
      </c>
      <c r="H16" s="3" t="s">
        <v>23</v>
      </c>
      <c r="I16" s="3">
        <v>2298</v>
      </c>
      <c r="J16" s="3">
        <v>66</v>
      </c>
      <c r="K16" s="4">
        <v>44963</v>
      </c>
      <c r="L16" s="10">
        <v>382455.79550000001</v>
      </c>
    </row>
    <row r="17" spans="1:12" x14ac:dyDescent="0.3">
      <c r="A17" s="2">
        <v>15</v>
      </c>
      <c r="B17" s="3" t="s">
        <v>28</v>
      </c>
      <c r="C17" s="3" t="s">
        <v>43</v>
      </c>
      <c r="D17" s="3" t="s">
        <v>14</v>
      </c>
      <c r="E17" s="3">
        <v>22069</v>
      </c>
      <c r="F17" s="3">
        <v>2</v>
      </c>
      <c r="G17" s="3">
        <v>96888</v>
      </c>
      <c r="H17" s="3" t="s">
        <v>23</v>
      </c>
      <c r="I17" s="3">
        <v>1991</v>
      </c>
      <c r="J17" s="3">
        <v>36</v>
      </c>
      <c r="K17" s="4">
        <v>43981</v>
      </c>
      <c r="L17" s="10">
        <v>345537.11090000003</v>
      </c>
    </row>
    <row r="18" spans="1:12" x14ac:dyDescent="0.3">
      <c r="A18" s="2">
        <v>16</v>
      </c>
      <c r="B18" s="3" t="s">
        <v>44</v>
      </c>
      <c r="C18" s="3" t="s">
        <v>45</v>
      </c>
      <c r="D18" s="3" t="s">
        <v>18</v>
      </c>
      <c r="E18" s="3">
        <v>29670</v>
      </c>
      <c r="F18" s="3">
        <v>0</v>
      </c>
      <c r="G18" s="3">
        <v>61965</v>
      </c>
      <c r="H18" s="3" t="s">
        <v>23</v>
      </c>
      <c r="I18" s="3">
        <v>1279</v>
      </c>
      <c r="J18" s="3">
        <v>66</v>
      </c>
      <c r="K18" s="4">
        <v>45447</v>
      </c>
      <c r="L18" s="10">
        <v>356845.15399999998</v>
      </c>
    </row>
    <row r="19" spans="1:12" x14ac:dyDescent="0.3">
      <c r="A19" s="2">
        <v>17</v>
      </c>
      <c r="B19" s="3" t="s">
        <v>28</v>
      </c>
      <c r="C19" s="3" t="s">
        <v>46</v>
      </c>
      <c r="D19" s="3" t="s">
        <v>14</v>
      </c>
      <c r="E19" s="3">
        <v>24280</v>
      </c>
      <c r="F19" s="3">
        <v>7</v>
      </c>
      <c r="G19" s="3">
        <v>76986</v>
      </c>
      <c r="H19" s="3" t="s">
        <v>23</v>
      </c>
      <c r="I19" s="3">
        <v>1397</v>
      </c>
      <c r="J19" s="3">
        <v>91</v>
      </c>
      <c r="K19" s="4">
        <v>45080</v>
      </c>
      <c r="L19" s="10">
        <v>315720.83100000001</v>
      </c>
    </row>
    <row r="20" spans="1:12" x14ac:dyDescent="0.3">
      <c r="A20" s="2">
        <v>18</v>
      </c>
      <c r="B20" s="3" t="s">
        <v>12</v>
      </c>
      <c r="C20" s="3" t="s">
        <v>47</v>
      </c>
      <c r="D20" s="3" t="s">
        <v>14</v>
      </c>
      <c r="E20" s="3">
        <v>26084</v>
      </c>
      <c r="F20" s="3">
        <v>7</v>
      </c>
      <c r="G20" s="3">
        <v>70353</v>
      </c>
      <c r="H20" s="3" t="s">
        <v>21</v>
      </c>
      <c r="I20" s="3">
        <v>2433</v>
      </c>
      <c r="J20" s="3">
        <v>28</v>
      </c>
      <c r="K20" s="4">
        <v>44573</v>
      </c>
      <c r="L20" s="10">
        <v>349511.96399999998</v>
      </c>
    </row>
    <row r="21" spans="1:12" x14ac:dyDescent="0.3">
      <c r="A21" s="2">
        <v>19</v>
      </c>
      <c r="B21" s="3" t="s">
        <v>26</v>
      </c>
      <c r="C21" s="3" t="s">
        <v>48</v>
      </c>
      <c r="D21" s="3" t="s">
        <v>14</v>
      </c>
      <c r="E21" s="3">
        <v>20892</v>
      </c>
      <c r="F21" s="3">
        <v>0</v>
      </c>
      <c r="G21" s="3">
        <v>62579</v>
      </c>
      <c r="H21" s="3" t="s">
        <v>23</v>
      </c>
      <c r="I21" s="3">
        <v>2392</v>
      </c>
      <c r="J21" s="3">
        <v>53</v>
      </c>
      <c r="K21" s="4">
        <v>45004</v>
      </c>
      <c r="L21" s="10">
        <v>330432.74099999998</v>
      </c>
    </row>
    <row r="22" spans="1:12" x14ac:dyDescent="0.3">
      <c r="A22" s="2">
        <v>20</v>
      </c>
      <c r="B22" s="3" t="s">
        <v>28</v>
      </c>
      <c r="C22" s="3" t="s">
        <v>20</v>
      </c>
      <c r="D22" s="3" t="s">
        <v>14</v>
      </c>
      <c r="E22" s="3">
        <v>11533</v>
      </c>
      <c r="F22" s="3">
        <v>0</v>
      </c>
      <c r="G22" s="3">
        <v>70354</v>
      </c>
      <c r="H22" s="3" t="s">
        <v>23</v>
      </c>
      <c r="I22" s="3">
        <v>1879</v>
      </c>
      <c r="J22" s="3">
        <v>52</v>
      </c>
      <c r="K22" s="4">
        <v>45059</v>
      </c>
      <c r="L22" s="10">
        <v>343233.15610000002</v>
      </c>
    </row>
    <row r="23" spans="1:12" x14ac:dyDescent="0.3">
      <c r="A23" s="2">
        <v>21</v>
      </c>
      <c r="B23" s="3" t="s">
        <v>28</v>
      </c>
      <c r="C23" s="3" t="s">
        <v>49</v>
      </c>
      <c r="D23" s="3" t="s">
        <v>18</v>
      </c>
      <c r="E23" s="3">
        <v>1640</v>
      </c>
      <c r="F23" s="3">
        <v>6</v>
      </c>
      <c r="G23" s="3">
        <v>53267</v>
      </c>
      <c r="H23" s="3" t="s">
        <v>23</v>
      </c>
      <c r="I23" s="3">
        <v>1439</v>
      </c>
      <c r="J23" s="3">
        <v>26</v>
      </c>
      <c r="K23" s="4">
        <v>44288</v>
      </c>
      <c r="L23" s="10">
        <v>384292.07740000001</v>
      </c>
    </row>
    <row r="24" spans="1:12" x14ac:dyDescent="0.3">
      <c r="A24" s="2">
        <v>22</v>
      </c>
      <c r="B24" s="3" t="s">
        <v>12</v>
      </c>
      <c r="C24" s="3" t="s">
        <v>50</v>
      </c>
      <c r="D24" s="3" t="s">
        <v>18</v>
      </c>
      <c r="E24" s="3">
        <v>7238</v>
      </c>
      <c r="F24" s="3">
        <v>5</v>
      </c>
      <c r="G24" s="3">
        <v>56962</v>
      </c>
      <c r="H24" s="3" t="s">
        <v>23</v>
      </c>
      <c r="I24" s="3">
        <v>2669</v>
      </c>
      <c r="J24" s="3">
        <v>85</v>
      </c>
      <c r="K24" s="4">
        <v>44133</v>
      </c>
      <c r="L24" s="10">
        <v>388524.81719999999</v>
      </c>
    </row>
    <row r="25" spans="1:12" x14ac:dyDescent="0.3">
      <c r="A25" s="2">
        <v>23</v>
      </c>
      <c r="B25" s="3" t="s">
        <v>16</v>
      </c>
      <c r="C25" s="3" t="s">
        <v>51</v>
      </c>
      <c r="D25" s="3" t="s">
        <v>18</v>
      </c>
      <c r="E25" s="3">
        <v>14972</v>
      </c>
      <c r="F25" s="3">
        <v>2</v>
      </c>
      <c r="G25" s="3">
        <v>76754</v>
      </c>
      <c r="H25" s="3" t="s">
        <v>23</v>
      </c>
      <c r="I25" s="3">
        <v>2212</v>
      </c>
      <c r="J25" s="3">
        <v>36</v>
      </c>
      <c r="K25" s="4">
        <v>45051</v>
      </c>
      <c r="L25" s="10">
        <v>396775.43040000001</v>
      </c>
    </row>
    <row r="26" spans="1:12" x14ac:dyDescent="0.3">
      <c r="A26" s="2">
        <v>24</v>
      </c>
      <c r="B26" s="3" t="s">
        <v>19</v>
      </c>
      <c r="C26" s="3" t="s">
        <v>52</v>
      </c>
      <c r="D26" s="3" t="s">
        <v>14</v>
      </c>
      <c r="E26" s="3">
        <v>14678</v>
      </c>
      <c r="F26" s="3">
        <v>2</v>
      </c>
      <c r="G26" s="3">
        <v>64296</v>
      </c>
      <c r="H26" s="3" t="s">
        <v>15</v>
      </c>
      <c r="I26" s="3">
        <v>2294</v>
      </c>
      <c r="J26" s="3">
        <v>59</v>
      </c>
      <c r="K26" s="4">
        <v>44957</v>
      </c>
      <c r="L26" s="10">
        <v>326834.71629999997</v>
      </c>
    </row>
    <row r="27" spans="1:12" x14ac:dyDescent="0.3">
      <c r="A27" s="2">
        <v>25</v>
      </c>
      <c r="B27" s="3" t="s">
        <v>53</v>
      </c>
      <c r="C27" s="3" t="s">
        <v>54</v>
      </c>
      <c r="D27" s="3" t="s">
        <v>18</v>
      </c>
      <c r="E27" s="3">
        <v>25298</v>
      </c>
      <c r="F27" s="3">
        <v>7</v>
      </c>
      <c r="G27" s="3">
        <v>90751</v>
      </c>
      <c r="H27" s="3" t="s">
        <v>21</v>
      </c>
      <c r="I27" s="3">
        <v>2525</v>
      </c>
      <c r="J27" s="3">
        <v>45</v>
      </c>
      <c r="K27" s="4">
        <v>44398</v>
      </c>
      <c r="L27" s="10">
        <v>382896.10830000002</v>
      </c>
    </row>
    <row r="28" spans="1:12" x14ac:dyDescent="0.3">
      <c r="A28" s="2">
        <v>26</v>
      </c>
      <c r="B28" s="3" t="s">
        <v>55</v>
      </c>
      <c r="C28" s="3" t="s">
        <v>56</v>
      </c>
      <c r="D28" s="3" t="s">
        <v>18</v>
      </c>
      <c r="E28" s="3">
        <v>15393</v>
      </c>
      <c r="F28" s="3">
        <v>0</v>
      </c>
      <c r="G28" s="3">
        <v>58510</v>
      </c>
      <c r="H28" s="3" t="s">
        <v>23</v>
      </c>
      <c r="I28" s="3">
        <v>2412</v>
      </c>
      <c r="J28" s="3">
        <v>77</v>
      </c>
      <c r="K28" s="4">
        <v>44993</v>
      </c>
      <c r="L28" s="10">
        <v>391103.51140000002</v>
      </c>
    </row>
    <row r="29" spans="1:12" x14ac:dyDescent="0.3">
      <c r="A29" s="2">
        <v>27</v>
      </c>
      <c r="B29" s="3" t="s">
        <v>57</v>
      </c>
      <c r="C29" s="3" t="s">
        <v>58</v>
      </c>
      <c r="D29" s="3" t="s">
        <v>14</v>
      </c>
      <c r="E29" s="3">
        <v>21684</v>
      </c>
      <c r="F29" s="3">
        <v>9</v>
      </c>
      <c r="G29" s="3">
        <v>57398</v>
      </c>
      <c r="H29" s="3" t="s">
        <v>21</v>
      </c>
      <c r="I29" s="3">
        <v>1251</v>
      </c>
      <c r="J29" s="3">
        <v>72</v>
      </c>
      <c r="K29" s="4">
        <v>45096</v>
      </c>
      <c r="L29" s="10">
        <v>335791.50799999997</v>
      </c>
    </row>
    <row r="30" spans="1:12" x14ac:dyDescent="0.3">
      <c r="A30" s="2">
        <v>28</v>
      </c>
      <c r="B30" s="3" t="s">
        <v>29</v>
      </c>
      <c r="C30" s="3" t="s">
        <v>59</v>
      </c>
      <c r="D30" s="3" t="s">
        <v>14</v>
      </c>
      <c r="E30" s="3">
        <v>20677</v>
      </c>
      <c r="F30" s="3">
        <v>7</v>
      </c>
      <c r="G30" s="3">
        <v>72853</v>
      </c>
      <c r="H30" s="3" t="s">
        <v>15</v>
      </c>
      <c r="I30" s="3">
        <v>2350</v>
      </c>
      <c r="J30" s="3">
        <v>68</v>
      </c>
      <c r="K30" s="4">
        <v>44766</v>
      </c>
      <c r="L30" s="10">
        <v>329192.9866</v>
      </c>
    </row>
    <row r="31" spans="1:12" x14ac:dyDescent="0.3">
      <c r="A31" s="2">
        <v>29</v>
      </c>
      <c r="B31" s="3" t="s">
        <v>19</v>
      </c>
      <c r="C31" s="3" t="s">
        <v>60</v>
      </c>
      <c r="D31" s="3" t="s">
        <v>14</v>
      </c>
      <c r="E31" s="3">
        <v>14389</v>
      </c>
      <c r="F31" s="3">
        <v>4</v>
      </c>
      <c r="G31" s="3">
        <v>58940</v>
      </c>
      <c r="H31" s="3" t="s">
        <v>21</v>
      </c>
      <c r="I31" s="3">
        <v>1467</v>
      </c>
      <c r="J31" s="3">
        <v>89</v>
      </c>
      <c r="K31" s="4">
        <v>44495</v>
      </c>
      <c r="L31" s="10">
        <v>325892.32439999998</v>
      </c>
    </row>
    <row r="32" spans="1:12" x14ac:dyDescent="0.3">
      <c r="A32" s="2">
        <v>30</v>
      </c>
      <c r="B32" s="3" t="s">
        <v>28</v>
      </c>
      <c r="C32" s="3" t="s">
        <v>43</v>
      </c>
      <c r="D32" s="3" t="s">
        <v>14</v>
      </c>
      <c r="E32" s="3">
        <v>9579</v>
      </c>
      <c r="F32" s="3">
        <v>3</v>
      </c>
      <c r="G32" s="3">
        <v>74908</v>
      </c>
      <c r="H32" s="3" t="s">
        <v>23</v>
      </c>
      <c r="I32" s="3">
        <v>2678</v>
      </c>
      <c r="J32" s="3">
        <v>24</v>
      </c>
      <c r="K32" s="4">
        <v>45437</v>
      </c>
      <c r="L32" s="10">
        <v>328033.96159999998</v>
      </c>
    </row>
    <row r="33" spans="1:12" x14ac:dyDescent="0.3">
      <c r="A33" s="2">
        <v>31</v>
      </c>
      <c r="B33" s="3" t="s">
        <v>37</v>
      </c>
      <c r="C33" s="3" t="s">
        <v>61</v>
      </c>
      <c r="D33" s="3" t="s">
        <v>14</v>
      </c>
      <c r="E33" s="3">
        <v>2558</v>
      </c>
      <c r="F33" s="3">
        <v>6</v>
      </c>
      <c r="G33" s="3">
        <v>77245</v>
      </c>
      <c r="H33" s="3" t="s">
        <v>15</v>
      </c>
      <c r="I33" s="3">
        <v>1496</v>
      </c>
      <c r="J33" s="3">
        <v>44</v>
      </c>
      <c r="K33" s="4">
        <v>43953</v>
      </c>
      <c r="L33" s="10">
        <v>281594.78279999999</v>
      </c>
    </row>
    <row r="34" spans="1:12" x14ac:dyDescent="0.3">
      <c r="A34" s="2">
        <v>32</v>
      </c>
      <c r="B34" s="3" t="s">
        <v>26</v>
      </c>
      <c r="C34" s="3" t="s">
        <v>47</v>
      </c>
      <c r="D34" s="3" t="s">
        <v>14</v>
      </c>
      <c r="E34" s="3">
        <v>19602</v>
      </c>
      <c r="F34" s="3">
        <v>4</v>
      </c>
      <c r="G34" s="3">
        <v>97049</v>
      </c>
      <c r="H34" s="3" t="s">
        <v>15</v>
      </c>
      <c r="I34" s="3">
        <v>1577</v>
      </c>
      <c r="J34" s="3">
        <v>74</v>
      </c>
      <c r="K34" s="4">
        <v>43838</v>
      </c>
      <c r="L34" s="10">
        <v>301248.18959999998</v>
      </c>
    </row>
    <row r="35" spans="1:12" x14ac:dyDescent="0.3">
      <c r="A35" s="2">
        <v>33</v>
      </c>
      <c r="B35" s="3" t="s">
        <v>35</v>
      </c>
      <c r="C35" s="3" t="s">
        <v>62</v>
      </c>
      <c r="D35" s="3" t="s">
        <v>14</v>
      </c>
      <c r="E35" s="3">
        <v>25097</v>
      </c>
      <c r="F35" s="3">
        <v>3</v>
      </c>
      <c r="G35" s="3">
        <v>93528</v>
      </c>
      <c r="H35" s="3" t="s">
        <v>21</v>
      </c>
      <c r="I35" s="3">
        <v>1731</v>
      </c>
      <c r="J35" s="3">
        <v>24</v>
      </c>
      <c r="K35" s="4">
        <v>44052</v>
      </c>
      <c r="L35" s="10">
        <v>336629.54810000001</v>
      </c>
    </row>
    <row r="36" spans="1:12" x14ac:dyDescent="0.3">
      <c r="A36" s="2">
        <v>34</v>
      </c>
      <c r="B36" s="3" t="s">
        <v>31</v>
      </c>
      <c r="C36" s="3" t="s">
        <v>63</v>
      </c>
      <c r="D36" s="3" t="s">
        <v>18</v>
      </c>
      <c r="E36" s="3">
        <v>25433</v>
      </c>
      <c r="F36" s="3">
        <v>4</v>
      </c>
      <c r="G36" s="3">
        <v>66553</v>
      </c>
      <c r="H36" s="3" t="s">
        <v>21</v>
      </c>
      <c r="I36" s="3">
        <v>2154</v>
      </c>
      <c r="J36" s="3">
        <v>26</v>
      </c>
      <c r="K36" s="4">
        <v>44122</v>
      </c>
      <c r="L36" s="10">
        <v>385352.4583</v>
      </c>
    </row>
    <row r="37" spans="1:12" x14ac:dyDescent="0.3">
      <c r="A37" s="2">
        <v>35</v>
      </c>
      <c r="B37" s="3" t="s">
        <v>28</v>
      </c>
      <c r="C37" s="3" t="s">
        <v>49</v>
      </c>
      <c r="D37" s="3" t="s">
        <v>18</v>
      </c>
      <c r="E37" s="3">
        <v>17681</v>
      </c>
      <c r="F37" s="3">
        <v>9</v>
      </c>
      <c r="G37" s="3">
        <v>72726</v>
      </c>
      <c r="H37" s="3" t="s">
        <v>23</v>
      </c>
      <c r="I37" s="3">
        <v>2730</v>
      </c>
      <c r="J37" s="3">
        <v>77</v>
      </c>
      <c r="K37" s="4">
        <v>44558</v>
      </c>
      <c r="L37" s="10">
        <v>391061.07319999998</v>
      </c>
    </row>
    <row r="38" spans="1:12" x14ac:dyDescent="0.3">
      <c r="A38" s="2">
        <v>36</v>
      </c>
      <c r="B38" s="3" t="s">
        <v>26</v>
      </c>
      <c r="C38" s="3" t="s">
        <v>64</v>
      </c>
      <c r="D38" s="3" t="s">
        <v>18</v>
      </c>
      <c r="E38" s="3">
        <v>24947</v>
      </c>
      <c r="F38" s="3">
        <v>7</v>
      </c>
      <c r="G38" s="3">
        <v>71588</v>
      </c>
      <c r="H38" s="3" t="s">
        <v>15</v>
      </c>
      <c r="I38" s="3">
        <v>2056</v>
      </c>
      <c r="J38" s="3">
        <v>84</v>
      </c>
      <c r="K38" s="4">
        <v>45442</v>
      </c>
      <c r="L38" s="10">
        <v>371971.348</v>
      </c>
    </row>
    <row r="39" spans="1:12" x14ac:dyDescent="0.3">
      <c r="A39" s="2">
        <v>37</v>
      </c>
      <c r="B39" s="3" t="s">
        <v>29</v>
      </c>
      <c r="C39" s="3" t="s">
        <v>59</v>
      </c>
      <c r="D39" s="3" t="s">
        <v>18</v>
      </c>
      <c r="E39" s="3">
        <v>17415</v>
      </c>
      <c r="F39" s="3">
        <v>4</v>
      </c>
      <c r="G39" s="3">
        <v>54743</v>
      </c>
      <c r="H39" s="3" t="s">
        <v>21</v>
      </c>
      <c r="I39" s="3">
        <v>1721</v>
      </c>
      <c r="J39" s="3">
        <v>93</v>
      </c>
      <c r="K39" s="4">
        <v>45483</v>
      </c>
      <c r="L39" s="10">
        <v>351576.92109999998</v>
      </c>
    </row>
    <row r="40" spans="1:12" x14ac:dyDescent="0.3">
      <c r="A40" s="2">
        <v>38</v>
      </c>
      <c r="B40" s="3" t="s">
        <v>44</v>
      </c>
      <c r="C40" s="3" t="s">
        <v>65</v>
      </c>
      <c r="D40" s="3" t="s">
        <v>14</v>
      </c>
      <c r="E40" s="3">
        <v>12808</v>
      </c>
      <c r="F40" s="3">
        <v>3</v>
      </c>
      <c r="G40" s="3">
        <v>69099</v>
      </c>
      <c r="H40" s="3" t="s">
        <v>15</v>
      </c>
      <c r="I40" s="3">
        <v>2913</v>
      </c>
      <c r="J40" s="3">
        <v>71</v>
      </c>
      <c r="K40" s="4">
        <v>44940</v>
      </c>
      <c r="L40" s="10">
        <v>345219.97859999997</v>
      </c>
    </row>
    <row r="41" spans="1:12" x14ac:dyDescent="0.3">
      <c r="A41" s="2">
        <v>39</v>
      </c>
      <c r="B41" s="3" t="s">
        <v>55</v>
      </c>
      <c r="C41" s="3" t="s">
        <v>66</v>
      </c>
      <c r="D41" s="3" t="s">
        <v>18</v>
      </c>
      <c r="E41" s="3">
        <v>4098</v>
      </c>
      <c r="F41" s="3">
        <v>9</v>
      </c>
      <c r="G41" s="3">
        <v>80670</v>
      </c>
      <c r="H41" s="3" t="s">
        <v>21</v>
      </c>
      <c r="I41" s="3">
        <v>2428</v>
      </c>
      <c r="J41" s="3">
        <v>27</v>
      </c>
      <c r="K41" s="4">
        <v>44544</v>
      </c>
      <c r="L41" s="10">
        <v>393400.1434</v>
      </c>
    </row>
    <row r="42" spans="1:12" x14ac:dyDescent="0.3">
      <c r="A42" s="2">
        <v>40</v>
      </c>
      <c r="B42" s="3" t="s">
        <v>26</v>
      </c>
      <c r="C42" s="3" t="s">
        <v>67</v>
      </c>
      <c r="D42" s="3" t="s">
        <v>18</v>
      </c>
      <c r="E42" s="3">
        <v>11598</v>
      </c>
      <c r="F42" s="3">
        <v>0</v>
      </c>
      <c r="G42" s="3">
        <v>82818</v>
      </c>
      <c r="H42" s="3" t="s">
        <v>15</v>
      </c>
      <c r="I42" s="3">
        <v>1027</v>
      </c>
      <c r="J42" s="3">
        <v>97</v>
      </c>
      <c r="K42" s="4">
        <v>44375</v>
      </c>
      <c r="L42" s="10">
        <v>377695.2941</v>
      </c>
    </row>
    <row r="43" spans="1:12" x14ac:dyDescent="0.3">
      <c r="A43" s="2">
        <v>41</v>
      </c>
      <c r="B43" s="3" t="s">
        <v>33</v>
      </c>
      <c r="C43" s="3" t="s">
        <v>68</v>
      </c>
      <c r="D43" s="3" t="s">
        <v>18</v>
      </c>
      <c r="E43" s="3">
        <v>2289</v>
      </c>
      <c r="F43" s="3">
        <v>3</v>
      </c>
      <c r="G43" s="3">
        <v>94659</v>
      </c>
      <c r="H43" s="3" t="s">
        <v>23</v>
      </c>
      <c r="I43" s="3">
        <v>2297</v>
      </c>
      <c r="J43" s="3">
        <v>26</v>
      </c>
      <c r="K43" s="4">
        <v>44704</v>
      </c>
      <c r="L43" s="10">
        <v>379892.03350000002</v>
      </c>
    </row>
    <row r="44" spans="1:12" x14ac:dyDescent="0.3">
      <c r="A44" s="2">
        <v>42</v>
      </c>
      <c r="B44" s="3" t="s">
        <v>26</v>
      </c>
      <c r="C44" s="3" t="s">
        <v>69</v>
      </c>
      <c r="D44" s="3" t="s">
        <v>18</v>
      </c>
      <c r="E44" s="3">
        <v>20878</v>
      </c>
      <c r="F44" s="3">
        <v>1</v>
      </c>
      <c r="G44" s="3">
        <v>76030</v>
      </c>
      <c r="H44" s="3" t="s">
        <v>15</v>
      </c>
      <c r="I44" s="3">
        <v>1238</v>
      </c>
      <c r="J44" s="3">
        <v>78</v>
      </c>
      <c r="K44" s="4">
        <v>45226</v>
      </c>
      <c r="L44" s="10">
        <v>372575.88089999999</v>
      </c>
    </row>
    <row r="45" spans="1:12" x14ac:dyDescent="0.3">
      <c r="A45" s="2">
        <v>43</v>
      </c>
      <c r="B45" s="3" t="s">
        <v>12</v>
      </c>
      <c r="C45" s="3" t="s">
        <v>50</v>
      </c>
      <c r="D45" s="3" t="s">
        <v>18</v>
      </c>
      <c r="E45" s="3">
        <v>18984</v>
      </c>
      <c r="F45" s="3">
        <v>5</v>
      </c>
      <c r="G45" s="3">
        <v>98955</v>
      </c>
      <c r="H45" s="3" t="s">
        <v>23</v>
      </c>
      <c r="I45" s="3">
        <v>2288</v>
      </c>
      <c r="J45" s="3">
        <v>89</v>
      </c>
      <c r="K45" s="4">
        <v>45503</v>
      </c>
      <c r="L45" s="10">
        <v>420642.141</v>
      </c>
    </row>
    <row r="46" spans="1:12" x14ac:dyDescent="0.3">
      <c r="A46" s="2">
        <v>44</v>
      </c>
      <c r="B46" s="3" t="s">
        <v>40</v>
      </c>
      <c r="C46" s="3" t="s">
        <v>70</v>
      </c>
      <c r="D46" s="3" t="s">
        <v>18</v>
      </c>
      <c r="E46" s="3">
        <v>15792</v>
      </c>
      <c r="F46" s="3">
        <v>1</v>
      </c>
      <c r="G46" s="3">
        <v>95726</v>
      </c>
      <c r="H46" s="3" t="s">
        <v>15</v>
      </c>
      <c r="I46" s="3">
        <v>2939</v>
      </c>
      <c r="J46" s="3">
        <v>24</v>
      </c>
      <c r="K46" s="4">
        <v>45455</v>
      </c>
      <c r="L46" s="10">
        <v>382561.77110000001</v>
      </c>
    </row>
    <row r="47" spans="1:12" x14ac:dyDescent="0.3">
      <c r="A47" s="2">
        <v>45</v>
      </c>
      <c r="B47" s="3" t="s">
        <v>40</v>
      </c>
      <c r="C47" s="3" t="s">
        <v>71</v>
      </c>
      <c r="D47" s="3" t="s">
        <v>18</v>
      </c>
      <c r="E47" s="3">
        <v>25943</v>
      </c>
      <c r="F47" s="3">
        <v>9</v>
      </c>
      <c r="G47" s="3">
        <v>70833</v>
      </c>
      <c r="H47" s="3" t="s">
        <v>21</v>
      </c>
      <c r="I47" s="3">
        <v>1557</v>
      </c>
      <c r="J47" s="3">
        <v>46</v>
      </c>
      <c r="K47" s="4">
        <v>43843</v>
      </c>
      <c r="L47" s="10">
        <v>387915.83049999998</v>
      </c>
    </row>
    <row r="48" spans="1:12" x14ac:dyDescent="0.3">
      <c r="A48" s="2">
        <v>46</v>
      </c>
      <c r="B48" s="3" t="s">
        <v>31</v>
      </c>
      <c r="C48" s="3" t="s">
        <v>32</v>
      </c>
      <c r="D48" s="3" t="s">
        <v>18</v>
      </c>
      <c r="E48" s="3">
        <v>21447</v>
      </c>
      <c r="F48" s="3">
        <v>4</v>
      </c>
      <c r="G48" s="3">
        <v>65767</v>
      </c>
      <c r="H48" s="3" t="s">
        <v>15</v>
      </c>
      <c r="I48" s="3">
        <v>1852</v>
      </c>
      <c r="J48" s="3">
        <v>68</v>
      </c>
      <c r="K48" s="4">
        <v>44961</v>
      </c>
      <c r="L48" s="10">
        <v>376131.39189999999</v>
      </c>
    </row>
    <row r="49" spans="1:12" x14ac:dyDescent="0.3">
      <c r="A49" s="2">
        <v>47</v>
      </c>
      <c r="B49" s="3" t="s">
        <v>72</v>
      </c>
      <c r="C49" s="3" t="s">
        <v>73</v>
      </c>
      <c r="D49" s="3" t="s">
        <v>18</v>
      </c>
      <c r="E49" s="3">
        <v>14882</v>
      </c>
      <c r="F49" s="3">
        <v>1</v>
      </c>
      <c r="G49" s="3">
        <v>74649</v>
      </c>
      <c r="H49" s="3" t="s">
        <v>15</v>
      </c>
      <c r="I49" s="3">
        <v>1448</v>
      </c>
      <c r="J49" s="3">
        <v>99</v>
      </c>
      <c r="K49" s="4">
        <v>43916</v>
      </c>
      <c r="L49" s="10">
        <v>340234.50809999998</v>
      </c>
    </row>
    <row r="50" spans="1:12" x14ac:dyDescent="0.3">
      <c r="A50" s="2">
        <v>48</v>
      </c>
      <c r="B50" s="3" t="s">
        <v>19</v>
      </c>
      <c r="C50" s="3" t="s">
        <v>20</v>
      </c>
      <c r="D50" s="3" t="s">
        <v>18</v>
      </c>
      <c r="E50" s="3">
        <v>13707</v>
      </c>
      <c r="F50" s="3">
        <v>0</v>
      </c>
      <c r="G50" s="3">
        <v>56955</v>
      </c>
      <c r="H50" s="3" t="s">
        <v>21</v>
      </c>
      <c r="I50" s="3">
        <v>1151</v>
      </c>
      <c r="J50" s="3">
        <v>58</v>
      </c>
      <c r="K50" s="4">
        <v>43897</v>
      </c>
      <c r="L50" s="10">
        <v>364932.21360000002</v>
      </c>
    </row>
    <row r="51" spans="1:12" x14ac:dyDescent="0.3">
      <c r="A51" s="2">
        <v>49</v>
      </c>
      <c r="B51" s="3" t="s">
        <v>74</v>
      </c>
      <c r="C51" s="3" t="s">
        <v>75</v>
      </c>
      <c r="D51" s="3" t="s">
        <v>18</v>
      </c>
      <c r="E51" s="3">
        <v>26927</v>
      </c>
      <c r="F51" s="3">
        <v>8</v>
      </c>
      <c r="G51" s="3">
        <v>53407</v>
      </c>
      <c r="H51" s="3" t="s">
        <v>15</v>
      </c>
      <c r="I51" s="3">
        <v>2442</v>
      </c>
      <c r="J51" s="3">
        <v>66</v>
      </c>
      <c r="K51" s="4">
        <v>45033</v>
      </c>
      <c r="L51" s="10">
        <v>398332.00630000001</v>
      </c>
    </row>
    <row r="52" spans="1:12" x14ac:dyDescent="0.3">
      <c r="A52" s="2">
        <v>50</v>
      </c>
      <c r="B52" s="3" t="s">
        <v>57</v>
      </c>
      <c r="C52" s="3" t="s">
        <v>58</v>
      </c>
      <c r="D52" s="3" t="s">
        <v>18</v>
      </c>
      <c r="E52" s="3">
        <v>6869</v>
      </c>
      <c r="F52" s="3">
        <v>5</v>
      </c>
      <c r="G52" s="3">
        <v>73584</v>
      </c>
      <c r="H52" s="3" t="s">
        <v>21</v>
      </c>
      <c r="I52" s="3">
        <v>1440</v>
      </c>
      <c r="J52" s="3">
        <v>81</v>
      </c>
      <c r="K52" s="4">
        <v>44213</v>
      </c>
      <c r="L52" s="10">
        <v>364226.88429999998</v>
      </c>
    </row>
    <row r="53" spans="1:12" x14ac:dyDescent="0.3">
      <c r="A53" s="2">
        <v>51</v>
      </c>
      <c r="B53" s="3" t="s">
        <v>12</v>
      </c>
      <c r="C53" s="3" t="s">
        <v>76</v>
      </c>
      <c r="D53" s="3" t="s">
        <v>14</v>
      </c>
      <c r="E53" s="3">
        <v>24589</v>
      </c>
      <c r="F53" s="3">
        <v>0</v>
      </c>
      <c r="G53" s="3">
        <v>67027</v>
      </c>
      <c r="H53" s="3" t="s">
        <v>15</v>
      </c>
      <c r="I53" s="3">
        <v>1640</v>
      </c>
      <c r="J53" s="3">
        <v>67</v>
      </c>
      <c r="K53" s="4">
        <v>45454</v>
      </c>
      <c r="L53" s="10">
        <v>309096.08860000002</v>
      </c>
    </row>
    <row r="54" spans="1:12" x14ac:dyDescent="0.3">
      <c r="A54" s="2">
        <v>52</v>
      </c>
      <c r="B54" s="3" t="s">
        <v>24</v>
      </c>
      <c r="C54" s="3" t="s">
        <v>77</v>
      </c>
      <c r="D54" s="3" t="s">
        <v>14</v>
      </c>
      <c r="E54" s="3">
        <v>1044</v>
      </c>
      <c r="F54" s="3">
        <v>7</v>
      </c>
      <c r="G54" s="3">
        <v>56486</v>
      </c>
      <c r="H54" s="3" t="s">
        <v>23</v>
      </c>
      <c r="I54" s="3">
        <v>2036</v>
      </c>
      <c r="J54" s="3">
        <v>74</v>
      </c>
      <c r="K54" s="4">
        <v>45008</v>
      </c>
      <c r="L54" s="10">
        <v>331444.03730000003</v>
      </c>
    </row>
    <row r="55" spans="1:12" x14ac:dyDescent="0.3">
      <c r="A55" s="2">
        <v>53</v>
      </c>
      <c r="B55" s="3" t="s">
        <v>57</v>
      </c>
      <c r="C55" s="3" t="s">
        <v>78</v>
      </c>
      <c r="D55" s="3" t="s">
        <v>18</v>
      </c>
      <c r="E55" s="3">
        <v>28914</v>
      </c>
      <c r="F55" s="3">
        <v>5</v>
      </c>
      <c r="G55" s="3">
        <v>55999</v>
      </c>
      <c r="H55" s="3" t="s">
        <v>15</v>
      </c>
      <c r="I55" s="3">
        <v>1332</v>
      </c>
      <c r="J55" s="3">
        <v>26</v>
      </c>
      <c r="K55" s="4">
        <v>43987</v>
      </c>
      <c r="L55" s="10">
        <v>363854.62550000002</v>
      </c>
    </row>
    <row r="56" spans="1:12" x14ac:dyDescent="0.3">
      <c r="A56" s="2">
        <v>54</v>
      </c>
      <c r="B56" s="3" t="s">
        <v>33</v>
      </c>
      <c r="C56" s="3" t="s">
        <v>79</v>
      </c>
      <c r="D56" s="3" t="s">
        <v>18</v>
      </c>
      <c r="E56" s="3">
        <v>3379</v>
      </c>
      <c r="F56" s="3">
        <v>4</v>
      </c>
      <c r="G56" s="3">
        <v>91371</v>
      </c>
      <c r="H56" s="3" t="s">
        <v>15</v>
      </c>
      <c r="I56" s="3">
        <v>1851</v>
      </c>
      <c r="J56" s="3">
        <v>23</v>
      </c>
      <c r="K56" s="4">
        <v>43846</v>
      </c>
      <c r="L56" s="10">
        <v>354567.71710000001</v>
      </c>
    </row>
    <row r="57" spans="1:12" x14ac:dyDescent="0.3">
      <c r="A57" s="2">
        <v>55</v>
      </c>
      <c r="B57" s="3" t="s">
        <v>28</v>
      </c>
      <c r="C57" s="3" t="s">
        <v>49</v>
      </c>
      <c r="D57" s="3" t="s">
        <v>14</v>
      </c>
      <c r="E57" s="3">
        <v>5560</v>
      </c>
      <c r="F57" s="3">
        <v>3</v>
      </c>
      <c r="G57" s="3">
        <v>93673</v>
      </c>
      <c r="H57" s="3" t="s">
        <v>15</v>
      </c>
      <c r="I57" s="3">
        <v>1514</v>
      </c>
      <c r="J57" s="3">
        <v>34</v>
      </c>
      <c r="K57" s="4">
        <v>44578</v>
      </c>
      <c r="L57" s="10">
        <v>307912.0477</v>
      </c>
    </row>
    <row r="58" spans="1:12" x14ac:dyDescent="0.3">
      <c r="A58" s="2">
        <v>56</v>
      </c>
      <c r="B58" s="3" t="s">
        <v>33</v>
      </c>
      <c r="C58" s="3" t="s">
        <v>80</v>
      </c>
      <c r="D58" s="3" t="s">
        <v>18</v>
      </c>
      <c r="E58" s="3">
        <v>11163</v>
      </c>
      <c r="F58" s="3">
        <v>9</v>
      </c>
      <c r="G58" s="3">
        <v>69830</v>
      </c>
      <c r="H58" s="3" t="s">
        <v>15</v>
      </c>
      <c r="I58" s="3">
        <v>1422</v>
      </c>
      <c r="J58" s="3">
        <v>40</v>
      </c>
      <c r="K58" s="4">
        <v>43923</v>
      </c>
      <c r="L58" s="10">
        <v>329598.27879999997</v>
      </c>
    </row>
    <row r="59" spans="1:12" x14ac:dyDescent="0.3">
      <c r="A59" s="2">
        <v>57</v>
      </c>
      <c r="B59" s="3" t="s">
        <v>31</v>
      </c>
      <c r="C59" s="3" t="s">
        <v>81</v>
      </c>
      <c r="D59" s="3" t="s">
        <v>14</v>
      </c>
      <c r="E59" s="3">
        <v>24385</v>
      </c>
      <c r="F59" s="3">
        <v>6</v>
      </c>
      <c r="G59" s="3">
        <v>60090</v>
      </c>
      <c r="H59" s="3" t="s">
        <v>21</v>
      </c>
      <c r="I59" s="3">
        <v>1979</v>
      </c>
      <c r="J59" s="3">
        <v>74</v>
      </c>
      <c r="K59" s="4">
        <v>44956</v>
      </c>
      <c r="L59" s="10">
        <v>353047.95039999997</v>
      </c>
    </row>
    <row r="60" spans="1:12" x14ac:dyDescent="0.3">
      <c r="A60" s="2">
        <v>58</v>
      </c>
      <c r="B60" s="3" t="s">
        <v>44</v>
      </c>
      <c r="C60" s="3" t="s">
        <v>82</v>
      </c>
      <c r="D60" s="3" t="s">
        <v>14</v>
      </c>
      <c r="E60" s="3">
        <v>1278</v>
      </c>
      <c r="F60" s="3">
        <v>7</v>
      </c>
      <c r="G60" s="3">
        <v>79249</v>
      </c>
      <c r="H60" s="3" t="s">
        <v>21</v>
      </c>
      <c r="I60" s="3">
        <v>2529</v>
      </c>
      <c r="J60" s="3">
        <v>27</v>
      </c>
      <c r="K60" s="4">
        <v>44840</v>
      </c>
      <c r="L60" s="10">
        <v>339891.71289999998</v>
      </c>
    </row>
    <row r="61" spans="1:12" x14ac:dyDescent="0.3">
      <c r="A61" s="2">
        <v>59</v>
      </c>
      <c r="B61" s="3" t="s">
        <v>55</v>
      </c>
      <c r="C61" s="3" t="s">
        <v>67</v>
      </c>
      <c r="D61" s="3" t="s">
        <v>14</v>
      </c>
      <c r="E61" s="3">
        <v>13514</v>
      </c>
      <c r="F61" s="3">
        <v>6</v>
      </c>
      <c r="G61" s="3">
        <v>64826</v>
      </c>
      <c r="H61" s="3" t="s">
        <v>21</v>
      </c>
      <c r="I61" s="3">
        <v>2131</v>
      </c>
      <c r="J61" s="3">
        <v>90</v>
      </c>
      <c r="K61" s="4">
        <v>44756</v>
      </c>
      <c r="L61" s="10">
        <v>347792.55239999999</v>
      </c>
    </row>
    <row r="62" spans="1:12" x14ac:dyDescent="0.3">
      <c r="A62" s="2">
        <v>60</v>
      </c>
      <c r="B62" s="3" t="s">
        <v>29</v>
      </c>
      <c r="C62" s="3" t="s">
        <v>83</v>
      </c>
      <c r="D62" s="3" t="s">
        <v>14</v>
      </c>
      <c r="E62" s="3">
        <v>24839</v>
      </c>
      <c r="F62" s="3">
        <v>1</v>
      </c>
      <c r="G62" s="3">
        <v>82731</v>
      </c>
      <c r="H62" s="3" t="s">
        <v>23</v>
      </c>
      <c r="I62" s="3">
        <v>1952</v>
      </c>
      <c r="J62" s="3">
        <v>40</v>
      </c>
      <c r="K62" s="4">
        <v>45147</v>
      </c>
      <c r="L62" s="10">
        <v>332271.85389999999</v>
      </c>
    </row>
    <row r="63" spans="1:12" x14ac:dyDescent="0.3">
      <c r="A63" s="2">
        <v>61</v>
      </c>
      <c r="B63" s="3" t="s">
        <v>16</v>
      </c>
      <c r="C63" s="3" t="s">
        <v>84</v>
      </c>
      <c r="D63" s="3" t="s">
        <v>18</v>
      </c>
      <c r="E63" s="3">
        <v>12649</v>
      </c>
      <c r="F63" s="3">
        <v>8</v>
      </c>
      <c r="G63" s="3">
        <v>75511</v>
      </c>
      <c r="H63" s="3" t="s">
        <v>21</v>
      </c>
      <c r="I63" s="3">
        <v>2177</v>
      </c>
      <c r="J63" s="3">
        <v>56</v>
      </c>
      <c r="K63" s="4">
        <v>44211</v>
      </c>
      <c r="L63" s="10">
        <v>383489.11</v>
      </c>
    </row>
    <row r="64" spans="1:12" x14ac:dyDescent="0.3">
      <c r="A64" s="2">
        <v>62</v>
      </c>
      <c r="B64" s="3" t="s">
        <v>24</v>
      </c>
      <c r="C64" s="3" t="s">
        <v>25</v>
      </c>
      <c r="D64" s="3" t="s">
        <v>18</v>
      </c>
      <c r="E64" s="3">
        <v>13511</v>
      </c>
      <c r="F64" s="3">
        <v>0</v>
      </c>
      <c r="G64" s="3">
        <v>69249</v>
      </c>
      <c r="H64" s="3" t="s">
        <v>21</v>
      </c>
      <c r="I64" s="3">
        <v>1802</v>
      </c>
      <c r="J64" s="3">
        <v>74</v>
      </c>
      <c r="K64" s="4">
        <v>45423</v>
      </c>
      <c r="L64" s="10">
        <v>393174.22269999998</v>
      </c>
    </row>
    <row r="65" spans="1:12" x14ac:dyDescent="0.3">
      <c r="A65" s="2">
        <v>63</v>
      </c>
      <c r="B65" s="3" t="s">
        <v>12</v>
      </c>
      <c r="C65" s="3" t="s">
        <v>85</v>
      </c>
      <c r="D65" s="3" t="s">
        <v>14</v>
      </c>
      <c r="E65" s="3">
        <v>17612</v>
      </c>
      <c r="F65" s="3">
        <v>7</v>
      </c>
      <c r="G65" s="3">
        <v>71095</v>
      </c>
      <c r="H65" s="3" t="s">
        <v>23</v>
      </c>
      <c r="I65" s="3">
        <v>1139</v>
      </c>
      <c r="J65" s="3">
        <v>66</v>
      </c>
      <c r="K65" s="4">
        <v>44562</v>
      </c>
      <c r="L65" s="10">
        <v>312603.73690000002</v>
      </c>
    </row>
    <row r="66" spans="1:12" x14ac:dyDescent="0.3">
      <c r="A66" s="2">
        <v>64</v>
      </c>
      <c r="B66" s="3" t="s">
        <v>57</v>
      </c>
      <c r="C66" s="3" t="s">
        <v>86</v>
      </c>
      <c r="D66" s="3" t="s">
        <v>18</v>
      </c>
      <c r="E66" s="3">
        <v>13466</v>
      </c>
      <c r="F66" s="3">
        <v>7</v>
      </c>
      <c r="G66" s="3">
        <v>67969</v>
      </c>
      <c r="H66" s="3" t="s">
        <v>23</v>
      </c>
      <c r="I66" s="3">
        <v>2661</v>
      </c>
      <c r="J66" s="3">
        <v>73</v>
      </c>
      <c r="K66" s="4">
        <v>45045</v>
      </c>
      <c r="L66" s="10">
        <v>380768.9964</v>
      </c>
    </row>
    <row r="67" spans="1:12" x14ac:dyDescent="0.3">
      <c r="A67" s="2">
        <v>65</v>
      </c>
      <c r="B67" s="3" t="s">
        <v>16</v>
      </c>
      <c r="C67" s="3" t="s">
        <v>87</v>
      </c>
      <c r="D67" s="3" t="s">
        <v>18</v>
      </c>
      <c r="E67" s="3">
        <v>14357</v>
      </c>
      <c r="F67" s="3">
        <v>5</v>
      </c>
      <c r="G67" s="3">
        <v>73943</v>
      </c>
      <c r="H67" s="3" t="s">
        <v>23</v>
      </c>
      <c r="I67" s="3">
        <v>1390</v>
      </c>
      <c r="J67" s="3">
        <v>48</v>
      </c>
      <c r="K67" s="4">
        <v>44676</v>
      </c>
      <c r="L67" s="10">
        <v>372074.94540000003</v>
      </c>
    </row>
    <row r="68" spans="1:12" x14ac:dyDescent="0.3">
      <c r="A68" s="2">
        <v>66</v>
      </c>
      <c r="B68" s="3" t="s">
        <v>12</v>
      </c>
      <c r="C68" s="3" t="s">
        <v>85</v>
      </c>
      <c r="D68" s="3" t="s">
        <v>18</v>
      </c>
      <c r="E68" s="3">
        <v>21288</v>
      </c>
      <c r="F68" s="3">
        <v>6</v>
      </c>
      <c r="G68" s="3">
        <v>92053</v>
      </c>
      <c r="H68" s="3" t="s">
        <v>21</v>
      </c>
      <c r="I68" s="3">
        <v>2501</v>
      </c>
      <c r="J68" s="3">
        <v>55</v>
      </c>
      <c r="K68" s="4">
        <v>44741</v>
      </c>
      <c r="L68" s="10">
        <v>427937.12689999997</v>
      </c>
    </row>
    <row r="69" spans="1:12" x14ac:dyDescent="0.3">
      <c r="A69" s="2">
        <v>67</v>
      </c>
      <c r="B69" s="3" t="s">
        <v>33</v>
      </c>
      <c r="C69" s="3" t="s">
        <v>88</v>
      </c>
      <c r="D69" s="3" t="s">
        <v>18</v>
      </c>
      <c r="E69" s="3">
        <v>9892</v>
      </c>
      <c r="F69" s="3">
        <v>1</v>
      </c>
      <c r="G69" s="3">
        <v>72407</v>
      </c>
      <c r="H69" s="3" t="s">
        <v>23</v>
      </c>
      <c r="I69" s="3">
        <v>2396</v>
      </c>
      <c r="J69" s="3">
        <v>58</v>
      </c>
      <c r="K69" s="4">
        <v>45416</v>
      </c>
      <c r="L69" s="10">
        <v>393006.32669999998</v>
      </c>
    </row>
    <row r="70" spans="1:12" x14ac:dyDescent="0.3">
      <c r="A70" s="2">
        <v>68</v>
      </c>
      <c r="B70" s="3" t="s">
        <v>74</v>
      </c>
      <c r="C70" s="3" t="s">
        <v>89</v>
      </c>
      <c r="D70" s="3" t="s">
        <v>14</v>
      </c>
      <c r="E70" s="3">
        <v>20712</v>
      </c>
      <c r="F70" s="3">
        <v>4</v>
      </c>
      <c r="G70" s="3">
        <v>55361</v>
      </c>
      <c r="H70" s="3" t="s">
        <v>21</v>
      </c>
      <c r="I70" s="3">
        <v>1686</v>
      </c>
      <c r="J70" s="3">
        <v>25</v>
      </c>
      <c r="K70" s="4">
        <v>44706</v>
      </c>
      <c r="L70" s="10">
        <v>331202.99800000002</v>
      </c>
    </row>
    <row r="71" spans="1:12" x14ac:dyDescent="0.3">
      <c r="A71" s="2">
        <v>69</v>
      </c>
      <c r="B71" s="3" t="s">
        <v>33</v>
      </c>
      <c r="C71" s="3" t="s">
        <v>79</v>
      </c>
      <c r="D71" s="3" t="s">
        <v>18</v>
      </c>
      <c r="E71" s="3">
        <v>18108</v>
      </c>
      <c r="F71" s="3">
        <v>4</v>
      </c>
      <c r="G71" s="3">
        <v>58299</v>
      </c>
      <c r="H71" s="3" t="s">
        <v>23</v>
      </c>
      <c r="I71" s="3">
        <v>2607</v>
      </c>
      <c r="J71" s="3">
        <v>31</v>
      </c>
      <c r="K71" s="4">
        <v>45216</v>
      </c>
      <c r="L71" s="10">
        <v>385356.67580000003</v>
      </c>
    </row>
    <row r="72" spans="1:12" x14ac:dyDescent="0.3">
      <c r="A72" s="2">
        <v>70</v>
      </c>
      <c r="B72" s="3" t="s">
        <v>28</v>
      </c>
      <c r="C72" s="3" t="s">
        <v>20</v>
      </c>
      <c r="D72" s="3" t="s">
        <v>14</v>
      </c>
      <c r="E72" s="3">
        <v>16861</v>
      </c>
      <c r="F72" s="3">
        <v>7</v>
      </c>
      <c r="G72" s="3">
        <v>66521</v>
      </c>
      <c r="H72" s="3" t="s">
        <v>15</v>
      </c>
      <c r="I72" s="3">
        <v>2042</v>
      </c>
      <c r="J72" s="3">
        <v>27</v>
      </c>
      <c r="K72" s="4">
        <v>44297</v>
      </c>
      <c r="L72" s="10">
        <v>298138.533</v>
      </c>
    </row>
    <row r="73" spans="1:12" x14ac:dyDescent="0.3">
      <c r="A73" s="2">
        <v>71</v>
      </c>
      <c r="B73" s="3" t="s">
        <v>24</v>
      </c>
      <c r="C73" s="3" t="s">
        <v>39</v>
      </c>
      <c r="D73" s="3" t="s">
        <v>18</v>
      </c>
      <c r="E73" s="3">
        <v>14201</v>
      </c>
      <c r="F73" s="3">
        <v>2</v>
      </c>
      <c r="G73" s="3">
        <v>81871</v>
      </c>
      <c r="H73" s="3" t="s">
        <v>23</v>
      </c>
      <c r="I73" s="3">
        <v>2726</v>
      </c>
      <c r="J73" s="3">
        <v>99</v>
      </c>
      <c r="K73" s="4">
        <v>44008</v>
      </c>
      <c r="L73" s="10">
        <v>430021.10499999998</v>
      </c>
    </row>
    <row r="74" spans="1:12" x14ac:dyDescent="0.3">
      <c r="A74" s="2">
        <v>72</v>
      </c>
      <c r="B74" s="3" t="s">
        <v>55</v>
      </c>
      <c r="C74" s="3" t="s">
        <v>56</v>
      </c>
      <c r="D74" s="3" t="s">
        <v>14</v>
      </c>
      <c r="E74" s="3">
        <v>17814</v>
      </c>
      <c r="F74" s="3">
        <v>2</v>
      </c>
      <c r="G74" s="3">
        <v>68227</v>
      </c>
      <c r="H74" s="3" t="s">
        <v>23</v>
      </c>
      <c r="I74" s="3">
        <v>2262</v>
      </c>
      <c r="J74" s="3">
        <v>29</v>
      </c>
      <c r="K74" s="4">
        <v>45474</v>
      </c>
      <c r="L74" s="10">
        <v>324932.79489999998</v>
      </c>
    </row>
    <row r="75" spans="1:12" x14ac:dyDescent="0.3">
      <c r="A75" s="2">
        <v>73</v>
      </c>
      <c r="B75" s="3" t="s">
        <v>37</v>
      </c>
      <c r="C75" s="3" t="s">
        <v>90</v>
      </c>
      <c r="D75" s="3" t="s">
        <v>18</v>
      </c>
      <c r="E75" s="3">
        <v>25080</v>
      </c>
      <c r="F75" s="3">
        <v>3</v>
      </c>
      <c r="G75" s="3">
        <v>87181</v>
      </c>
      <c r="H75" s="3" t="s">
        <v>15</v>
      </c>
      <c r="I75" s="3">
        <v>2111</v>
      </c>
      <c r="J75" s="3">
        <v>62</v>
      </c>
      <c r="K75" s="4">
        <v>43838</v>
      </c>
      <c r="L75" s="10">
        <v>359811.40779999999</v>
      </c>
    </row>
    <row r="76" spans="1:12" x14ac:dyDescent="0.3">
      <c r="A76" s="2">
        <v>74</v>
      </c>
      <c r="B76" s="3" t="s">
        <v>33</v>
      </c>
      <c r="C76" s="3" t="s">
        <v>91</v>
      </c>
      <c r="D76" s="3" t="s">
        <v>14</v>
      </c>
      <c r="E76" s="3">
        <v>27646</v>
      </c>
      <c r="F76" s="3">
        <v>1</v>
      </c>
      <c r="G76" s="3">
        <v>96726</v>
      </c>
      <c r="H76" s="3" t="s">
        <v>15</v>
      </c>
      <c r="I76" s="3">
        <v>1169</v>
      </c>
      <c r="J76" s="3">
        <v>88</v>
      </c>
      <c r="K76" s="4">
        <v>44925</v>
      </c>
      <c r="L76" s="10">
        <v>303354.53360000002</v>
      </c>
    </row>
    <row r="77" spans="1:12" x14ac:dyDescent="0.3">
      <c r="A77" s="2">
        <v>75</v>
      </c>
      <c r="B77" s="3" t="s">
        <v>33</v>
      </c>
      <c r="C77" s="3" t="s">
        <v>92</v>
      </c>
      <c r="D77" s="3" t="s">
        <v>18</v>
      </c>
      <c r="E77" s="3">
        <v>23585</v>
      </c>
      <c r="F77" s="3">
        <v>1</v>
      </c>
      <c r="G77" s="3">
        <v>67312</v>
      </c>
      <c r="H77" s="3" t="s">
        <v>23</v>
      </c>
      <c r="I77" s="3">
        <v>1527</v>
      </c>
      <c r="J77" s="3">
        <v>33</v>
      </c>
      <c r="K77" s="4">
        <v>44479</v>
      </c>
      <c r="L77" s="10">
        <v>406868.70919999998</v>
      </c>
    </row>
    <row r="78" spans="1:12" x14ac:dyDescent="0.3">
      <c r="A78" s="2">
        <v>76</v>
      </c>
      <c r="B78" s="3" t="s">
        <v>26</v>
      </c>
      <c r="C78" s="3" t="s">
        <v>93</v>
      </c>
      <c r="D78" s="3" t="s">
        <v>18</v>
      </c>
      <c r="E78" s="3">
        <v>1507</v>
      </c>
      <c r="F78" s="3">
        <v>9</v>
      </c>
      <c r="G78" s="3">
        <v>60391</v>
      </c>
      <c r="H78" s="3" t="s">
        <v>23</v>
      </c>
      <c r="I78" s="3">
        <v>1451</v>
      </c>
      <c r="J78" s="3">
        <v>60</v>
      </c>
      <c r="K78" s="4">
        <v>44865</v>
      </c>
      <c r="L78" s="10">
        <v>345302.49</v>
      </c>
    </row>
    <row r="79" spans="1:12" x14ac:dyDescent="0.3">
      <c r="A79" s="2">
        <v>77</v>
      </c>
      <c r="B79" s="3" t="s">
        <v>24</v>
      </c>
      <c r="C79" s="3" t="s">
        <v>94</v>
      </c>
      <c r="D79" s="3" t="s">
        <v>14</v>
      </c>
      <c r="E79" s="3">
        <v>10416</v>
      </c>
      <c r="F79" s="3">
        <v>0</v>
      </c>
      <c r="G79" s="3">
        <v>96892</v>
      </c>
      <c r="H79" s="3" t="s">
        <v>23</v>
      </c>
      <c r="I79" s="3">
        <v>1251</v>
      </c>
      <c r="J79" s="3">
        <v>73</v>
      </c>
      <c r="K79" s="4">
        <v>44140</v>
      </c>
      <c r="L79" s="10">
        <v>341839.20649999997</v>
      </c>
    </row>
    <row r="80" spans="1:12" x14ac:dyDescent="0.3">
      <c r="A80" s="2">
        <v>78</v>
      </c>
      <c r="B80" s="3" t="s">
        <v>12</v>
      </c>
      <c r="C80" s="3" t="s">
        <v>95</v>
      </c>
      <c r="D80" s="3" t="s">
        <v>14</v>
      </c>
      <c r="E80" s="3">
        <v>14671</v>
      </c>
      <c r="F80" s="3">
        <v>2</v>
      </c>
      <c r="G80" s="3">
        <v>54325</v>
      </c>
      <c r="H80" s="3" t="s">
        <v>23</v>
      </c>
      <c r="I80" s="3">
        <v>1581</v>
      </c>
      <c r="J80" s="3">
        <v>34</v>
      </c>
      <c r="K80" s="4">
        <v>44741</v>
      </c>
      <c r="L80" s="10">
        <v>318567.10359999997</v>
      </c>
    </row>
    <row r="81" spans="1:12" x14ac:dyDescent="0.3">
      <c r="A81" s="2">
        <v>79</v>
      </c>
      <c r="B81" s="3" t="s">
        <v>72</v>
      </c>
      <c r="C81" s="3" t="s">
        <v>96</v>
      </c>
      <c r="D81" s="3" t="s">
        <v>14</v>
      </c>
      <c r="E81" s="3">
        <v>22498</v>
      </c>
      <c r="F81" s="3">
        <v>3</v>
      </c>
      <c r="G81" s="3">
        <v>94289</v>
      </c>
      <c r="H81" s="3" t="s">
        <v>21</v>
      </c>
      <c r="I81" s="3">
        <v>2624</v>
      </c>
      <c r="J81" s="3">
        <v>85</v>
      </c>
      <c r="K81" s="4">
        <v>43955</v>
      </c>
      <c r="L81" s="10">
        <v>367464.44919999997</v>
      </c>
    </row>
    <row r="82" spans="1:12" x14ac:dyDescent="0.3">
      <c r="A82" s="2">
        <v>80</v>
      </c>
      <c r="B82" s="3" t="s">
        <v>44</v>
      </c>
      <c r="C82" s="3" t="s">
        <v>65</v>
      </c>
      <c r="D82" s="3" t="s">
        <v>18</v>
      </c>
      <c r="E82" s="3">
        <v>29840</v>
      </c>
      <c r="F82" s="3">
        <v>4</v>
      </c>
      <c r="G82" s="3">
        <v>65754</v>
      </c>
      <c r="H82" s="3" t="s">
        <v>15</v>
      </c>
      <c r="I82" s="3">
        <v>1326</v>
      </c>
      <c r="J82" s="3">
        <v>96</v>
      </c>
      <c r="K82" s="4">
        <v>44470</v>
      </c>
      <c r="L82" s="10">
        <v>384760.06420000002</v>
      </c>
    </row>
    <row r="83" spans="1:12" x14ac:dyDescent="0.3">
      <c r="A83" s="2">
        <v>81</v>
      </c>
      <c r="B83" s="3" t="s">
        <v>24</v>
      </c>
      <c r="C83" s="3" t="s">
        <v>97</v>
      </c>
      <c r="D83" s="3" t="s">
        <v>14</v>
      </c>
      <c r="E83" s="3">
        <v>10900</v>
      </c>
      <c r="F83" s="3">
        <v>5</v>
      </c>
      <c r="G83" s="3">
        <v>73222</v>
      </c>
      <c r="H83" s="3" t="s">
        <v>23</v>
      </c>
      <c r="I83" s="3">
        <v>1252</v>
      </c>
      <c r="J83" s="3">
        <v>61</v>
      </c>
      <c r="K83" s="4">
        <v>45099</v>
      </c>
      <c r="L83" s="10">
        <v>337262.79790000001</v>
      </c>
    </row>
    <row r="84" spans="1:12" x14ac:dyDescent="0.3">
      <c r="A84" s="2">
        <v>82</v>
      </c>
      <c r="B84" s="3" t="s">
        <v>55</v>
      </c>
      <c r="C84" s="3" t="s">
        <v>98</v>
      </c>
      <c r="D84" s="3" t="s">
        <v>18</v>
      </c>
      <c r="E84" s="3">
        <v>26289</v>
      </c>
      <c r="F84" s="3">
        <v>9</v>
      </c>
      <c r="G84" s="3">
        <v>59323</v>
      </c>
      <c r="H84" s="3" t="s">
        <v>15</v>
      </c>
      <c r="I84" s="3">
        <v>2725</v>
      </c>
      <c r="J84" s="3">
        <v>61</v>
      </c>
      <c r="K84" s="4">
        <v>44363</v>
      </c>
      <c r="L84" s="10">
        <v>372870.26429999998</v>
      </c>
    </row>
    <row r="85" spans="1:12" x14ac:dyDescent="0.3">
      <c r="A85" s="2">
        <v>83</v>
      </c>
      <c r="B85" s="3" t="s">
        <v>26</v>
      </c>
      <c r="C85" s="3" t="s">
        <v>99</v>
      </c>
      <c r="D85" s="3" t="s">
        <v>14</v>
      </c>
      <c r="E85" s="3">
        <v>7956</v>
      </c>
      <c r="F85" s="3">
        <v>2</v>
      </c>
      <c r="G85" s="3">
        <v>87717</v>
      </c>
      <c r="H85" s="3" t="s">
        <v>21</v>
      </c>
      <c r="I85" s="3">
        <v>2404</v>
      </c>
      <c r="J85" s="3">
        <v>87</v>
      </c>
      <c r="K85" s="4">
        <v>45465</v>
      </c>
      <c r="L85" s="10">
        <v>349593.21549999999</v>
      </c>
    </row>
    <row r="86" spans="1:12" x14ac:dyDescent="0.3">
      <c r="A86" s="2">
        <v>84</v>
      </c>
      <c r="B86" s="3" t="s">
        <v>37</v>
      </c>
      <c r="C86" s="3" t="s">
        <v>61</v>
      </c>
      <c r="D86" s="3" t="s">
        <v>14</v>
      </c>
      <c r="E86" s="3">
        <v>6325</v>
      </c>
      <c r="F86" s="3">
        <v>2</v>
      </c>
      <c r="G86" s="3">
        <v>53140</v>
      </c>
      <c r="H86" s="3" t="s">
        <v>15</v>
      </c>
      <c r="I86" s="3">
        <v>1308</v>
      </c>
      <c r="J86" s="3">
        <v>70</v>
      </c>
      <c r="K86" s="4">
        <v>44248</v>
      </c>
      <c r="L86" s="10">
        <v>308614.95240000001</v>
      </c>
    </row>
    <row r="87" spans="1:12" x14ac:dyDescent="0.3">
      <c r="A87" s="2">
        <v>85</v>
      </c>
      <c r="B87" s="3" t="s">
        <v>24</v>
      </c>
      <c r="C87" s="3" t="s">
        <v>100</v>
      </c>
      <c r="D87" s="3" t="s">
        <v>18</v>
      </c>
      <c r="E87" s="3">
        <v>25549</v>
      </c>
      <c r="F87" s="3">
        <v>8</v>
      </c>
      <c r="G87" s="3">
        <v>73902</v>
      </c>
      <c r="H87" s="3" t="s">
        <v>23</v>
      </c>
      <c r="I87" s="3">
        <v>2685</v>
      </c>
      <c r="J87" s="3">
        <v>78</v>
      </c>
      <c r="K87" s="4">
        <v>44715</v>
      </c>
      <c r="L87" s="10">
        <v>400678.51419999998</v>
      </c>
    </row>
    <row r="88" spans="1:12" x14ac:dyDescent="0.3">
      <c r="A88" s="2">
        <v>86</v>
      </c>
      <c r="B88" s="3" t="s">
        <v>24</v>
      </c>
      <c r="C88" s="3" t="s">
        <v>101</v>
      </c>
      <c r="D88" s="3" t="s">
        <v>14</v>
      </c>
      <c r="E88" s="3">
        <v>18149</v>
      </c>
      <c r="F88" s="3">
        <v>9</v>
      </c>
      <c r="G88" s="3">
        <v>98418</v>
      </c>
      <c r="H88" s="3" t="s">
        <v>23</v>
      </c>
      <c r="I88" s="3">
        <v>2305</v>
      </c>
      <c r="J88" s="3">
        <v>58</v>
      </c>
      <c r="K88" s="4">
        <v>44951</v>
      </c>
      <c r="L88" s="10">
        <v>332535.12910000002</v>
      </c>
    </row>
    <row r="89" spans="1:12" x14ac:dyDescent="0.3">
      <c r="A89" s="2">
        <v>87</v>
      </c>
      <c r="B89" s="3" t="s">
        <v>28</v>
      </c>
      <c r="C89" s="3" t="s">
        <v>102</v>
      </c>
      <c r="D89" s="3" t="s">
        <v>18</v>
      </c>
      <c r="E89" s="3">
        <v>10142</v>
      </c>
      <c r="F89" s="3">
        <v>5</v>
      </c>
      <c r="G89" s="3">
        <v>71908</v>
      </c>
      <c r="H89" s="3" t="s">
        <v>21</v>
      </c>
      <c r="I89" s="3">
        <v>1447</v>
      </c>
      <c r="J89" s="3">
        <v>41</v>
      </c>
      <c r="K89" s="4">
        <v>44277</v>
      </c>
      <c r="L89" s="10">
        <v>374702.40370000002</v>
      </c>
    </row>
    <row r="90" spans="1:12" x14ac:dyDescent="0.3">
      <c r="A90" s="2">
        <v>88</v>
      </c>
      <c r="B90" s="3" t="s">
        <v>40</v>
      </c>
      <c r="C90" s="3" t="s">
        <v>103</v>
      </c>
      <c r="D90" s="3" t="s">
        <v>14</v>
      </c>
      <c r="E90" s="3">
        <v>4642</v>
      </c>
      <c r="F90" s="3">
        <v>0</v>
      </c>
      <c r="G90" s="3">
        <v>83033</v>
      </c>
      <c r="H90" s="3" t="s">
        <v>15</v>
      </c>
      <c r="I90" s="3">
        <v>2392</v>
      </c>
      <c r="J90" s="3">
        <v>75</v>
      </c>
      <c r="K90" s="4">
        <v>44309</v>
      </c>
      <c r="L90" s="10">
        <v>340230.97220000002</v>
      </c>
    </row>
    <row r="91" spans="1:12" x14ac:dyDescent="0.3">
      <c r="A91" s="2">
        <v>89</v>
      </c>
      <c r="B91" s="3" t="s">
        <v>29</v>
      </c>
      <c r="C91" s="3" t="s">
        <v>104</v>
      </c>
      <c r="D91" s="3" t="s">
        <v>14</v>
      </c>
      <c r="E91" s="3">
        <v>27001</v>
      </c>
      <c r="F91" s="3">
        <v>5</v>
      </c>
      <c r="G91" s="3">
        <v>66091</v>
      </c>
      <c r="H91" s="3" t="s">
        <v>23</v>
      </c>
      <c r="I91" s="3">
        <v>1773</v>
      </c>
      <c r="J91" s="3">
        <v>95</v>
      </c>
      <c r="K91" s="4">
        <v>43963</v>
      </c>
      <c r="L91" s="10">
        <v>356320.10920000001</v>
      </c>
    </row>
    <row r="92" spans="1:12" x14ac:dyDescent="0.3">
      <c r="A92" s="2">
        <v>90</v>
      </c>
      <c r="B92" s="3" t="s">
        <v>26</v>
      </c>
      <c r="C92" s="3" t="s">
        <v>47</v>
      </c>
      <c r="D92" s="3" t="s">
        <v>18</v>
      </c>
      <c r="E92" s="3">
        <v>23957</v>
      </c>
      <c r="F92" s="3">
        <v>0</v>
      </c>
      <c r="G92" s="3">
        <v>65884</v>
      </c>
      <c r="H92" s="3" t="s">
        <v>21</v>
      </c>
      <c r="I92" s="3">
        <v>2378</v>
      </c>
      <c r="J92" s="3">
        <v>68</v>
      </c>
      <c r="K92" s="4">
        <v>44206</v>
      </c>
      <c r="L92" s="10">
        <v>410607.41979999997</v>
      </c>
    </row>
    <row r="93" spans="1:12" x14ac:dyDescent="0.3">
      <c r="A93" s="2">
        <v>91</v>
      </c>
      <c r="B93" s="3" t="s">
        <v>55</v>
      </c>
      <c r="C93" s="3" t="s">
        <v>105</v>
      </c>
      <c r="D93" s="3" t="s">
        <v>18</v>
      </c>
      <c r="E93" s="3">
        <v>26643</v>
      </c>
      <c r="F93" s="3">
        <v>4</v>
      </c>
      <c r="G93" s="3">
        <v>99377</v>
      </c>
      <c r="H93" s="3" t="s">
        <v>23</v>
      </c>
      <c r="I93" s="3">
        <v>1242</v>
      </c>
      <c r="J93" s="3">
        <v>64</v>
      </c>
      <c r="K93" s="4">
        <v>44412</v>
      </c>
      <c r="L93" s="10">
        <v>383259.40620000003</v>
      </c>
    </row>
    <row r="94" spans="1:12" x14ac:dyDescent="0.3">
      <c r="A94" s="2">
        <v>92</v>
      </c>
      <c r="B94" s="3" t="s">
        <v>44</v>
      </c>
      <c r="C94" s="3" t="s">
        <v>82</v>
      </c>
      <c r="D94" s="3" t="s">
        <v>14</v>
      </c>
      <c r="E94" s="3">
        <v>14752</v>
      </c>
      <c r="F94" s="3">
        <v>9</v>
      </c>
      <c r="G94" s="3">
        <v>90642</v>
      </c>
      <c r="H94" s="3" t="s">
        <v>23</v>
      </c>
      <c r="I94" s="3">
        <v>1541</v>
      </c>
      <c r="J94" s="3">
        <v>81</v>
      </c>
      <c r="K94" s="4">
        <v>44734</v>
      </c>
      <c r="L94" s="10">
        <v>338033.95529999997</v>
      </c>
    </row>
    <row r="95" spans="1:12" x14ac:dyDescent="0.3">
      <c r="A95" s="2">
        <v>93</v>
      </c>
      <c r="B95" s="3" t="s">
        <v>74</v>
      </c>
      <c r="C95" s="3" t="s">
        <v>106</v>
      </c>
      <c r="D95" s="3" t="s">
        <v>14</v>
      </c>
      <c r="E95" s="3">
        <v>15285</v>
      </c>
      <c r="F95" s="3">
        <v>5</v>
      </c>
      <c r="G95" s="3">
        <v>91581</v>
      </c>
      <c r="H95" s="3" t="s">
        <v>15</v>
      </c>
      <c r="I95" s="3">
        <v>1597</v>
      </c>
      <c r="J95" s="3">
        <v>20</v>
      </c>
      <c r="K95" s="4">
        <v>44897</v>
      </c>
      <c r="L95" s="10">
        <v>309868.63160000002</v>
      </c>
    </row>
    <row r="96" spans="1:12" x14ac:dyDescent="0.3">
      <c r="A96" s="2">
        <v>94</v>
      </c>
      <c r="B96" s="3" t="s">
        <v>29</v>
      </c>
      <c r="C96" s="3" t="s">
        <v>107</v>
      </c>
      <c r="D96" s="3" t="s">
        <v>14</v>
      </c>
      <c r="E96" s="3">
        <v>13172</v>
      </c>
      <c r="F96" s="3">
        <v>4</v>
      </c>
      <c r="G96" s="3">
        <v>80188</v>
      </c>
      <c r="H96" s="3" t="s">
        <v>23</v>
      </c>
      <c r="I96" s="3">
        <v>1381</v>
      </c>
      <c r="J96" s="3">
        <v>82</v>
      </c>
      <c r="K96" s="4">
        <v>44125</v>
      </c>
      <c r="L96" s="10">
        <v>323700.20439999999</v>
      </c>
    </row>
    <row r="97" spans="1:12" x14ac:dyDescent="0.3">
      <c r="A97" s="2">
        <v>95</v>
      </c>
      <c r="B97" s="3" t="s">
        <v>33</v>
      </c>
      <c r="C97" s="3" t="s">
        <v>34</v>
      </c>
      <c r="D97" s="3" t="s">
        <v>14</v>
      </c>
      <c r="E97" s="3">
        <v>26590</v>
      </c>
      <c r="F97" s="3">
        <v>0</v>
      </c>
      <c r="G97" s="3">
        <v>69020</v>
      </c>
      <c r="H97" s="3" t="s">
        <v>21</v>
      </c>
      <c r="I97" s="3">
        <v>1434</v>
      </c>
      <c r="J97" s="3">
        <v>67</v>
      </c>
      <c r="K97" s="4">
        <v>44550</v>
      </c>
      <c r="L97" s="10">
        <v>355502.79470000003</v>
      </c>
    </row>
    <row r="98" spans="1:12" x14ac:dyDescent="0.3">
      <c r="A98" s="2">
        <v>96</v>
      </c>
      <c r="B98" s="3" t="s">
        <v>108</v>
      </c>
      <c r="C98" s="3" t="s">
        <v>109</v>
      </c>
      <c r="D98" s="3" t="s">
        <v>14</v>
      </c>
      <c r="E98" s="3">
        <v>5932</v>
      </c>
      <c r="F98" s="3">
        <v>1</v>
      </c>
      <c r="G98" s="3">
        <v>92212</v>
      </c>
      <c r="H98" s="3" t="s">
        <v>21</v>
      </c>
      <c r="I98" s="3">
        <v>1546</v>
      </c>
      <c r="J98" s="3">
        <v>76</v>
      </c>
      <c r="K98" s="4">
        <v>44567</v>
      </c>
      <c r="L98" s="10">
        <v>330242.99589999998</v>
      </c>
    </row>
    <row r="99" spans="1:12" x14ac:dyDescent="0.3">
      <c r="A99" s="2">
        <v>97</v>
      </c>
      <c r="B99" s="3" t="s">
        <v>29</v>
      </c>
      <c r="C99" s="3" t="s">
        <v>110</v>
      </c>
      <c r="D99" s="3" t="s">
        <v>14</v>
      </c>
      <c r="E99" s="3">
        <v>3383</v>
      </c>
      <c r="F99" s="3">
        <v>8</v>
      </c>
      <c r="G99" s="3">
        <v>53118</v>
      </c>
      <c r="H99" s="3" t="s">
        <v>23</v>
      </c>
      <c r="I99" s="3">
        <v>2289</v>
      </c>
      <c r="J99" s="3">
        <v>74</v>
      </c>
      <c r="K99" s="4">
        <v>45222</v>
      </c>
      <c r="L99" s="10">
        <v>346446.9999</v>
      </c>
    </row>
    <row r="100" spans="1:12" x14ac:dyDescent="0.3">
      <c r="A100" s="2">
        <v>98</v>
      </c>
      <c r="B100" s="3" t="s">
        <v>33</v>
      </c>
      <c r="C100" s="3" t="s">
        <v>79</v>
      </c>
      <c r="D100" s="3" t="s">
        <v>14</v>
      </c>
      <c r="E100" s="3">
        <v>2425</v>
      </c>
      <c r="F100" s="3">
        <v>3</v>
      </c>
      <c r="G100" s="3">
        <v>86242</v>
      </c>
      <c r="H100" s="3" t="s">
        <v>15</v>
      </c>
      <c r="I100" s="3">
        <v>1457</v>
      </c>
      <c r="J100" s="3">
        <v>95</v>
      </c>
      <c r="K100" s="4">
        <v>44874</v>
      </c>
      <c r="L100" s="10">
        <v>331389.07010000001</v>
      </c>
    </row>
    <row r="101" spans="1:12" x14ac:dyDescent="0.3">
      <c r="A101" s="2">
        <v>99</v>
      </c>
      <c r="B101" s="3" t="s">
        <v>44</v>
      </c>
      <c r="C101" s="3" t="s">
        <v>111</v>
      </c>
      <c r="D101" s="3" t="s">
        <v>18</v>
      </c>
      <c r="E101" s="3">
        <v>25820</v>
      </c>
      <c r="F101" s="3">
        <v>2</v>
      </c>
      <c r="G101" s="3">
        <v>50293</v>
      </c>
      <c r="H101" s="3" t="s">
        <v>23</v>
      </c>
      <c r="I101" s="3">
        <v>1270</v>
      </c>
      <c r="J101" s="3">
        <v>31</v>
      </c>
      <c r="K101" s="4">
        <v>44233</v>
      </c>
      <c r="L101" s="10">
        <v>387448.1447</v>
      </c>
    </row>
    <row r="102" spans="1:12" x14ac:dyDescent="0.3">
      <c r="A102" s="2">
        <v>100</v>
      </c>
      <c r="B102" s="3" t="s">
        <v>40</v>
      </c>
      <c r="C102" s="3" t="s">
        <v>41</v>
      </c>
      <c r="D102" s="3" t="s">
        <v>14</v>
      </c>
      <c r="E102" s="3">
        <v>26318</v>
      </c>
      <c r="F102" s="3">
        <v>8</v>
      </c>
      <c r="G102" s="3">
        <v>76066</v>
      </c>
      <c r="H102" s="3" t="s">
        <v>23</v>
      </c>
      <c r="I102" s="3">
        <v>2363</v>
      </c>
      <c r="J102" s="3">
        <v>75</v>
      </c>
      <c r="K102" s="4">
        <v>43876</v>
      </c>
      <c r="L102" s="10">
        <v>357049.565</v>
      </c>
    </row>
    <row r="103" spans="1:12" x14ac:dyDescent="0.3">
      <c r="A103" s="2">
        <v>101</v>
      </c>
      <c r="B103" s="3" t="s">
        <v>55</v>
      </c>
      <c r="C103" s="3" t="s">
        <v>98</v>
      </c>
      <c r="D103" s="3" t="s">
        <v>18</v>
      </c>
      <c r="E103" s="3">
        <v>7467</v>
      </c>
      <c r="F103" s="3">
        <v>7</v>
      </c>
      <c r="G103" s="3">
        <v>77104</v>
      </c>
      <c r="H103" s="3" t="s">
        <v>23</v>
      </c>
      <c r="I103" s="3">
        <v>1023</v>
      </c>
      <c r="J103" s="3">
        <v>35</v>
      </c>
      <c r="K103" s="4">
        <v>44930</v>
      </c>
      <c r="L103" s="10">
        <v>352744.37660000002</v>
      </c>
    </row>
    <row r="104" spans="1:12" x14ac:dyDescent="0.3">
      <c r="A104" s="2">
        <v>102</v>
      </c>
      <c r="B104" s="3" t="s">
        <v>37</v>
      </c>
      <c r="C104" s="3" t="s">
        <v>61</v>
      </c>
      <c r="D104" s="3" t="s">
        <v>18</v>
      </c>
      <c r="E104" s="3">
        <v>3004</v>
      </c>
      <c r="F104" s="3">
        <v>5</v>
      </c>
      <c r="G104" s="3">
        <v>74615</v>
      </c>
      <c r="H104" s="3" t="s">
        <v>23</v>
      </c>
      <c r="I104" s="3">
        <v>1144</v>
      </c>
      <c r="J104" s="3">
        <v>71</v>
      </c>
      <c r="K104" s="4">
        <v>45096</v>
      </c>
      <c r="L104" s="10">
        <v>345226.64299999998</v>
      </c>
    </row>
    <row r="105" spans="1:12" x14ac:dyDescent="0.3">
      <c r="A105" s="2">
        <v>103</v>
      </c>
      <c r="B105" s="3" t="s">
        <v>28</v>
      </c>
      <c r="C105" s="3" t="s">
        <v>112</v>
      </c>
      <c r="D105" s="3" t="s">
        <v>14</v>
      </c>
      <c r="E105" s="3">
        <v>662</v>
      </c>
      <c r="F105" s="3">
        <v>6</v>
      </c>
      <c r="G105" s="3">
        <v>84034</v>
      </c>
      <c r="H105" s="3" t="s">
        <v>21</v>
      </c>
      <c r="I105" s="3">
        <v>1525</v>
      </c>
      <c r="J105" s="3">
        <v>34</v>
      </c>
      <c r="K105" s="4">
        <v>45403</v>
      </c>
      <c r="L105" s="10">
        <v>296838.54690000002</v>
      </c>
    </row>
    <row r="106" spans="1:12" x14ac:dyDescent="0.3">
      <c r="A106" s="2">
        <v>104</v>
      </c>
      <c r="B106" s="3" t="s">
        <v>74</v>
      </c>
      <c r="C106" s="3" t="s">
        <v>113</v>
      </c>
      <c r="D106" s="3" t="s">
        <v>14</v>
      </c>
      <c r="E106" s="3">
        <v>12447</v>
      </c>
      <c r="F106" s="3">
        <v>6</v>
      </c>
      <c r="G106" s="3">
        <v>70869</v>
      </c>
      <c r="H106" s="3" t="s">
        <v>23</v>
      </c>
      <c r="I106" s="3">
        <v>1328</v>
      </c>
      <c r="J106" s="3">
        <v>94</v>
      </c>
      <c r="K106" s="4">
        <v>44395</v>
      </c>
      <c r="L106" s="10">
        <v>348011.43939999997</v>
      </c>
    </row>
    <row r="107" spans="1:12" x14ac:dyDescent="0.3">
      <c r="A107" s="2">
        <v>105</v>
      </c>
      <c r="B107" s="3" t="s">
        <v>29</v>
      </c>
      <c r="C107" s="3" t="s">
        <v>107</v>
      </c>
      <c r="D107" s="3" t="s">
        <v>18</v>
      </c>
      <c r="E107" s="3">
        <v>2809</v>
      </c>
      <c r="F107" s="3">
        <v>9</v>
      </c>
      <c r="G107" s="3">
        <v>92892</v>
      </c>
      <c r="H107" s="3" t="s">
        <v>15</v>
      </c>
      <c r="I107" s="3">
        <v>1909</v>
      </c>
      <c r="J107" s="3">
        <v>49</v>
      </c>
      <c r="K107" s="4">
        <v>44954</v>
      </c>
      <c r="L107" s="10">
        <v>359850.77069999999</v>
      </c>
    </row>
    <row r="108" spans="1:12" x14ac:dyDescent="0.3">
      <c r="A108" s="2">
        <v>106</v>
      </c>
      <c r="B108" s="3" t="s">
        <v>37</v>
      </c>
      <c r="C108" s="3" t="s">
        <v>114</v>
      </c>
      <c r="D108" s="3" t="s">
        <v>18</v>
      </c>
      <c r="E108" s="3">
        <v>638</v>
      </c>
      <c r="F108" s="3">
        <v>3</v>
      </c>
      <c r="G108" s="3">
        <v>52434</v>
      </c>
      <c r="H108" s="3" t="s">
        <v>21</v>
      </c>
      <c r="I108" s="3">
        <v>2611</v>
      </c>
      <c r="J108" s="3">
        <v>44</v>
      </c>
      <c r="K108" s="4">
        <v>44718</v>
      </c>
      <c r="L108" s="10">
        <v>380127.4118</v>
      </c>
    </row>
    <row r="109" spans="1:12" x14ac:dyDescent="0.3">
      <c r="A109" s="2">
        <v>107</v>
      </c>
      <c r="B109" s="3" t="s">
        <v>53</v>
      </c>
      <c r="C109" s="3" t="s">
        <v>54</v>
      </c>
      <c r="D109" s="3" t="s">
        <v>18</v>
      </c>
      <c r="E109" s="3">
        <v>15707</v>
      </c>
      <c r="F109" s="3">
        <v>8</v>
      </c>
      <c r="G109" s="3">
        <v>95545</v>
      </c>
      <c r="H109" s="3" t="s">
        <v>15</v>
      </c>
      <c r="I109" s="3">
        <v>2828</v>
      </c>
      <c r="J109" s="3">
        <v>31</v>
      </c>
      <c r="K109" s="4">
        <v>44599</v>
      </c>
      <c r="L109" s="10">
        <v>372586.28200000001</v>
      </c>
    </row>
    <row r="110" spans="1:12" x14ac:dyDescent="0.3">
      <c r="A110" s="2">
        <v>108</v>
      </c>
      <c r="B110" s="3" t="s">
        <v>28</v>
      </c>
      <c r="C110" s="3" t="s">
        <v>115</v>
      </c>
      <c r="D110" s="3" t="s">
        <v>18</v>
      </c>
      <c r="E110" s="3">
        <v>11228</v>
      </c>
      <c r="F110" s="3">
        <v>2</v>
      </c>
      <c r="G110" s="3">
        <v>63337</v>
      </c>
      <c r="H110" s="3" t="s">
        <v>21</v>
      </c>
      <c r="I110" s="3">
        <v>1997</v>
      </c>
      <c r="J110" s="3">
        <v>77</v>
      </c>
      <c r="K110" s="4">
        <v>45080</v>
      </c>
      <c r="L110" s="10">
        <v>390304.65059999999</v>
      </c>
    </row>
    <row r="111" spans="1:12" x14ac:dyDescent="0.3">
      <c r="A111" s="2">
        <v>109</v>
      </c>
      <c r="B111" s="3" t="s">
        <v>57</v>
      </c>
      <c r="C111" s="3" t="s">
        <v>116</v>
      </c>
      <c r="D111" s="3" t="s">
        <v>14</v>
      </c>
      <c r="E111" s="3">
        <v>25744</v>
      </c>
      <c r="F111" s="3">
        <v>1</v>
      </c>
      <c r="G111" s="3">
        <v>91526</v>
      </c>
      <c r="H111" s="3" t="s">
        <v>15</v>
      </c>
      <c r="I111" s="3">
        <v>1575</v>
      </c>
      <c r="J111" s="3">
        <v>48</v>
      </c>
      <c r="K111" s="4">
        <v>44494</v>
      </c>
      <c r="L111" s="10">
        <v>315920.47379999998</v>
      </c>
    </row>
    <row r="112" spans="1:12" x14ac:dyDescent="0.3">
      <c r="A112" s="2">
        <v>110</v>
      </c>
      <c r="B112" s="3" t="s">
        <v>108</v>
      </c>
      <c r="C112" s="3" t="s">
        <v>117</v>
      </c>
      <c r="D112" s="3" t="s">
        <v>14</v>
      </c>
      <c r="E112" s="3">
        <v>29281</v>
      </c>
      <c r="F112" s="3">
        <v>6</v>
      </c>
      <c r="G112" s="3">
        <v>90787</v>
      </c>
      <c r="H112" s="3" t="s">
        <v>21</v>
      </c>
      <c r="I112" s="3">
        <v>1869</v>
      </c>
      <c r="J112" s="3">
        <v>62</v>
      </c>
      <c r="K112" s="4">
        <v>44716</v>
      </c>
      <c r="L112" s="10">
        <v>344871.73719999997</v>
      </c>
    </row>
    <row r="113" spans="1:12" x14ac:dyDescent="0.3">
      <c r="A113" s="2">
        <v>111</v>
      </c>
      <c r="B113" s="3" t="s">
        <v>37</v>
      </c>
      <c r="C113" s="3" t="s">
        <v>118</v>
      </c>
      <c r="D113" s="3" t="s">
        <v>18</v>
      </c>
      <c r="E113" s="3">
        <v>22239</v>
      </c>
      <c r="F113" s="3">
        <v>9</v>
      </c>
      <c r="G113" s="3">
        <v>80996</v>
      </c>
      <c r="H113" s="3" t="s">
        <v>15</v>
      </c>
      <c r="I113" s="3">
        <v>2947</v>
      </c>
      <c r="J113" s="3">
        <v>46</v>
      </c>
      <c r="K113" s="4">
        <v>44647</v>
      </c>
      <c r="L113" s="10">
        <v>366836.19689999998</v>
      </c>
    </row>
    <row r="114" spans="1:12" x14ac:dyDescent="0.3">
      <c r="A114" s="2">
        <v>112</v>
      </c>
      <c r="B114" s="3" t="s">
        <v>35</v>
      </c>
      <c r="C114" s="3" t="s">
        <v>119</v>
      </c>
      <c r="D114" s="3" t="s">
        <v>14</v>
      </c>
      <c r="E114" s="3">
        <v>20442</v>
      </c>
      <c r="F114" s="3">
        <v>6</v>
      </c>
      <c r="G114" s="3">
        <v>95616</v>
      </c>
      <c r="H114" s="3" t="s">
        <v>21</v>
      </c>
      <c r="I114" s="3">
        <v>1216</v>
      </c>
      <c r="J114" s="3">
        <v>55</v>
      </c>
      <c r="K114" s="4">
        <v>44035</v>
      </c>
      <c r="L114" s="10">
        <v>339900.92369999998</v>
      </c>
    </row>
    <row r="115" spans="1:12" x14ac:dyDescent="0.3">
      <c r="A115" s="2">
        <v>113</v>
      </c>
      <c r="B115" s="3" t="s">
        <v>74</v>
      </c>
      <c r="C115" s="3" t="s">
        <v>120</v>
      </c>
      <c r="D115" s="3" t="s">
        <v>18</v>
      </c>
      <c r="E115" s="3">
        <v>2229</v>
      </c>
      <c r="F115" s="3">
        <v>4</v>
      </c>
      <c r="G115" s="3">
        <v>62224</v>
      </c>
      <c r="H115" s="3" t="s">
        <v>15</v>
      </c>
      <c r="I115" s="3">
        <v>1731</v>
      </c>
      <c r="J115" s="3">
        <v>23</v>
      </c>
      <c r="K115" s="4">
        <v>44831</v>
      </c>
      <c r="L115" s="10">
        <v>339382.8529</v>
      </c>
    </row>
    <row r="116" spans="1:12" x14ac:dyDescent="0.3">
      <c r="A116" s="2">
        <v>114</v>
      </c>
      <c r="B116" s="3" t="s">
        <v>28</v>
      </c>
      <c r="C116" s="3" t="s">
        <v>115</v>
      </c>
      <c r="D116" s="3" t="s">
        <v>14</v>
      </c>
      <c r="E116" s="3">
        <v>25724</v>
      </c>
      <c r="F116" s="3">
        <v>2</v>
      </c>
      <c r="G116" s="3">
        <v>81188</v>
      </c>
      <c r="H116" s="3" t="s">
        <v>23</v>
      </c>
      <c r="I116" s="3">
        <v>1903</v>
      </c>
      <c r="J116" s="3">
        <v>47</v>
      </c>
      <c r="K116" s="4">
        <v>44699</v>
      </c>
      <c r="L116" s="10">
        <v>339360.6581</v>
      </c>
    </row>
    <row r="117" spans="1:12" x14ac:dyDescent="0.3">
      <c r="A117" s="2">
        <v>115</v>
      </c>
      <c r="B117" s="3" t="s">
        <v>16</v>
      </c>
      <c r="C117" s="3" t="s">
        <v>17</v>
      </c>
      <c r="D117" s="3" t="s">
        <v>14</v>
      </c>
      <c r="E117" s="3">
        <v>4483</v>
      </c>
      <c r="F117" s="3">
        <v>9</v>
      </c>
      <c r="G117" s="3">
        <v>97839</v>
      </c>
      <c r="H117" s="3" t="s">
        <v>21</v>
      </c>
      <c r="I117" s="3">
        <v>1874</v>
      </c>
      <c r="J117" s="3">
        <v>66</v>
      </c>
      <c r="K117" s="4">
        <v>44185</v>
      </c>
      <c r="L117" s="10">
        <v>308243.55040000001</v>
      </c>
    </row>
    <row r="118" spans="1:12" x14ac:dyDescent="0.3">
      <c r="A118" s="2">
        <v>116</v>
      </c>
      <c r="B118" s="3" t="s">
        <v>55</v>
      </c>
      <c r="C118" s="3" t="s">
        <v>105</v>
      </c>
      <c r="D118" s="3" t="s">
        <v>18</v>
      </c>
      <c r="E118" s="3">
        <v>17656</v>
      </c>
      <c r="F118" s="3">
        <v>4</v>
      </c>
      <c r="G118" s="3">
        <v>90955</v>
      </c>
      <c r="H118" s="3" t="s">
        <v>21</v>
      </c>
      <c r="I118" s="3">
        <v>1782</v>
      </c>
      <c r="J118" s="3">
        <v>90</v>
      </c>
      <c r="K118" s="4">
        <v>45357</v>
      </c>
      <c r="L118" s="10">
        <v>380564.3039</v>
      </c>
    </row>
    <row r="119" spans="1:12" x14ac:dyDescent="0.3">
      <c r="A119" s="2">
        <v>117</v>
      </c>
      <c r="B119" s="3" t="s">
        <v>40</v>
      </c>
      <c r="C119" s="3" t="s">
        <v>121</v>
      </c>
      <c r="D119" s="3" t="s">
        <v>18</v>
      </c>
      <c r="E119" s="3">
        <v>15272</v>
      </c>
      <c r="F119" s="3">
        <v>9</v>
      </c>
      <c r="G119" s="3">
        <v>65646</v>
      </c>
      <c r="H119" s="3" t="s">
        <v>15</v>
      </c>
      <c r="I119" s="3">
        <v>2877</v>
      </c>
      <c r="J119" s="3">
        <v>81</v>
      </c>
      <c r="K119" s="4">
        <v>44612</v>
      </c>
      <c r="L119" s="10">
        <v>377668.47779999999</v>
      </c>
    </row>
    <row r="120" spans="1:12" x14ac:dyDescent="0.3">
      <c r="A120" s="2">
        <v>118</v>
      </c>
      <c r="B120" s="3" t="s">
        <v>122</v>
      </c>
      <c r="C120" s="3" t="s">
        <v>123</v>
      </c>
      <c r="D120" s="3" t="s">
        <v>14</v>
      </c>
      <c r="E120" s="3">
        <v>8816</v>
      </c>
      <c r="F120" s="3">
        <v>7</v>
      </c>
      <c r="G120" s="3">
        <v>79748</v>
      </c>
      <c r="H120" s="3" t="s">
        <v>15</v>
      </c>
      <c r="I120" s="3">
        <v>1141</v>
      </c>
      <c r="J120" s="3">
        <v>61</v>
      </c>
      <c r="K120" s="4">
        <v>45003</v>
      </c>
      <c r="L120" s="10">
        <v>306407.27309999999</v>
      </c>
    </row>
    <row r="121" spans="1:12" x14ac:dyDescent="0.3">
      <c r="A121" s="2">
        <v>119</v>
      </c>
      <c r="B121" s="3" t="s">
        <v>24</v>
      </c>
      <c r="C121" s="3" t="s">
        <v>100</v>
      </c>
      <c r="D121" s="3" t="s">
        <v>14</v>
      </c>
      <c r="E121" s="3">
        <v>9290</v>
      </c>
      <c r="F121" s="3">
        <v>2</v>
      </c>
      <c r="G121" s="3">
        <v>53131</v>
      </c>
      <c r="H121" s="3" t="s">
        <v>21</v>
      </c>
      <c r="I121" s="3">
        <v>2356</v>
      </c>
      <c r="J121" s="3">
        <v>50</v>
      </c>
      <c r="K121" s="4">
        <v>44183</v>
      </c>
      <c r="L121" s="10">
        <v>337208.96010000003</v>
      </c>
    </row>
    <row r="122" spans="1:12" x14ac:dyDescent="0.3">
      <c r="A122" s="2">
        <v>120</v>
      </c>
      <c r="B122" s="3" t="s">
        <v>24</v>
      </c>
      <c r="C122" s="3" t="s">
        <v>124</v>
      </c>
      <c r="D122" s="3" t="s">
        <v>18</v>
      </c>
      <c r="E122" s="3">
        <v>20523</v>
      </c>
      <c r="F122" s="3">
        <v>6</v>
      </c>
      <c r="G122" s="3">
        <v>80470</v>
      </c>
      <c r="H122" s="3" t="s">
        <v>15</v>
      </c>
      <c r="I122" s="3">
        <v>1221</v>
      </c>
      <c r="J122" s="3">
        <v>80</v>
      </c>
      <c r="K122" s="4">
        <v>45482</v>
      </c>
      <c r="L122" s="10">
        <v>353024.41350000002</v>
      </c>
    </row>
    <row r="123" spans="1:12" x14ac:dyDescent="0.3">
      <c r="A123" s="2">
        <v>121</v>
      </c>
      <c r="B123" s="3" t="s">
        <v>55</v>
      </c>
      <c r="C123" s="3" t="s">
        <v>56</v>
      </c>
      <c r="D123" s="3" t="s">
        <v>18</v>
      </c>
      <c r="E123" s="3">
        <v>18358</v>
      </c>
      <c r="F123" s="3">
        <v>8</v>
      </c>
      <c r="G123" s="3">
        <v>76390</v>
      </c>
      <c r="H123" s="3" t="s">
        <v>21</v>
      </c>
      <c r="I123" s="3">
        <v>1410</v>
      </c>
      <c r="J123" s="3">
        <v>57</v>
      </c>
      <c r="K123" s="4">
        <v>45449</v>
      </c>
      <c r="L123" s="10">
        <v>385068.58069999999</v>
      </c>
    </row>
    <row r="124" spans="1:12" x14ac:dyDescent="0.3">
      <c r="A124" s="2">
        <v>122</v>
      </c>
      <c r="B124" s="3" t="s">
        <v>31</v>
      </c>
      <c r="C124" s="3" t="s">
        <v>125</v>
      </c>
      <c r="D124" s="3" t="s">
        <v>14</v>
      </c>
      <c r="E124" s="3">
        <v>2295</v>
      </c>
      <c r="F124" s="3">
        <v>2</v>
      </c>
      <c r="G124" s="3">
        <v>77397</v>
      </c>
      <c r="H124" s="3" t="s">
        <v>21</v>
      </c>
      <c r="I124" s="3">
        <v>1291</v>
      </c>
      <c r="J124" s="3">
        <v>24</v>
      </c>
      <c r="K124" s="4">
        <v>44507</v>
      </c>
      <c r="L124" s="10">
        <v>296183.74209999997</v>
      </c>
    </row>
    <row r="125" spans="1:12" x14ac:dyDescent="0.3">
      <c r="A125" s="2">
        <v>123</v>
      </c>
      <c r="B125" s="3" t="s">
        <v>24</v>
      </c>
      <c r="C125" s="3" t="s">
        <v>124</v>
      </c>
      <c r="D125" s="3" t="s">
        <v>14</v>
      </c>
      <c r="E125" s="3">
        <v>15664</v>
      </c>
      <c r="F125" s="3">
        <v>0</v>
      </c>
      <c r="G125" s="3">
        <v>96987</v>
      </c>
      <c r="H125" s="3" t="s">
        <v>15</v>
      </c>
      <c r="I125" s="3">
        <v>2812</v>
      </c>
      <c r="J125" s="3">
        <v>61</v>
      </c>
      <c r="K125" s="4">
        <v>44839</v>
      </c>
      <c r="L125" s="10">
        <v>343702.45750000002</v>
      </c>
    </row>
    <row r="126" spans="1:12" x14ac:dyDescent="0.3">
      <c r="A126" s="2">
        <v>124</v>
      </c>
      <c r="B126" s="3" t="s">
        <v>33</v>
      </c>
      <c r="C126" s="3" t="s">
        <v>79</v>
      </c>
      <c r="D126" s="3" t="s">
        <v>14</v>
      </c>
      <c r="E126" s="3">
        <v>26246</v>
      </c>
      <c r="F126" s="3">
        <v>6</v>
      </c>
      <c r="G126" s="3">
        <v>94406</v>
      </c>
      <c r="H126" s="3" t="s">
        <v>15</v>
      </c>
      <c r="I126" s="3">
        <v>1524</v>
      </c>
      <c r="J126" s="3">
        <v>25</v>
      </c>
      <c r="K126" s="4">
        <v>44508</v>
      </c>
      <c r="L126" s="10">
        <v>311546.76559999998</v>
      </c>
    </row>
    <row r="127" spans="1:12" x14ac:dyDescent="0.3">
      <c r="A127" s="2">
        <v>125</v>
      </c>
      <c r="B127" s="3" t="s">
        <v>12</v>
      </c>
      <c r="C127" s="3" t="s">
        <v>126</v>
      </c>
      <c r="D127" s="3" t="s">
        <v>14</v>
      </c>
      <c r="E127" s="3">
        <v>14453</v>
      </c>
      <c r="F127" s="3">
        <v>9</v>
      </c>
      <c r="G127" s="3">
        <v>51064</v>
      </c>
      <c r="H127" s="3" t="s">
        <v>21</v>
      </c>
      <c r="I127" s="3">
        <v>2274</v>
      </c>
      <c r="J127" s="3">
        <v>36</v>
      </c>
      <c r="K127" s="4">
        <v>44546</v>
      </c>
      <c r="L127" s="10">
        <v>327420.47499999998</v>
      </c>
    </row>
    <row r="128" spans="1:12" x14ac:dyDescent="0.3">
      <c r="A128" s="2">
        <v>126</v>
      </c>
      <c r="B128" s="3" t="s">
        <v>12</v>
      </c>
      <c r="C128" s="3" t="s">
        <v>126</v>
      </c>
      <c r="D128" s="3" t="s">
        <v>14</v>
      </c>
      <c r="E128" s="3">
        <v>13182</v>
      </c>
      <c r="F128" s="3">
        <v>8</v>
      </c>
      <c r="G128" s="3">
        <v>99457</v>
      </c>
      <c r="H128" s="3" t="s">
        <v>21</v>
      </c>
      <c r="I128" s="3">
        <v>1486</v>
      </c>
      <c r="J128" s="3">
        <v>55</v>
      </c>
      <c r="K128" s="4">
        <v>44288</v>
      </c>
      <c r="L128" s="10">
        <v>318369.33419999998</v>
      </c>
    </row>
    <row r="129" spans="1:12" x14ac:dyDescent="0.3">
      <c r="A129" s="2">
        <v>127</v>
      </c>
      <c r="B129" s="3" t="s">
        <v>37</v>
      </c>
      <c r="C129" s="3" t="s">
        <v>127</v>
      </c>
      <c r="D129" s="3" t="s">
        <v>18</v>
      </c>
      <c r="E129" s="3">
        <v>22230</v>
      </c>
      <c r="F129" s="3">
        <v>3</v>
      </c>
      <c r="G129" s="3">
        <v>79004</v>
      </c>
      <c r="H129" s="3" t="s">
        <v>23</v>
      </c>
      <c r="I129" s="3">
        <v>2778</v>
      </c>
      <c r="J129" s="3">
        <v>45</v>
      </c>
      <c r="K129" s="4">
        <v>45120</v>
      </c>
      <c r="L129" s="10">
        <v>399177.58299999998</v>
      </c>
    </row>
    <row r="130" spans="1:12" x14ac:dyDescent="0.3">
      <c r="A130" s="2">
        <v>128</v>
      </c>
      <c r="B130" s="3" t="s">
        <v>37</v>
      </c>
      <c r="C130" s="3" t="s">
        <v>128</v>
      </c>
      <c r="D130" s="3" t="s">
        <v>18</v>
      </c>
      <c r="E130" s="3">
        <v>11298</v>
      </c>
      <c r="F130" s="3">
        <v>7</v>
      </c>
      <c r="G130" s="3">
        <v>87085</v>
      </c>
      <c r="H130" s="3" t="s">
        <v>23</v>
      </c>
      <c r="I130" s="3">
        <v>1093</v>
      </c>
      <c r="J130" s="3">
        <v>59</v>
      </c>
      <c r="K130" s="4">
        <v>44931</v>
      </c>
      <c r="L130" s="10">
        <v>370720.71850000002</v>
      </c>
    </row>
    <row r="131" spans="1:12" x14ac:dyDescent="0.3">
      <c r="A131" s="2">
        <v>129</v>
      </c>
      <c r="B131" s="3" t="s">
        <v>19</v>
      </c>
      <c r="C131" s="3" t="s">
        <v>129</v>
      </c>
      <c r="D131" s="3" t="s">
        <v>14</v>
      </c>
      <c r="E131" s="3">
        <v>2565</v>
      </c>
      <c r="F131" s="3">
        <v>8</v>
      </c>
      <c r="G131" s="3">
        <v>80597</v>
      </c>
      <c r="H131" s="3" t="s">
        <v>21</v>
      </c>
      <c r="I131" s="3">
        <v>1097</v>
      </c>
      <c r="J131" s="3">
        <v>78</v>
      </c>
      <c r="K131" s="4">
        <v>44209</v>
      </c>
      <c r="L131" s="10">
        <v>334262.20480000001</v>
      </c>
    </row>
    <row r="132" spans="1:12" x14ac:dyDescent="0.3">
      <c r="A132" s="2">
        <v>130</v>
      </c>
      <c r="B132" s="3" t="s">
        <v>74</v>
      </c>
      <c r="C132" s="3" t="s">
        <v>89</v>
      </c>
      <c r="D132" s="3" t="s">
        <v>18</v>
      </c>
      <c r="E132" s="3">
        <v>26914</v>
      </c>
      <c r="F132" s="3">
        <v>0</v>
      </c>
      <c r="G132" s="3">
        <v>73258</v>
      </c>
      <c r="H132" s="3" t="s">
        <v>15</v>
      </c>
      <c r="I132" s="3">
        <v>2149</v>
      </c>
      <c r="J132" s="3">
        <v>27</v>
      </c>
      <c r="K132" s="4">
        <v>44703</v>
      </c>
      <c r="L132" s="10">
        <v>353674.98810000002</v>
      </c>
    </row>
    <row r="133" spans="1:12" x14ac:dyDescent="0.3">
      <c r="A133" s="2">
        <v>131</v>
      </c>
      <c r="B133" s="3" t="s">
        <v>19</v>
      </c>
      <c r="C133" s="3" t="s">
        <v>130</v>
      </c>
      <c r="D133" s="3" t="s">
        <v>18</v>
      </c>
      <c r="E133" s="3">
        <v>13484</v>
      </c>
      <c r="F133" s="3">
        <v>6</v>
      </c>
      <c r="G133" s="3">
        <v>99853</v>
      </c>
      <c r="H133" s="3" t="s">
        <v>23</v>
      </c>
      <c r="I133" s="3">
        <v>2123</v>
      </c>
      <c r="J133" s="3">
        <v>47</v>
      </c>
      <c r="K133" s="4">
        <v>44062</v>
      </c>
      <c r="L133" s="10">
        <v>369935.47240000003</v>
      </c>
    </row>
    <row r="134" spans="1:12" x14ac:dyDescent="0.3">
      <c r="A134" s="2">
        <v>132</v>
      </c>
      <c r="B134" s="3" t="s">
        <v>53</v>
      </c>
      <c r="C134" s="3" t="s">
        <v>131</v>
      </c>
      <c r="D134" s="3" t="s">
        <v>18</v>
      </c>
      <c r="E134" s="3">
        <v>10315</v>
      </c>
      <c r="F134" s="3">
        <v>3</v>
      </c>
      <c r="G134" s="3">
        <v>81720</v>
      </c>
      <c r="H134" s="3" t="s">
        <v>21</v>
      </c>
      <c r="I134" s="3">
        <v>1360</v>
      </c>
      <c r="J134" s="3">
        <v>74</v>
      </c>
      <c r="K134" s="4">
        <v>43864</v>
      </c>
      <c r="L134" s="10">
        <v>352760.29519999999</v>
      </c>
    </row>
    <row r="135" spans="1:12" x14ac:dyDescent="0.3">
      <c r="A135" s="2">
        <v>133</v>
      </c>
      <c r="B135" s="3" t="s">
        <v>19</v>
      </c>
      <c r="C135" s="3" t="s">
        <v>60</v>
      </c>
      <c r="D135" s="3" t="s">
        <v>14</v>
      </c>
      <c r="E135" s="3">
        <v>4005</v>
      </c>
      <c r="F135" s="3">
        <v>9</v>
      </c>
      <c r="G135" s="3">
        <v>52485</v>
      </c>
      <c r="H135" s="3" t="s">
        <v>21</v>
      </c>
      <c r="I135" s="3">
        <v>1403</v>
      </c>
      <c r="J135" s="3">
        <v>61</v>
      </c>
      <c r="K135" s="4">
        <v>45356</v>
      </c>
      <c r="L135" s="10">
        <v>307974.82799999998</v>
      </c>
    </row>
    <row r="136" spans="1:12" x14ac:dyDescent="0.3">
      <c r="A136" s="2">
        <v>134</v>
      </c>
      <c r="B136" s="3" t="s">
        <v>44</v>
      </c>
      <c r="C136" s="3" t="s">
        <v>82</v>
      </c>
      <c r="D136" s="3" t="s">
        <v>18</v>
      </c>
      <c r="E136" s="3">
        <v>1574</v>
      </c>
      <c r="F136" s="3">
        <v>8</v>
      </c>
      <c r="G136" s="3">
        <v>83395</v>
      </c>
      <c r="H136" s="3" t="s">
        <v>21</v>
      </c>
      <c r="I136" s="3">
        <v>1246</v>
      </c>
      <c r="J136" s="3">
        <v>78</v>
      </c>
      <c r="K136" s="4">
        <v>45072</v>
      </c>
      <c r="L136" s="10">
        <v>373838.69030000002</v>
      </c>
    </row>
    <row r="137" spans="1:12" x14ac:dyDescent="0.3">
      <c r="A137" s="2">
        <v>135</v>
      </c>
      <c r="B137" s="3" t="s">
        <v>24</v>
      </c>
      <c r="C137" s="3" t="s">
        <v>124</v>
      </c>
      <c r="D137" s="3" t="s">
        <v>18</v>
      </c>
      <c r="E137" s="3">
        <v>24657</v>
      </c>
      <c r="F137" s="3">
        <v>6</v>
      </c>
      <c r="G137" s="3">
        <v>93048</v>
      </c>
      <c r="H137" s="3" t="s">
        <v>21</v>
      </c>
      <c r="I137" s="3">
        <v>2922</v>
      </c>
      <c r="J137" s="3">
        <v>25</v>
      </c>
      <c r="K137" s="4">
        <v>44384</v>
      </c>
      <c r="L137" s="10">
        <v>391162.85149999999</v>
      </c>
    </row>
    <row r="138" spans="1:12" x14ac:dyDescent="0.3">
      <c r="A138" s="2">
        <v>136</v>
      </c>
      <c r="B138" s="3" t="s">
        <v>29</v>
      </c>
      <c r="C138" s="3" t="s">
        <v>132</v>
      </c>
      <c r="D138" s="3" t="s">
        <v>14</v>
      </c>
      <c r="E138" s="3">
        <v>22615</v>
      </c>
      <c r="F138" s="3">
        <v>4</v>
      </c>
      <c r="G138" s="3">
        <v>79108</v>
      </c>
      <c r="H138" s="3" t="s">
        <v>21</v>
      </c>
      <c r="I138" s="3">
        <v>2800</v>
      </c>
      <c r="J138" s="3">
        <v>36</v>
      </c>
      <c r="K138" s="4">
        <v>44700</v>
      </c>
      <c r="L138" s="10">
        <v>334784.2096</v>
      </c>
    </row>
    <row r="139" spans="1:12" x14ac:dyDescent="0.3">
      <c r="A139" s="2">
        <v>137</v>
      </c>
      <c r="B139" s="3" t="s">
        <v>122</v>
      </c>
      <c r="C139" s="3" t="s">
        <v>133</v>
      </c>
      <c r="D139" s="3" t="s">
        <v>14</v>
      </c>
      <c r="E139" s="3">
        <v>3848</v>
      </c>
      <c r="F139" s="3">
        <v>0</v>
      </c>
      <c r="G139" s="3">
        <v>52279</v>
      </c>
      <c r="H139" s="3" t="s">
        <v>21</v>
      </c>
      <c r="I139" s="3">
        <v>2286</v>
      </c>
      <c r="J139" s="3">
        <v>50</v>
      </c>
      <c r="K139" s="4">
        <v>44624</v>
      </c>
      <c r="L139" s="10">
        <v>322406.24839999998</v>
      </c>
    </row>
    <row r="140" spans="1:12" x14ac:dyDescent="0.3">
      <c r="A140" s="2">
        <v>138</v>
      </c>
      <c r="B140" s="3" t="s">
        <v>24</v>
      </c>
      <c r="C140" s="3" t="s">
        <v>25</v>
      </c>
      <c r="D140" s="3" t="s">
        <v>14</v>
      </c>
      <c r="E140" s="3">
        <v>15000</v>
      </c>
      <c r="F140" s="3">
        <v>7</v>
      </c>
      <c r="G140" s="3">
        <v>67394</v>
      </c>
      <c r="H140" s="3" t="s">
        <v>21</v>
      </c>
      <c r="I140" s="3">
        <v>2069</v>
      </c>
      <c r="J140" s="3">
        <v>99</v>
      </c>
      <c r="K140" s="4">
        <v>44434</v>
      </c>
      <c r="L140" s="10">
        <v>357550.76419999998</v>
      </c>
    </row>
    <row r="141" spans="1:12" x14ac:dyDescent="0.3">
      <c r="A141" s="2">
        <v>139</v>
      </c>
      <c r="B141" s="3" t="s">
        <v>19</v>
      </c>
      <c r="C141" s="3" t="s">
        <v>129</v>
      </c>
      <c r="D141" s="3" t="s">
        <v>14</v>
      </c>
      <c r="E141" s="3">
        <v>24502</v>
      </c>
      <c r="F141" s="3">
        <v>1</v>
      </c>
      <c r="G141" s="3">
        <v>69133</v>
      </c>
      <c r="H141" s="3" t="s">
        <v>23</v>
      </c>
      <c r="I141" s="3">
        <v>2805</v>
      </c>
      <c r="J141" s="3">
        <v>60</v>
      </c>
      <c r="K141" s="4">
        <v>45310</v>
      </c>
      <c r="L141" s="10">
        <v>347093.64689999999</v>
      </c>
    </row>
    <row r="142" spans="1:12" x14ac:dyDescent="0.3">
      <c r="A142" s="2">
        <v>140</v>
      </c>
      <c r="B142" s="3" t="s">
        <v>24</v>
      </c>
      <c r="C142" s="3" t="s">
        <v>124</v>
      </c>
      <c r="D142" s="3" t="s">
        <v>14</v>
      </c>
      <c r="E142" s="3">
        <v>19847</v>
      </c>
      <c r="F142" s="3">
        <v>1</v>
      </c>
      <c r="G142" s="3">
        <v>84264</v>
      </c>
      <c r="H142" s="3" t="s">
        <v>21</v>
      </c>
      <c r="I142" s="3">
        <v>1243</v>
      </c>
      <c r="J142" s="3">
        <v>99</v>
      </c>
      <c r="K142" s="4">
        <v>44068</v>
      </c>
      <c r="L142" s="10">
        <v>344669.14880000002</v>
      </c>
    </row>
    <row r="143" spans="1:12" x14ac:dyDescent="0.3">
      <c r="A143" s="2">
        <v>141</v>
      </c>
      <c r="B143" s="3" t="s">
        <v>24</v>
      </c>
      <c r="C143" s="3" t="s">
        <v>134</v>
      </c>
      <c r="D143" s="3" t="s">
        <v>18</v>
      </c>
      <c r="E143" s="3">
        <v>23918</v>
      </c>
      <c r="F143" s="3">
        <v>0</v>
      </c>
      <c r="G143" s="3">
        <v>60696</v>
      </c>
      <c r="H143" s="3" t="s">
        <v>21</v>
      </c>
      <c r="I143" s="3">
        <v>2213</v>
      </c>
      <c r="J143" s="3">
        <v>98</v>
      </c>
      <c r="K143" s="4">
        <v>44294</v>
      </c>
      <c r="L143" s="10">
        <v>405570.26199999999</v>
      </c>
    </row>
    <row r="144" spans="1:12" x14ac:dyDescent="0.3">
      <c r="A144" s="2">
        <v>142</v>
      </c>
      <c r="B144" s="3" t="s">
        <v>29</v>
      </c>
      <c r="C144" s="3" t="s">
        <v>135</v>
      </c>
      <c r="D144" s="3" t="s">
        <v>14</v>
      </c>
      <c r="E144" s="3">
        <v>13161</v>
      </c>
      <c r="F144" s="3">
        <v>2</v>
      </c>
      <c r="G144" s="3">
        <v>77111</v>
      </c>
      <c r="H144" s="3" t="s">
        <v>15</v>
      </c>
      <c r="I144" s="3">
        <v>2734</v>
      </c>
      <c r="J144" s="3">
        <v>43</v>
      </c>
      <c r="K144" s="4">
        <v>44369</v>
      </c>
      <c r="L144" s="10">
        <v>330137.00089999998</v>
      </c>
    </row>
    <row r="145" spans="1:12" x14ac:dyDescent="0.3">
      <c r="A145" s="2">
        <v>143</v>
      </c>
      <c r="B145" s="3" t="s">
        <v>40</v>
      </c>
      <c r="C145" s="3" t="s">
        <v>136</v>
      </c>
      <c r="D145" s="3" t="s">
        <v>14</v>
      </c>
      <c r="E145" s="3">
        <v>4725</v>
      </c>
      <c r="F145" s="3">
        <v>8</v>
      </c>
      <c r="G145" s="3">
        <v>54044</v>
      </c>
      <c r="H145" s="3" t="s">
        <v>23</v>
      </c>
      <c r="I145" s="3">
        <v>2862</v>
      </c>
      <c r="J145" s="3">
        <v>65</v>
      </c>
      <c r="K145" s="4">
        <v>43878</v>
      </c>
      <c r="L145" s="10">
        <v>330743.34879999998</v>
      </c>
    </row>
    <row r="146" spans="1:12" x14ac:dyDescent="0.3">
      <c r="A146" s="2">
        <v>144</v>
      </c>
      <c r="B146" s="3" t="s">
        <v>122</v>
      </c>
      <c r="C146" s="3" t="s">
        <v>137</v>
      </c>
      <c r="D146" s="3" t="s">
        <v>18</v>
      </c>
      <c r="E146" s="3">
        <v>1430</v>
      </c>
      <c r="F146" s="3">
        <v>7</v>
      </c>
      <c r="G146" s="3">
        <v>90079</v>
      </c>
      <c r="H146" s="3" t="s">
        <v>21</v>
      </c>
      <c r="I146" s="3">
        <v>2311</v>
      </c>
      <c r="J146" s="3">
        <v>41</v>
      </c>
      <c r="K146" s="4">
        <v>45151</v>
      </c>
      <c r="L146" s="10">
        <v>384717.31390000001</v>
      </c>
    </row>
    <row r="147" spans="1:12" x14ac:dyDescent="0.3">
      <c r="A147" s="2">
        <v>145</v>
      </c>
      <c r="B147" s="3" t="s">
        <v>29</v>
      </c>
      <c r="C147" s="3" t="s">
        <v>104</v>
      </c>
      <c r="D147" s="3" t="s">
        <v>18</v>
      </c>
      <c r="E147" s="3">
        <v>13177</v>
      </c>
      <c r="F147" s="3">
        <v>5</v>
      </c>
      <c r="G147" s="3">
        <v>51851</v>
      </c>
      <c r="H147" s="3" t="s">
        <v>21</v>
      </c>
      <c r="I147" s="3">
        <v>2604</v>
      </c>
      <c r="J147" s="3">
        <v>82</v>
      </c>
      <c r="K147" s="4">
        <v>44394</v>
      </c>
      <c r="L147" s="10">
        <v>379828.5956</v>
      </c>
    </row>
    <row r="148" spans="1:12" x14ac:dyDescent="0.3">
      <c r="A148" s="2">
        <v>146</v>
      </c>
      <c r="B148" s="3" t="s">
        <v>122</v>
      </c>
      <c r="C148" s="3" t="s">
        <v>138</v>
      </c>
      <c r="D148" s="3" t="s">
        <v>18</v>
      </c>
      <c r="E148" s="3">
        <v>17088</v>
      </c>
      <c r="F148" s="3">
        <v>9</v>
      </c>
      <c r="G148" s="3">
        <v>94552</v>
      </c>
      <c r="H148" s="3" t="s">
        <v>23</v>
      </c>
      <c r="I148" s="3">
        <v>1033</v>
      </c>
      <c r="J148" s="3">
        <v>36</v>
      </c>
      <c r="K148" s="4">
        <v>44670</v>
      </c>
      <c r="L148" s="10">
        <v>373424.10869999998</v>
      </c>
    </row>
    <row r="149" spans="1:12" x14ac:dyDescent="0.3">
      <c r="A149" s="2">
        <v>147</v>
      </c>
      <c r="B149" s="3" t="s">
        <v>35</v>
      </c>
      <c r="C149" s="3" t="s">
        <v>139</v>
      </c>
      <c r="D149" s="3" t="s">
        <v>14</v>
      </c>
      <c r="E149" s="3">
        <v>20027</v>
      </c>
      <c r="F149" s="3">
        <v>1</v>
      </c>
      <c r="G149" s="3">
        <v>60091</v>
      </c>
      <c r="H149" s="3" t="s">
        <v>21</v>
      </c>
      <c r="I149" s="3">
        <v>1836</v>
      </c>
      <c r="J149" s="3">
        <v>33</v>
      </c>
      <c r="K149" s="4">
        <v>45128</v>
      </c>
      <c r="L149" s="10">
        <v>333113.0845</v>
      </c>
    </row>
    <row r="150" spans="1:12" x14ac:dyDescent="0.3">
      <c r="A150" s="2">
        <v>148</v>
      </c>
      <c r="B150" s="3" t="s">
        <v>12</v>
      </c>
      <c r="C150" s="3" t="s">
        <v>140</v>
      </c>
      <c r="D150" s="3" t="s">
        <v>18</v>
      </c>
      <c r="E150" s="3">
        <v>11977</v>
      </c>
      <c r="F150" s="3">
        <v>1</v>
      </c>
      <c r="G150" s="3">
        <v>96093</v>
      </c>
      <c r="H150" s="3" t="s">
        <v>15</v>
      </c>
      <c r="I150" s="3">
        <v>1033</v>
      </c>
      <c r="J150" s="3">
        <v>66</v>
      </c>
      <c r="K150" s="4">
        <v>45045</v>
      </c>
      <c r="L150" s="10">
        <v>355100.962</v>
      </c>
    </row>
    <row r="151" spans="1:12" x14ac:dyDescent="0.3">
      <c r="A151" s="2">
        <v>149</v>
      </c>
      <c r="B151" s="3" t="s">
        <v>53</v>
      </c>
      <c r="C151" s="3" t="s">
        <v>141</v>
      </c>
      <c r="D151" s="3" t="s">
        <v>14</v>
      </c>
      <c r="E151" s="3">
        <v>582</v>
      </c>
      <c r="F151" s="3">
        <v>5</v>
      </c>
      <c r="G151" s="3">
        <v>79125</v>
      </c>
      <c r="H151" s="3" t="s">
        <v>23</v>
      </c>
      <c r="I151" s="3">
        <v>1563</v>
      </c>
      <c r="J151" s="3">
        <v>92</v>
      </c>
      <c r="K151" s="4">
        <v>44181</v>
      </c>
      <c r="L151" s="10">
        <v>336083.75170000002</v>
      </c>
    </row>
    <row r="152" spans="1:12" x14ac:dyDescent="0.3">
      <c r="A152" s="2">
        <v>150</v>
      </c>
      <c r="B152" s="3" t="s">
        <v>37</v>
      </c>
      <c r="C152" s="3" t="s">
        <v>38</v>
      </c>
      <c r="D152" s="3" t="s">
        <v>14</v>
      </c>
      <c r="E152" s="3">
        <v>19931</v>
      </c>
      <c r="F152" s="3">
        <v>0</v>
      </c>
      <c r="G152" s="3">
        <v>68079</v>
      </c>
      <c r="H152" s="3" t="s">
        <v>15</v>
      </c>
      <c r="I152" s="3">
        <v>1612</v>
      </c>
      <c r="J152" s="3">
        <v>25</v>
      </c>
      <c r="K152" s="4">
        <v>44292</v>
      </c>
      <c r="L152" s="10">
        <v>304017.75910000002</v>
      </c>
    </row>
    <row r="153" spans="1:12" x14ac:dyDescent="0.3">
      <c r="A153" s="2">
        <v>151</v>
      </c>
      <c r="B153" s="3" t="s">
        <v>24</v>
      </c>
      <c r="C153" s="3" t="s">
        <v>25</v>
      </c>
      <c r="D153" s="3" t="s">
        <v>14</v>
      </c>
      <c r="E153" s="3">
        <v>24510</v>
      </c>
      <c r="F153" s="3">
        <v>3</v>
      </c>
      <c r="G153" s="3">
        <v>55899</v>
      </c>
      <c r="H153" s="3" t="s">
        <v>15</v>
      </c>
      <c r="I153" s="3">
        <v>2539</v>
      </c>
      <c r="J153" s="3">
        <v>52</v>
      </c>
      <c r="K153" s="4">
        <v>44431</v>
      </c>
      <c r="L153" s="10">
        <v>338759.30900000001</v>
      </c>
    </row>
    <row r="154" spans="1:12" x14ac:dyDescent="0.3">
      <c r="A154" s="2">
        <v>152</v>
      </c>
      <c r="B154" s="3" t="s">
        <v>35</v>
      </c>
      <c r="C154" s="3" t="s">
        <v>119</v>
      </c>
      <c r="D154" s="3" t="s">
        <v>14</v>
      </c>
      <c r="E154" s="3">
        <v>8239</v>
      </c>
      <c r="F154" s="3">
        <v>9</v>
      </c>
      <c r="G154" s="3">
        <v>84025</v>
      </c>
      <c r="H154" s="3" t="s">
        <v>15</v>
      </c>
      <c r="I154" s="3">
        <v>2413</v>
      </c>
      <c r="J154" s="3">
        <v>80</v>
      </c>
      <c r="K154" s="4">
        <v>44394</v>
      </c>
      <c r="L154" s="10">
        <v>311619.73340000003</v>
      </c>
    </row>
    <row r="155" spans="1:12" x14ac:dyDescent="0.3">
      <c r="A155" s="2">
        <v>153</v>
      </c>
      <c r="B155" s="3" t="s">
        <v>33</v>
      </c>
      <c r="C155" s="3" t="s">
        <v>80</v>
      </c>
      <c r="D155" s="3" t="s">
        <v>18</v>
      </c>
      <c r="E155" s="3">
        <v>14458</v>
      </c>
      <c r="F155" s="3">
        <v>7</v>
      </c>
      <c r="G155" s="3">
        <v>54076</v>
      </c>
      <c r="H155" s="3" t="s">
        <v>23</v>
      </c>
      <c r="I155" s="3">
        <v>2382</v>
      </c>
      <c r="J155" s="3">
        <v>61</v>
      </c>
      <c r="K155" s="4">
        <v>45121</v>
      </c>
      <c r="L155" s="10">
        <v>395492.77630000003</v>
      </c>
    </row>
    <row r="156" spans="1:12" x14ac:dyDescent="0.3">
      <c r="A156" s="2">
        <v>154</v>
      </c>
      <c r="B156" s="3" t="s">
        <v>55</v>
      </c>
      <c r="C156" s="3" t="s">
        <v>98</v>
      </c>
      <c r="D156" s="3" t="s">
        <v>18</v>
      </c>
      <c r="E156" s="3">
        <v>943</v>
      </c>
      <c r="F156" s="3">
        <v>4</v>
      </c>
      <c r="G156" s="3">
        <v>74494</v>
      </c>
      <c r="H156" s="3" t="s">
        <v>15</v>
      </c>
      <c r="I156" s="3">
        <v>2124</v>
      </c>
      <c r="J156" s="3">
        <v>89</v>
      </c>
      <c r="K156" s="4">
        <v>45453</v>
      </c>
      <c r="L156" s="10">
        <v>357588.53960000002</v>
      </c>
    </row>
    <row r="157" spans="1:12" x14ac:dyDescent="0.3">
      <c r="A157" s="2">
        <v>155</v>
      </c>
      <c r="B157" s="3" t="s">
        <v>108</v>
      </c>
      <c r="C157" s="3" t="s">
        <v>142</v>
      </c>
      <c r="D157" s="3" t="s">
        <v>14</v>
      </c>
      <c r="E157" s="3">
        <v>20136</v>
      </c>
      <c r="F157" s="3">
        <v>7</v>
      </c>
      <c r="G157" s="3">
        <v>55387</v>
      </c>
      <c r="H157" s="3" t="s">
        <v>21</v>
      </c>
      <c r="I157" s="3">
        <v>2479</v>
      </c>
      <c r="J157" s="3">
        <v>36</v>
      </c>
      <c r="K157" s="4">
        <v>44527</v>
      </c>
      <c r="L157" s="10">
        <v>317453.76390000002</v>
      </c>
    </row>
    <row r="158" spans="1:12" x14ac:dyDescent="0.3">
      <c r="A158" s="2">
        <v>156</v>
      </c>
      <c r="B158" s="3" t="s">
        <v>35</v>
      </c>
      <c r="C158" s="3" t="s">
        <v>62</v>
      </c>
      <c r="D158" s="3" t="s">
        <v>18</v>
      </c>
      <c r="E158" s="3">
        <v>15025</v>
      </c>
      <c r="F158" s="3">
        <v>3</v>
      </c>
      <c r="G158" s="3">
        <v>91077</v>
      </c>
      <c r="H158" s="3" t="s">
        <v>15</v>
      </c>
      <c r="I158" s="3">
        <v>2599</v>
      </c>
      <c r="J158" s="3">
        <v>66</v>
      </c>
      <c r="K158" s="4">
        <v>45368</v>
      </c>
      <c r="L158" s="10">
        <v>374240.50689999998</v>
      </c>
    </row>
    <row r="159" spans="1:12" x14ac:dyDescent="0.3">
      <c r="A159" s="2">
        <v>157</v>
      </c>
      <c r="B159" s="3" t="s">
        <v>29</v>
      </c>
      <c r="C159" s="3" t="s">
        <v>132</v>
      </c>
      <c r="D159" s="3" t="s">
        <v>18</v>
      </c>
      <c r="E159" s="3">
        <v>15623</v>
      </c>
      <c r="F159" s="3">
        <v>6</v>
      </c>
      <c r="G159" s="3">
        <v>63179</v>
      </c>
      <c r="H159" s="3" t="s">
        <v>15</v>
      </c>
      <c r="I159" s="3">
        <v>2929</v>
      </c>
      <c r="J159" s="3">
        <v>94</v>
      </c>
      <c r="K159" s="4">
        <v>44061</v>
      </c>
      <c r="L159" s="10">
        <v>385472.34499999997</v>
      </c>
    </row>
    <row r="160" spans="1:12" x14ac:dyDescent="0.3">
      <c r="A160" s="2">
        <v>158</v>
      </c>
      <c r="B160" s="3" t="s">
        <v>29</v>
      </c>
      <c r="C160" s="3" t="s">
        <v>132</v>
      </c>
      <c r="D160" s="3" t="s">
        <v>14</v>
      </c>
      <c r="E160" s="3">
        <v>12100</v>
      </c>
      <c r="F160" s="3">
        <v>7</v>
      </c>
      <c r="G160" s="3">
        <v>94621</v>
      </c>
      <c r="H160" s="3" t="s">
        <v>23</v>
      </c>
      <c r="I160" s="3">
        <v>2124</v>
      </c>
      <c r="J160" s="3">
        <v>24</v>
      </c>
      <c r="K160" s="4">
        <v>45214</v>
      </c>
      <c r="L160" s="10">
        <v>323095.76850000001</v>
      </c>
    </row>
    <row r="161" spans="1:12" x14ac:dyDescent="0.3">
      <c r="A161" s="2">
        <v>159</v>
      </c>
      <c r="B161" s="3" t="s">
        <v>44</v>
      </c>
      <c r="C161" s="3" t="s">
        <v>111</v>
      </c>
      <c r="D161" s="3" t="s">
        <v>14</v>
      </c>
      <c r="E161" s="3">
        <v>19144</v>
      </c>
      <c r="F161" s="3">
        <v>3</v>
      </c>
      <c r="G161" s="3">
        <v>65283</v>
      </c>
      <c r="H161" s="3" t="s">
        <v>15</v>
      </c>
      <c r="I161" s="3">
        <v>2216</v>
      </c>
      <c r="J161" s="3">
        <v>38</v>
      </c>
      <c r="K161" s="4">
        <v>44097</v>
      </c>
      <c r="L161" s="10">
        <v>309077.08299999998</v>
      </c>
    </row>
    <row r="162" spans="1:12" x14ac:dyDescent="0.3">
      <c r="A162" s="2">
        <v>160</v>
      </c>
      <c r="B162" s="3" t="s">
        <v>44</v>
      </c>
      <c r="C162" s="3" t="s">
        <v>143</v>
      </c>
      <c r="D162" s="3" t="s">
        <v>18</v>
      </c>
      <c r="E162" s="3">
        <v>6732</v>
      </c>
      <c r="F162" s="3">
        <v>0</v>
      </c>
      <c r="G162" s="3">
        <v>97691</v>
      </c>
      <c r="H162" s="3" t="s">
        <v>23</v>
      </c>
      <c r="I162" s="3">
        <v>2830</v>
      </c>
      <c r="J162" s="3">
        <v>76</v>
      </c>
      <c r="K162" s="4">
        <v>45061</v>
      </c>
      <c r="L162" s="10">
        <v>393744.39539999998</v>
      </c>
    </row>
    <row r="163" spans="1:12" x14ac:dyDescent="0.3">
      <c r="A163" s="2">
        <v>161</v>
      </c>
      <c r="B163" s="3" t="s">
        <v>44</v>
      </c>
      <c r="C163" s="3" t="s">
        <v>144</v>
      </c>
      <c r="D163" s="3" t="s">
        <v>14</v>
      </c>
      <c r="E163" s="3">
        <v>11893</v>
      </c>
      <c r="F163" s="3">
        <v>0</v>
      </c>
      <c r="G163" s="3">
        <v>59281</v>
      </c>
      <c r="H163" s="3" t="s">
        <v>15</v>
      </c>
      <c r="I163" s="3">
        <v>1018</v>
      </c>
      <c r="J163" s="3">
        <v>63</v>
      </c>
      <c r="K163" s="4">
        <v>44347</v>
      </c>
      <c r="L163" s="10">
        <v>297879.27510000003</v>
      </c>
    </row>
    <row r="164" spans="1:12" x14ac:dyDescent="0.3">
      <c r="A164" s="2">
        <v>162</v>
      </c>
      <c r="B164" s="3" t="s">
        <v>26</v>
      </c>
      <c r="C164" s="3" t="s">
        <v>64</v>
      </c>
      <c r="D164" s="3" t="s">
        <v>18</v>
      </c>
      <c r="E164" s="3">
        <v>21984</v>
      </c>
      <c r="F164" s="3">
        <v>9</v>
      </c>
      <c r="G164" s="3">
        <v>55617</v>
      </c>
      <c r="H164" s="3" t="s">
        <v>23</v>
      </c>
      <c r="I164" s="3">
        <v>1623</v>
      </c>
      <c r="J164" s="3">
        <v>65</v>
      </c>
      <c r="K164" s="4">
        <v>44408</v>
      </c>
      <c r="L164" s="10">
        <v>364423.7745</v>
      </c>
    </row>
    <row r="165" spans="1:12" x14ac:dyDescent="0.3">
      <c r="A165" s="2">
        <v>163</v>
      </c>
      <c r="B165" s="3" t="s">
        <v>19</v>
      </c>
      <c r="C165" s="3" t="s">
        <v>60</v>
      </c>
      <c r="D165" s="3" t="s">
        <v>18</v>
      </c>
      <c r="E165" s="3">
        <v>11499</v>
      </c>
      <c r="F165" s="3">
        <v>1</v>
      </c>
      <c r="G165" s="3">
        <v>56617</v>
      </c>
      <c r="H165" s="3" t="s">
        <v>21</v>
      </c>
      <c r="I165" s="3">
        <v>2999</v>
      </c>
      <c r="J165" s="3">
        <v>31</v>
      </c>
      <c r="K165" s="4">
        <v>45512</v>
      </c>
      <c r="L165" s="10">
        <v>381980.54969999997</v>
      </c>
    </row>
    <row r="166" spans="1:12" x14ac:dyDescent="0.3">
      <c r="A166" s="2">
        <v>164</v>
      </c>
      <c r="B166" s="3" t="s">
        <v>72</v>
      </c>
      <c r="C166" s="3" t="s">
        <v>145</v>
      </c>
      <c r="D166" s="3" t="s">
        <v>18</v>
      </c>
      <c r="E166" s="3">
        <v>20785</v>
      </c>
      <c r="F166" s="3">
        <v>8</v>
      </c>
      <c r="G166" s="3">
        <v>68821</v>
      </c>
      <c r="H166" s="3" t="s">
        <v>23</v>
      </c>
      <c r="I166" s="3">
        <v>1186</v>
      </c>
      <c r="J166" s="3">
        <v>22</v>
      </c>
      <c r="K166" s="4">
        <v>44867</v>
      </c>
      <c r="L166" s="10">
        <v>366647.84409999999</v>
      </c>
    </row>
    <row r="167" spans="1:12" x14ac:dyDescent="0.3">
      <c r="A167" s="2">
        <v>165</v>
      </c>
      <c r="B167" s="3" t="s">
        <v>33</v>
      </c>
      <c r="C167" s="3" t="s">
        <v>79</v>
      </c>
      <c r="D167" s="3" t="s">
        <v>14</v>
      </c>
      <c r="E167" s="3">
        <v>13198</v>
      </c>
      <c r="F167" s="3">
        <v>9</v>
      </c>
      <c r="G167" s="3">
        <v>64173</v>
      </c>
      <c r="H167" s="3" t="s">
        <v>15</v>
      </c>
      <c r="I167" s="3">
        <v>1082</v>
      </c>
      <c r="J167" s="3">
        <v>30</v>
      </c>
      <c r="K167" s="4">
        <v>44642</v>
      </c>
      <c r="L167" s="10">
        <v>295691.84989999997</v>
      </c>
    </row>
    <row r="168" spans="1:12" x14ac:dyDescent="0.3">
      <c r="A168" s="2">
        <v>166</v>
      </c>
      <c r="B168" s="3" t="s">
        <v>31</v>
      </c>
      <c r="C168" s="3" t="s">
        <v>81</v>
      </c>
      <c r="D168" s="3" t="s">
        <v>18</v>
      </c>
      <c r="E168" s="3">
        <v>17044</v>
      </c>
      <c r="F168" s="3">
        <v>0</v>
      </c>
      <c r="G168" s="3">
        <v>96740</v>
      </c>
      <c r="H168" s="3" t="s">
        <v>23</v>
      </c>
      <c r="I168" s="3">
        <v>2870</v>
      </c>
      <c r="J168" s="3">
        <v>26</v>
      </c>
      <c r="K168" s="4">
        <v>44839</v>
      </c>
      <c r="L168" s="10">
        <v>402468.12410000002</v>
      </c>
    </row>
    <row r="169" spans="1:12" x14ac:dyDescent="0.3">
      <c r="A169" s="2">
        <v>167</v>
      </c>
      <c r="B169" s="3" t="s">
        <v>31</v>
      </c>
      <c r="C169" s="3" t="s">
        <v>32</v>
      </c>
      <c r="D169" s="3" t="s">
        <v>14</v>
      </c>
      <c r="E169" s="3">
        <v>13345</v>
      </c>
      <c r="F169" s="3">
        <v>7</v>
      </c>
      <c r="G169" s="3">
        <v>55295</v>
      </c>
      <c r="H169" s="3" t="s">
        <v>23</v>
      </c>
      <c r="I169" s="3">
        <v>2214</v>
      </c>
      <c r="J169" s="3">
        <v>21</v>
      </c>
      <c r="K169" s="4">
        <v>44871</v>
      </c>
      <c r="L169" s="10">
        <v>318781.74349999998</v>
      </c>
    </row>
    <row r="170" spans="1:12" x14ac:dyDescent="0.3">
      <c r="A170" s="2">
        <v>168</v>
      </c>
      <c r="B170" s="3" t="s">
        <v>33</v>
      </c>
      <c r="C170" s="3" t="s">
        <v>92</v>
      </c>
      <c r="D170" s="3" t="s">
        <v>18</v>
      </c>
      <c r="E170" s="3">
        <v>21224</v>
      </c>
      <c r="F170" s="3">
        <v>6</v>
      </c>
      <c r="G170" s="3">
        <v>68192</v>
      </c>
      <c r="H170" s="3" t="s">
        <v>23</v>
      </c>
      <c r="I170" s="3">
        <v>2366</v>
      </c>
      <c r="J170" s="3">
        <v>70</v>
      </c>
      <c r="K170" s="4">
        <v>45022</v>
      </c>
      <c r="L170" s="10">
        <v>409376.21970000002</v>
      </c>
    </row>
    <row r="171" spans="1:12" x14ac:dyDescent="0.3">
      <c r="A171" s="2">
        <v>169</v>
      </c>
      <c r="B171" s="3" t="s">
        <v>31</v>
      </c>
      <c r="C171" s="3" t="s">
        <v>146</v>
      </c>
      <c r="D171" s="3" t="s">
        <v>14</v>
      </c>
      <c r="E171" s="3">
        <v>12026</v>
      </c>
      <c r="F171" s="3">
        <v>1</v>
      </c>
      <c r="G171" s="3">
        <v>71044</v>
      </c>
      <c r="H171" s="3" t="s">
        <v>15</v>
      </c>
      <c r="I171" s="3">
        <v>2973</v>
      </c>
      <c r="J171" s="3">
        <v>81</v>
      </c>
      <c r="K171" s="4">
        <v>43922</v>
      </c>
      <c r="L171" s="10">
        <v>340132.43339999998</v>
      </c>
    </row>
    <row r="172" spans="1:12" x14ac:dyDescent="0.3">
      <c r="A172" s="2">
        <v>170</v>
      </c>
      <c r="B172" s="3" t="s">
        <v>26</v>
      </c>
      <c r="C172" s="3" t="s">
        <v>99</v>
      </c>
      <c r="D172" s="3" t="s">
        <v>14</v>
      </c>
      <c r="E172" s="3">
        <v>13354</v>
      </c>
      <c r="F172" s="3">
        <v>9</v>
      </c>
      <c r="G172" s="3">
        <v>76915</v>
      </c>
      <c r="H172" s="3" t="s">
        <v>23</v>
      </c>
      <c r="I172" s="3">
        <v>1416</v>
      </c>
      <c r="J172" s="3">
        <v>32</v>
      </c>
      <c r="K172" s="4">
        <v>44495</v>
      </c>
      <c r="L172" s="10">
        <v>302256.0735</v>
      </c>
    </row>
    <row r="173" spans="1:12" x14ac:dyDescent="0.3">
      <c r="A173" s="2">
        <v>171</v>
      </c>
      <c r="B173" s="3" t="s">
        <v>122</v>
      </c>
      <c r="C173" s="3" t="s">
        <v>138</v>
      </c>
      <c r="D173" s="3" t="s">
        <v>18</v>
      </c>
      <c r="E173" s="3">
        <v>26548</v>
      </c>
      <c r="F173" s="3">
        <v>6</v>
      </c>
      <c r="G173" s="3">
        <v>88167</v>
      </c>
      <c r="H173" s="3" t="s">
        <v>15</v>
      </c>
      <c r="I173" s="3">
        <v>2594</v>
      </c>
      <c r="J173" s="3">
        <v>51</v>
      </c>
      <c r="K173" s="4">
        <v>44803</v>
      </c>
      <c r="L173" s="10">
        <v>375425.69750000001</v>
      </c>
    </row>
    <row r="174" spans="1:12" x14ac:dyDescent="0.3">
      <c r="A174" s="2">
        <v>172</v>
      </c>
      <c r="B174" s="3" t="s">
        <v>72</v>
      </c>
      <c r="C174" s="3" t="s">
        <v>147</v>
      </c>
      <c r="D174" s="3" t="s">
        <v>18</v>
      </c>
      <c r="E174" s="3">
        <v>16455</v>
      </c>
      <c r="F174" s="3">
        <v>8</v>
      </c>
      <c r="G174" s="3">
        <v>59256</v>
      </c>
      <c r="H174" s="3" t="s">
        <v>21</v>
      </c>
      <c r="I174" s="3">
        <v>1343</v>
      </c>
      <c r="J174" s="3">
        <v>56</v>
      </c>
      <c r="K174" s="4">
        <v>44216</v>
      </c>
      <c r="L174" s="10">
        <v>359094.81699999998</v>
      </c>
    </row>
    <row r="175" spans="1:12" x14ac:dyDescent="0.3">
      <c r="A175" s="2">
        <v>173</v>
      </c>
      <c r="B175" s="3" t="s">
        <v>35</v>
      </c>
      <c r="C175" s="3" t="s">
        <v>148</v>
      </c>
      <c r="D175" s="3" t="s">
        <v>18</v>
      </c>
      <c r="E175" s="3">
        <v>2972</v>
      </c>
      <c r="F175" s="3">
        <v>2</v>
      </c>
      <c r="G175" s="3">
        <v>84509</v>
      </c>
      <c r="H175" s="3" t="s">
        <v>15</v>
      </c>
      <c r="I175" s="3">
        <v>1259</v>
      </c>
      <c r="J175" s="3">
        <v>71</v>
      </c>
      <c r="K175" s="4">
        <v>44017</v>
      </c>
      <c r="L175" s="10">
        <v>377931.54399999999</v>
      </c>
    </row>
    <row r="176" spans="1:12" x14ac:dyDescent="0.3">
      <c r="A176" s="2">
        <v>174</v>
      </c>
      <c r="B176" s="3" t="s">
        <v>40</v>
      </c>
      <c r="C176" s="3" t="s">
        <v>71</v>
      </c>
      <c r="D176" s="3" t="s">
        <v>18</v>
      </c>
      <c r="E176" s="3">
        <v>10789</v>
      </c>
      <c r="F176" s="3">
        <v>2</v>
      </c>
      <c r="G176" s="3">
        <v>87060</v>
      </c>
      <c r="H176" s="3" t="s">
        <v>21</v>
      </c>
      <c r="I176" s="3">
        <v>2046</v>
      </c>
      <c r="J176" s="3">
        <v>29</v>
      </c>
      <c r="K176" s="4">
        <v>45256</v>
      </c>
      <c r="L176" s="10">
        <v>378945.60810000001</v>
      </c>
    </row>
    <row r="177" spans="1:12" x14ac:dyDescent="0.3">
      <c r="A177" s="2">
        <v>175</v>
      </c>
      <c r="B177" s="3" t="s">
        <v>53</v>
      </c>
      <c r="C177" s="3" t="s">
        <v>141</v>
      </c>
      <c r="D177" s="3" t="s">
        <v>18</v>
      </c>
      <c r="E177" s="3">
        <v>13601</v>
      </c>
      <c r="F177" s="3">
        <v>5</v>
      </c>
      <c r="G177" s="3">
        <v>82420</v>
      </c>
      <c r="H177" s="3" t="s">
        <v>23</v>
      </c>
      <c r="I177" s="3">
        <v>1824</v>
      </c>
      <c r="J177" s="3">
        <v>85</v>
      </c>
      <c r="K177" s="4">
        <v>44197</v>
      </c>
      <c r="L177" s="10">
        <v>384037.30410000001</v>
      </c>
    </row>
    <row r="178" spans="1:12" x14ac:dyDescent="0.3">
      <c r="A178" s="2">
        <v>176</v>
      </c>
      <c r="B178" s="3" t="s">
        <v>29</v>
      </c>
      <c r="C178" s="3" t="s">
        <v>104</v>
      </c>
      <c r="D178" s="3" t="s">
        <v>18</v>
      </c>
      <c r="E178" s="3">
        <v>19847</v>
      </c>
      <c r="F178" s="3">
        <v>0</v>
      </c>
      <c r="G178" s="3">
        <v>75218</v>
      </c>
      <c r="H178" s="3" t="s">
        <v>23</v>
      </c>
      <c r="I178" s="3">
        <v>2105</v>
      </c>
      <c r="J178" s="3">
        <v>95</v>
      </c>
      <c r="K178" s="4">
        <v>45353</v>
      </c>
      <c r="L178" s="10">
        <v>393783.35470000003</v>
      </c>
    </row>
    <row r="179" spans="1:12" x14ac:dyDescent="0.3">
      <c r="A179" s="2">
        <v>177</v>
      </c>
      <c r="B179" s="3" t="s">
        <v>35</v>
      </c>
      <c r="C179" s="3" t="s">
        <v>36</v>
      </c>
      <c r="D179" s="3" t="s">
        <v>18</v>
      </c>
      <c r="E179" s="3">
        <v>7580</v>
      </c>
      <c r="F179" s="3">
        <v>9</v>
      </c>
      <c r="G179" s="3">
        <v>52978</v>
      </c>
      <c r="H179" s="3" t="s">
        <v>21</v>
      </c>
      <c r="I179" s="3">
        <v>2400</v>
      </c>
      <c r="J179" s="3">
        <v>40</v>
      </c>
      <c r="K179" s="4">
        <v>45349</v>
      </c>
      <c r="L179" s="10">
        <v>364855.92979999998</v>
      </c>
    </row>
    <row r="180" spans="1:12" x14ac:dyDescent="0.3">
      <c r="A180" s="2">
        <v>178</v>
      </c>
      <c r="B180" s="3" t="s">
        <v>53</v>
      </c>
      <c r="C180" s="3" t="s">
        <v>149</v>
      </c>
      <c r="D180" s="3" t="s">
        <v>14</v>
      </c>
      <c r="E180" s="3">
        <v>9025</v>
      </c>
      <c r="F180" s="3">
        <v>7</v>
      </c>
      <c r="G180" s="3">
        <v>61047</v>
      </c>
      <c r="H180" s="3" t="s">
        <v>15</v>
      </c>
      <c r="I180" s="3">
        <v>1035</v>
      </c>
      <c r="J180" s="3">
        <v>32</v>
      </c>
      <c r="K180" s="4">
        <v>44198</v>
      </c>
      <c r="L180" s="10">
        <v>282657.56410000002</v>
      </c>
    </row>
    <row r="181" spans="1:12" x14ac:dyDescent="0.3">
      <c r="A181" s="2">
        <v>179</v>
      </c>
      <c r="B181" s="3" t="s">
        <v>33</v>
      </c>
      <c r="C181" s="3" t="s">
        <v>68</v>
      </c>
      <c r="D181" s="3" t="s">
        <v>18</v>
      </c>
      <c r="E181" s="3">
        <v>11756</v>
      </c>
      <c r="F181" s="3">
        <v>9</v>
      </c>
      <c r="G181" s="3">
        <v>57074</v>
      </c>
      <c r="H181" s="3" t="s">
        <v>21</v>
      </c>
      <c r="I181" s="3">
        <v>1026</v>
      </c>
      <c r="J181" s="3">
        <v>25</v>
      </c>
      <c r="K181" s="4">
        <v>44446</v>
      </c>
      <c r="L181" s="10">
        <v>346916.902</v>
      </c>
    </row>
    <row r="182" spans="1:12" x14ac:dyDescent="0.3">
      <c r="A182" s="2">
        <v>180</v>
      </c>
      <c r="B182" s="3" t="s">
        <v>74</v>
      </c>
      <c r="C182" s="3" t="s">
        <v>75</v>
      </c>
      <c r="D182" s="3" t="s">
        <v>14</v>
      </c>
      <c r="E182" s="3">
        <v>21357</v>
      </c>
      <c r="F182" s="3">
        <v>8</v>
      </c>
      <c r="G182" s="3">
        <v>80531</v>
      </c>
      <c r="H182" s="3" t="s">
        <v>15</v>
      </c>
      <c r="I182" s="3">
        <v>2059</v>
      </c>
      <c r="J182" s="3">
        <v>88</v>
      </c>
      <c r="K182" s="4">
        <v>45232</v>
      </c>
      <c r="L182" s="10">
        <v>316579.90909999999</v>
      </c>
    </row>
    <row r="183" spans="1:12" x14ac:dyDescent="0.3">
      <c r="A183" s="2">
        <v>181</v>
      </c>
      <c r="B183" s="3" t="s">
        <v>35</v>
      </c>
      <c r="C183" s="3" t="s">
        <v>150</v>
      </c>
      <c r="D183" s="3" t="s">
        <v>18</v>
      </c>
      <c r="E183" s="3">
        <v>27212</v>
      </c>
      <c r="F183" s="3">
        <v>9</v>
      </c>
      <c r="G183" s="3">
        <v>51315</v>
      </c>
      <c r="H183" s="3" t="s">
        <v>23</v>
      </c>
      <c r="I183" s="3">
        <v>2929</v>
      </c>
      <c r="J183" s="3">
        <v>80</v>
      </c>
      <c r="K183" s="4">
        <v>45345</v>
      </c>
      <c r="L183" s="10">
        <v>417342.6433</v>
      </c>
    </row>
    <row r="184" spans="1:12" x14ac:dyDescent="0.3">
      <c r="A184" s="2">
        <v>182</v>
      </c>
      <c r="B184" s="3" t="s">
        <v>40</v>
      </c>
      <c r="C184" s="3" t="s">
        <v>121</v>
      </c>
      <c r="D184" s="3" t="s">
        <v>18</v>
      </c>
      <c r="E184" s="3">
        <v>12347</v>
      </c>
      <c r="F184" s="3">
        <v>2</v>
      </c>
      <c r="G184" s="3">
        <v>61948</v>
      </c>
      <c r="H184" s="3" t="s">
        <v>15</v>
      </c>
      <c r="I184" s="3">
        <v>1158</v>
      </c>
      <c r="J184" s="3">
        <v>96</v>
      </c>
      <c r="K184" s="4">
        <v>44724</v>
      </c>
      <c r="L184" s="10">
        <v>363671.30570000003</v>
      </c>
    </row>
    <row r="185" spans="1:12" x14ac:dyDescent="0.3">
      <c r="A185" s="2">
        <v>183</v>
      </c>
      <c r="B185" s="3" t="s">
        <v>37</v>
      </c>
      <c r="C185" s="3" t="s">
        <v>90</v>
      </c>
      <c r="D185" s="3" t="s">
        <v>18</v>
      </c>
      <c r="E185" s="3">
        <v>11294</v>
      </c>
      <c r="F185" s="3">
        <v>6</v>
      </c>
      <c r="G185" s="3">
        <v>99410</v>
      </c>
      <c r="H185" s="3" t="s">
        <v>23</v>
      </c>
      <c r="I185" s="3">
        <v>2858</v>
      </c>
      <c r="J185" s="3">
        <v>36</v>
      </c>
      <c r="K185" s="4">
        <v>43866</v>
      </c>
      <c r="L185" s="10">
        <v>403075.63780000003</v>
      </c>
    </row>
    <row r="186" spans="1:12" x14ac:dyDescent="0.3">
      <c r="A186" s="2">
        <v>184</v>
      </c>
      <c r="B186" s="3" t="s">
        <v>55</v>
      </c>
      <c r="C186" s="3" t="s">
        <v>56</v>
      </c>
      <c r="D186" s="3" t="s">
        <v>14</v>
      </c>
      <c r="E186" s="3">
        <v>22475</v>
      </c>
      <c r="F186" s="3">
        <v>5</v>
      </c>
      <c r="G186" s="3">
        <v>91944</v>
      </c>
      <c r="H186" s="3" t="s">
        <v>21</v>
      </c>
      <c r="I186" s="3">
        <v>2586</v>
      </c>
      <c r="J186" s="3">
        <v>94</v>
      </c>
      <c r="K186" s="4">
        <v>45473</v>
      </c>
      <c r="L186" s="10">
        <v>377416.14189999999</v>
      </c>
    </row>
    <row r="187" spans="1:12" x14ac:dyDescent="0.3">
      <c r="A187" s="2">
        <v>185</v>
      </c>
      <c r="B187" s="3" t="s">
        <v>72</v>
      </c>
      <c r="C187" s="3" t="s">
        <v>151</v>
      </c>
      <c r="D187" s="3" t="s">
        <v>14</v>
      </c>
      <c r="E187" s="3">
        <v>1403</v>
      </c>
      <c r="F187" s="3">
        <v>6</v>
      </c>
      <c r="G187" s="3">
        <v>95636</v>
      </c>
      <c r="H187" s="3" t="s">
        <v>21</v>
      </c>
      <c r="I187" s="3">
        <v>1832</v>
      </c>
      <c r="J187" s="3">
        <v>76</v>
      </c>
      <c r="K187" s="4">
        <v>44645</v>
      </c>
      <c r="L187" s="10">
        <v>320540.23540000001</v>
      </c>
    </row>
    <row r="188" spans="1:12" x14ac:dyDescent="0.3">
      <c r="A188" s="2">
        <v>186</v>
      </c>
      <c r="B188" s="3" t="s">
        <v>29</v>
      </c>
      <c r="C188" s="3" t="s">
        <v>135</v>
      </c>
      <c r="D188" s="3" t="s">
        <v>14</v>
      </c>
      <c r="E188" s="3">
        <v>26327</v>
      </c>
      <c r="F188" s="3">
        <v>5</v>
      </c>
      <c r="G188" s="3">
        <v>59432</v>
      </c>
      <c r="H188" s="3" t="s">
        <v>23</v>
      </c>
      <c r="I188" s="3">
        <v>1458</v>
      </c>
      <c r="J188" s="3">
        <v>53</v>
      </c>
      <c r="K188" s="4">
        <v>44890</v>
      </c>
      <c r="L188" s="10">
        <v>319922.82339999999</v>
      </c>
    </row>
    <row r="189" spans="1:12" x14ac:dyDescent="0.3">
      <c r="A189" s="2">
        <v>187</v>
      </c>
      <c r="B189" s="3" t="s">
        <v>29</v>
      </c>
      <c r="C189" s="3" t="s">
        <v>132</v>
      </c>
      <c r="D189" s="3" t="s">
        <v>14</v>
      </c>
      <c r="E189" s="3">
        <v>8372</v>
      </c>
      <c r="F189" s="3">
        <v>0</v>
      </c>
      <c r="G189" s="3">
        <v>94572</v>
      </c>
      <c r="H189" s="3" t="s">
        <v>23</v>
      </c>
      <c r="I189" s="3">
        <v>2675</v>
      </c>
      <c r="J189" s="3">
        <v>97</v>
      </c>
      <c r="K189" s="4">
        <v>44680</v>
      </c>
      <c r="L189" s="10">
        <v>356063.95760000002</v>
      </c>
    </row>
    <row r="190" spans="1:12" x14ac:dyDescent="0.3">
      <c r="A190" s="2">
        <v>188</v>
      </c>
      <c r="B190" s="3" t="s">
        <v>12</v>
      </c>
      <c r="C190" s="3" t="s">
        <v>47</v>
      </c>
      <c r="D190" s="3" t="s">
        <v>14</v>
      </c>
      <c r="E190" s="3">
        <v>17367</v>
      </c>
      <c r="F190" s="3">
        <v>5</v>
      </c>
      <c r="G190" s="3">
        <v>51356</v>
      </c>
      <c r="H190" s="3" t="s">
        <v>15</v>
      </c>
      <c r="I190" s="3">
        <v>2394</v>
      </c>
      <c r="J190" s="3">
        <v>38</v>
      </c>
      <c r="K190" s="4">
        <v>44416</v>
      </c>
      <c r="L190" s="10">
        <v>326244.26209999999</v>
      </c>
    </row>
    <row r="191" spans="1:12" x14ac:dyDescent="0.3">
      <c r="A191" s="2">
        <v>189</v>
      </c>
      <c r="B191" s="3" t="s">
        <v>53</v>
      </c>
      <c r="C191" s="3" t="s">
        <v>152</v>
      </c>
      <c r="D191" s="3" t="s">
        <v>18</v>
      </c>
      <c r="E191" s="3">
        <v>10590</v>
      </c>
      <c r="F191" s="3">
        <v>5</v>
      </c>
      <c r="G191" s="3">
        <v>94206</v>
      </c>
      <c r="H191" s="3" t="s">
        <v>23</v>
      </c>
      <c r="I191" s="3">
        <v>1845</v>
      </c>
      <c r="J191" s="3">
        <v>53</v>
      </c>
      <c r="K191" s="4">
        <v>44726</v>
      </c>
      <c r="L191" s="10">
        <v>354012.88549999997</v>
      </c>
    </row>
    <row r="192" spans="1:12" x14ac:dyDescent="0.3">
      <c r="A192" s="2">
        <v>190</v>
      </c>
      <c r="B192" s="3" t="s">
        <v>24</v>
      </c>
      <c r="C192" s="3" t="s">
        <v>94</v>
      </c>
      <c r="D192" s="3" t="s">
        <v>14</v>
      </c>
      <c r="E192" s="3">
        <v>3505</v>
      </c>
      <c r="F192" s="3">
        <v>7</v>
      </c>
      <c r="G192" s="3">
        <v>81494</v>
      </c>
      <c r="H192" s="3" t="s">
        <v>15</v>
      </c>
      <c r="I192" s="3">
        <v>2515</v>
      </c>
      <c r="J192" s="3">
        <v>53</v>
      </c>
      <c r="K192" s="4">
        <v>45412</v>
      </c>
      <c r="L192" s="10">
        <v>323025.62839999999</v>
      </c>
    </row>
    <row r="193" spans="1:12" x14ac:dyDescent="0.3">
      <c r="A193" s="2">
        <v>191</v>
      </c>
      <c r="B193" s="3" t="s">
        <v>74</v>
      </c>
      <c r="C193" s="3" t="s">
        <v>153</v>
      </c>
      <c r="D193" s="3" t="s">
        <v>14</v>
      </c>
      <c r="E193" s="3">
        <v>2084</v>
      </c>
      <c r="F193" s="3">
        <v>8</v>
      </c>
      <c r="G193" s="3">
        <v>55868</v>
      </c>
      <c r="H193" s="3" t="s">
        <v>15</v>
      </c>
      <c r="I193" s="3">
        <v>1502</v>
      </c>
      <c r="J193" s="3">
        <v>51</v>
      </c>
      <c r="K193" s="4">
        <v>45485</v>
      </c>
      <c r="L193" s="10">
        <v>297205.92420000001</v>
      </c>
    </row>
    <row r="194" spans="1:12" x14ac:dyDescent="0.3">
      <c r="A194" s="2">
        <v>192</v>
      </c>
      <c r="B194" s="3" t="s">
        <v>28</v>
      </c>
      <c r="C194" s="3" t="s">
        <v>102</v>
      </c>
      <c r="D194" s="3" t="s">
        <v>14</v>
      </c>
      <c r="E194" s="3">
        <v>19793</v>
      </c>
      <c r="F194" s="3">
        <v>4</v>
      </c>
      <c r="G194" s="3">
        <v>52635</v>
      </c>
      <c r="H194" s="3" t="s">
        <v>23</v>
      </c>
      <c r="I194" s="3">
        <v>1722</v>
      </c>
      <c r="J194" s="3">
        <v>53</v>
      </c>
      <c r="K194" s="4">
        <v>44537</v>
      </c>
      <c r="L194" s="10">
        <v>331670.19689999998</v>
      </c>
    </row>
    <row r="195" spans="1:12" x14ac:dyDescent="0.3">
      <c r="A195" s="2">
        <v>193</v>
      </c>
      <c r="B195" s="3" t="s">
        <v>31</v>
      </c>
      <c r="C195" s="3" t="s">
        <v>63</v>
      </c>
      <c r="D195" s="3" t="s">
        <v>14</v>
      </c>
      <c r="E195" s="3">
        <v>11868</v>
      </c>
      <c r="F195" s="3">
        <v>2</v>
      </c>
      <c r="G195" s="3">
        <v>79629</v>
      </c>
      <c r="H195" s="3" t="s">
        <v>23</v>
      </c>
      <c r="I195" s="3">
        <v>2267</v>
      </c>
      <c r="J195" s="3">
        <v>31</v>
      </c>
      <c r="K195" s="4">
        <v>44352</v>
      </c>
      <c r="L195" s="10">
        <v>339266.8222</v>
      </c>
    </row>
    <row r="196" spans="1:12" x14ac:dyDescent="0.3">
      <c r="A196" s="2">
        <v>194</v>
      </c>
      <c r="B196" s="3" t="s">
        <v>24</v>
      </c>
      <c r="C196" s="3" t="s">
        <v>154</v>
      </c>
      <c r="D196" s="3" t="s">
        <v>14</v>
      </c>
      <c r="E196" s="3">
        <v>7127</v>
      </c>
      <c r="F196" s="3">
        <v>7</v>
      </c>
      <c r="G196" s="3">
        <v>75074</v>
      </c>
      <c r="H196" s="3" t="s">
        <v>15</v>
      </c>
      <c r="I196" s="3">
        <v>2928</v>
      </c>
      <c r="J196" s="3">
        <v>72</v>
      </c>
      <c r="K196" s="4">
        <v>45422</v>
      </c>
      <c r="L196" s="10">
        <v>347069.5563</v>
      </c>
    </row>
    <row r="197" spans="1:12" x14ac:dyDescent="0.3">
      <c r="A197" s="2">
        <v>195</v>
      </c>
      <c r="B197" s="3" t="s">
        <v>19</v>
      </c>
      <c r="C197" s="3" t="s">
        <v>155</v>
      </c>
      <c r="D197" s="3" t="s">
        <v>14</v>
      </c>
      <c r="E197" s="3">
        <v>3938</v>
      </c>
      <c r="F197" s="3">
        <v>5</v>
      </c>
      <c r="G197" s="3">
        <v>87268</v>
      </c>
      <c r="H197" s="3" t="s">
        <v>21</v>
      </c>
      <c r="I197" s="3">
        <v>1544</v>
      </c>
      <c r="J197" s="3">
        <v>27</v>
      </c>
      <c r="K197" s="4">
        <v>45213</v>
      </c>
      <c r="L197" s="10">
        <v>323583.81849999999</v>
      </c>
    </row>
    <row r="198" spans="1:12" x14ac:dyDescent="0.3">
      <c r="A198" s="2">
        <v>196</v>
      </c>
      <c r="B198" s="3" t="s">
        <v>33</v>
      </c>
      <c r="C198" s="3" t="s">
        <v>91</v>
      </c>
      <c r="D198" s="3" t="s">
        <v>18</v>
      </c>
      <c r="E198" s="3">
        <v>11979</v>
      </c>
      <c r="F198" s="3">
        <v>1</v>
      </c>
      <c r="G198" s="3">
        <v>59532</v>
      </c>
      <c r="H198" s="3" t="s">
        <v>23</v>
      </c>
      <c r="I198" s="3">
        <v>1436</v>
      </c>
      <c r="J198" s="3">
        <v>74</v>
      </c>
      <c r="K198" s="4">
        <v>45019</v>
      </c>
      <c r="L198" s="10">
        <v>382165.11810000002</v>
      </c>
    </row>
    <row r="199" spans="1:12" x14ac:dyDescent="0.3">
      <c r="A199" s="2">
        <v>197</v>
      </c>
      <c r="B199" s="3" t="s">
        <v>26</v>
      </c>
      <c r="C199" s="3" t="s">
        <v>156</v>
      </c>
      <c r="D199" s="3" t="s">
        <v>18</v>
      </c>
      <c r="E199" s="3">
        <v>18342</v>
      </c>
      <c r="F199" s="3">
        <v>8</v>
      </c>
      <c r="G199" s="3">
        <v>96364</v>
      </c>
      <c r="H199" s="3" t="s">
        <v>21</v>
      </c>
      <c r="I199" s="3">
        <v>2365</v>
      </c>
      <c r="J199" s="3">
        <v>47</v>
      </c>
      <c r="K199" s="4">
        <v>44130</v>
      </c>
      <c r="L199" s="10">
        <v>397717.67460000003</v>
      </c>
    </row>
    <row r="200" spans="1:12" x14ac:dyDescent="0.3">
      <c r="A200" s="2">
        <v>198</v>
      </c>
      <c r="B200" s="3" t="s">
        <v>53</v>
      </c>
      <c r="C200" s="3" t="s">
        <v>157</v>
      </c>
      <c r="D200" s="3" t="s">
        <v>18</v>
      </c>
      <c r="E200" s="3">
        <v>7142</v>
      </c>
      <c r="F200" s="3">
        <v>0</v>
      </c>
      <c r="G200" s="3">
        <v>83170</v>
      </c>
      <c r="H200" s="3" t="s">
        <v>21</v>
      </c>
      <c r="I200" s="3">
        <v>1936</v>
      </c>
      <c r="J200" s="3">
        <v>72</v>
      </c>
      <c r="K200" s="4">
        <v>44793</v>
      </c>
      <c r="L200" s="10">
        <v>389213.48839999997</v>
      </c>
    </row>
    <row r="201" spans="1:12" x14ac:dyDescent="0.3">
      <c r="A201" s="2">
        <v>199</v>
      </c>
      <c r="B201" s="3" t="s">
        <v>72</v>
      </c>
      <c r="C201" s="3" t="s">
        <v>158</v>
      </c>
      <c r="D201" s="3" t="s">
        <v>18</v>
      </c>
      <c r="E201" s="3">
        <v>23729</v>
      </c>
      <c r="F201" s="3">
        <v>9</v>
      </c>
      <c r="G201" s="3">
        <v>75159</v>
      </c>
      <c r="H201" s="3" t="s">
        <v>15</v>
      </c>
      <c r="I201" s="3">
        <v>1181</v>
      </c>
      <c r="J201" s="3">
        <v>34</v>
      </c>
      <c r="K201" s="4">
        <v>45259</v>
      </c>
      <c r="L201" s="10">
        <v>352110.3689</v>
      </c>
    </row>
    <row r="202" spans="1:12" x14ac:dyDescent="0.3">
      <c r="A202" s="2">
        <v>200</v>
      </c>
      <c r="B202" s="3" t="s">
        <v>26</v>
      </c>
      <c r="C202" s="3" t="s">
        <v>159</v>
      </c>
      <c r="D202" s="3" t="s">
        <v>18</v>
      </c>
      <c r="E202" s="3">
        <v>2318</v>
      </c>
      <c r="F202" s="3">
        <v>7</v>
      </c>
      <c r="G202" s="3">
        <v>91950</v>
      </c>
      <c r="H202" s="3" t="s">
        <v>15</v>
      </c>
      <c r="I202" s="3">
        <v>2964</v>
      </c>
      <c r="J202" s="3">
        <v>86</v>
      </c>
      <c r="K202" s="4">
        <v>44550</v>
      </c>
      <c r="L202" s="10">
        <v>373265.97899999999</v>
      </c>
    </row>
    <row r="203" spans="1:12" x14ac:dyDescent="0.3">
      <c r="A203" s="2">
        <v>201</v>
      </c>
      <c r="B203" s="3" t="s">
        <v>40</v>
      </c>
      <c r="C203" s="3" t="s">
        <v>42</v>
      </c>
      <c r="D203" s="3" t="s">
        <v>14</v>
      </c>
      <c r="E203" s="3">
        <v>29556</v>
      </c>
      <c r="F203" s="3">
        <v>3</v>
      </c>
      <c r="G203" s="3">
        <v>59084</v>
      </c>
      <c r="H203" s="3" t="s">
        <v>23</v>
      </c>
      <c r="I203" s="3">
        <v>2525</v>
      </c>
      <c r="J203" s="3">
        <v>68</v>
      </c>
      <c r="K203" s="4">
        <v>44580</v>
      </c>
      <c r="L203" s="10">
        <v>348555.10690000001</v>
      </c>
    </row>
    <row r="204" spans="1:12" x14ac:dyDescent="0.3">
      <c r="A204" s="2">
        <v>202</v>
      </c>
      <c r="B204" s="3" t="s">
        <v>55</v>
      </c>
      <c r="C204" s="3" t="s">
        <v>148</v>
      </c>
      <c r="D204" s="3" t="s">
        <v>18</v>
      </c>
      <c r="E204" s="3">
        <v>13644</v>
      </c>
      <c r="F204" s="3">
        <v>0</v>
      </c>
      <c r="G204" s="3">
        <v>86147</v>
      </c>
      <c r="H204" s="3" t="s">
        <v>23</v>
      </c>
      <c r="I204" s="3">
        <v>1675</v>
      </c>
      <c r="J204" s="3">
        <v>43</v>
      </c>
      <c r="K204" s="4">
        <v>45480</v>
      </c>
      <c r="L204" s="10">
        <v>384646.14539999998</v>
      </c>
    </row>
    <row r="205" spans="1:12" x14ac:dyDescent="0.3">
      <c r="A205" s="2">
        <v>203</v>
      </c>
      <c r="B205" s="3" t="s">
        <v>53</v>
      </c>
      <c r="C205" s="3" t="s">
        <v>157</v>
      </c>
      <c r="D205" s="3" t="s">
        <v>14</v>
      </c>
      <c r="E205" s="3">
        <v>13496</v>
      </c>
      <c r="F205" s="3">
        <v>4</v>
      </c>
      <c r="G205" s="3">
        <v>95903</v>
      </c>
      <c r="H205" s="3" t="s">
        <v>15</v>
      </c>
      <c r="I205" s="3">
        <v>2041</v>
      </c>
      <c r="J205" s="3">
        <v>94</v>
      </c>
      <c r="K205" s="4">
        <v>44765</v>
      </c>
      <c r="L205" s="10">
        <v>323746.65470000001</v>
      </c>
    </row>
    <row r="206" spans="1:12" x14ac:dyDescent="0.3">
      <c r="A206" s="2">
        <v>204</v>
      </c>
      <c r="B206" s="3" t="s">
        <v>72</v>
      </c>
      <c r="C206" s="3" t="s">
        <v>160</v>
      </c>
      <c r="D206" s="3" t="s">
        <v>18</v>
      </c>
      <c r="E206" s="3">
        <v>18816</v>
      </c>
      <c r="F206" s="3">
        <v>2</v>
      </c>
      <c r="G206" s="3">
        <v>80093</v>
      </c>
      <c r="H206" s="3" t="s">
        <v>23</v>
      </c>
      <c r="I206" s="3">
        <v>2713</v>
      </c>
      <c r="J206" s="3">
        <v>71</v>
      </c>
      <c r="K206" s="4">
        <v>44565</v>
      </c>
      <c r="L206" s="10">
        <v>393955.61259999999</v>
      </c>
    </row>
    <row r="207" spans="1:12" x14ac:dyDescent="0.3">
      <c r="A207" s="2">
        <v>205</v>
      </c>
      <c r="B207" s="3" t="s">
        <v>108</v>
      </c>
      <c r="C207" s="3" t="s">
        <v>161</v>
      </c>
      <c r="D207" s="3" t="s">
        <v>14</v>
      </c>
      <c r="E207" s="3">
        <v>24974</v>
      </c>
      <c r="F207" s="3">
        <v>7</v>
      </c>
      <c r="G207" s="3">
        <v>98522</v>
      </c>
      <c r="H207" s="3" t="s">
        <v>21</v>
      </c>
      <c r="I207" s="3">
        <v>2709</v>
      </c>
      <c r="J207" s="3">
        <v>76</v>
      </c>
      <c r="K207" s="4">
        <v>45156</v>
      </c>
      <c r="L207" s="10">
        <v>358947.62670000002</v>
      </c>
    </row>
    <row r="208" spans="1:12" x14ac:dyDescent="0.3">
      <c r="A208" s="2">
        <v>206</v>
      </c>
      <c r="B208" s="3" t="s">
        <v>57</v>
      </c>
      <c r="C208" s="3" t="s">
        <v>162</v>
      </c>
      <c r="D208" s="3" t="s">
        <v>18</v>
      </c>
      <c r="E208" s="3">
        <v>22893</v>
      </c>
      <c r="F208" s="3">
        <v>4</v>
      </c>
      <c r="G208" s="3">
        <v>88306</v>
      </c>
      <c r="H208" s="3" t="s">
        <v>23</v>
      </c>
      <c r="I208" s="3">
        <v>2768</v>
      </c>
      <c r="J208" s="3">
        <v>71</v>
      </c>
      <c r="K208" s="4">
        <v>44394</v>
      </c>
      <c r="L208" s="10">
        <v>413696.47450000001</v>
      </c>
    </row>
    <row r="209" spans="1:12" x14ac:dyDescent="0.3">
      <c r="A209" s="2">
        <v>207</v>
      </c>
      <c r="B209" s="3" t="s">
        <v>74</v>
      </c>
      <c r="C209" s="3" t="s">
        <v>163</v>
      </c>
      <c r="D209" s="3" t="s">
        <v>14</v>
      </c>
      <c r="E209" s="3">
        <v>22330</v>
      </c>
      <c r="F209" s="3">
        <v>1</v>
      </c>
      <c r="G209" s="3">
        <v>81803</v>
      </c>
      <c r="H209" s="3" t="s">
        <v>15</v>
      </c>
      <c r="I209" s="3">
        <v>1367</v>
      </c>
      <c r="J209" s="3">
        <v>65</v>
      </c>
      <c r="K209" s="4">
        <v>44309</v>
      </c>
      <c r="L209" s="10">
        <v>300808.07809999998</v>
      </c>
    </row>
    <row r="210" spans="1:12" x14ac:dyDescent="0.3">
      <c r="A210" s="2">
        <v>208</v>
      </c>
      <c r="B210" s="3" t="s">
        <v>33</v>
      </c>
      <c r="C210" s="3" t="s">
        <v>34</v>
      </c>
      <c r="D210" s="3" t="s">
        <v>18</v>
      </c>
      <c r="E210" s="3">
        <v>28781</v>
      </c>
      <c r="F210" s="3">
        <v>6</v>
      </c>
      <c r="G210" s="3">
        <v>54553</v>
      </c>
      <c r="H210" s="3" t="s">
        <v>21</v>
      </c>
      <c r="I210" s="3">
        <v>1837</v>
      </c>
      <c r="J210" s="3">
        <v>71</v>
      </c>
      <c r="K210" s="4">
        <v>45324</v>
      </c>
      <c r="L210" s="10">
        <v>380110.6556</v>
      </c>
    </row>
    <row r="211" spans="1:12" x14ac:dyDescent="0.3">
      <c r="A211" s="2">
        <v>209</v>
      </c>
      <c r="B211" s="3" t="s">
        <v>72</v>
      </c>
      <c r="C211" s="3" t="s">
        <v>96</v>
      </c>
      <c r="D211" s="3" t="s">
        <v>14</v>
      </c>
      <c r="E211" s="3">
        <v>15671</v>
      </c>
      <c r="F211" s="3">
        <v>7</v>
      </c>
      <c r="G211" s="3">
        <v>78781</v>
      </c>
      <c r="H211" s="3" t="s">
        <v>15</v>
      </c>
      <c r="I211" s="3">
        <v>2301</v>
      </c>
      <c r="J211" s="3">
        <v>53</v>
      </c>
      <c r="K211" s="4">
        <v>44252</v>
      </c>
      <c r="L211" s="10">
        <v>335194.10989999998</v>
      </c>
    </row>
    <row r="212" spans="1:12" x14ac:dyDescent="0.3">
      <c r="A212" s="2">
        <v>210</v>
      </c>
      <c r="B212" s="3" t="s">
        <v>33</v>
      </c>
      <c r="C212" s="3" t="s">
        <v>80</v>
      </c>
      <c r="D212" s="3" t="s">
        <v>18</v>
      </c>
      <c r="E212" s="3">
        <v>13994</v>
      </c>
      <c r="F212" s="3">
        <v>6</v>
      </c>
      <c r="G212" s="3">
        <v>87476</v>
      </c>
      <c r="H212" s="3" t="s">
        <v>21</v>
      </c>
      <c r="I212" s="3">
        <v>1559</v>
      </c>
      <c r="J212" s="3">
        <v>27</v>
      </c>
      <c r="K212" s="4">
        <v>45016</v>
      </c>
      <c r="L212" s="10">
        <v>375589.5097</v>
      </c>
    </row>
    <row r="213" spans="1:12" x14ac:dyDescent="0.3">
      <c r="A213" s="2">
        <v>211</v>
      </c>
      <c r="B213" s="3" t="s">
        <v>29</v>
      </c>
      <c r="C213" s="3" t="s">
        <v>164</v>
      </c>
      <c r="D213" s="3" t="s">
        <v>18</v>
      </c>
      <c r="E213" s="3">
        <v>26470</v>
      </c>
      <c r="F213" s="3">
        <v>9</v>
      </c>
      <c r="G213" s="3">
        <v>51102</v>
      </c>
      <c r="H213" s="3" t="s">
        <v>15</v>
      </c>
      <c r="I213" s="3">
        <v>2399</v>
      </c>
      <c r="J213" s="3">
        <v>40</v>
      </c>
      <c r="K213" s="4">
        <v>45455</v>
      </c>
      <c r="L213" s="10">
        <v>371157.01980000001</v>
      </c>
    </row>
    <row r="214" spans="1:12" x14ac:dyDescent="0.3">
      <c r="A214" s="2">
        <v>212</v>
      </c>
      <c r="B214" s="3" t="s">
        <v>40</v>
      </c>
      <c r="C214" s="3" t="s">
        <v>71</v>
      </c>
      <c r="D214" s="3" t="s">
        <v>18</v>
      </c>
      <c r="E214" s="3">
        <v>21057</v>
      </c>
      <c r="F214" s="3">
        <v>6</v>
      </c>
      <c r="G214" s="3">
        <v>98011</v>
      </c>
      <c r="H214" s="3" t="s">
        <v>23</v>
      </c>
      <c r="I214" s="3">
        <v>1102</v>
      </c>
      <c r="J214" s="3">
        <v>69</v>
      </c>
      <c r="K214" s="4">
        <v>44209</v>
      </c>
      <c r="L214" s="10">
        <v>377693.12729999999</v>
      </c>
    </row>
    <row r="215" spans="1:12" x14ac:dyDescent="0.3">
      <c r="A215" s="2">
        <v>213</v>
      </c>
      <c r="B215" s="3" t="s">
        <v>12</v>
      </c>
      <c r="C215" s="3" t="s">
        <v>76</v>
      </c>
      <c r="D215" s="3" t="s">
        <v>18</v>
      </c>
      <c r="E215" s="3">
        <v>5666</v>
      </c>
      <c r="F215" s="3">
        <v>1</v>
      </c>
      <c r="G215" s="3">
        <v>95633</v>
      </c>
      <c r="H215" s="3" t="s">
        <v>23</v>
      </c>
      <c r="I215" s="3">
        <v>1082</v>
      </c>
      <c r="J215" s="3">
        <v>28</v>
      </c>
      <c r="K215" s="4">
        <v>44867</v>
      </c>
      <c r="L215" s="10">
        <v>355204.64</v>
      </c>
    </row>
    <row r="216" spans="1:12" x14ac:dyDescent="0.3">
      <c r="A216" s="2">
        <v>214</v>
      </c>
      <c r="B216" s="3" t="s">
        <v>31</v>
      </c>
      <c r="C216" s="3" t="s">
        <v>146</v>
      </c>
      <c r="D216" s="3" t="s">
        <v>18</v>
      </c>
      <c r="E216" s="3">
        <v>27657</v>
      </c>
      <c r="F216" s="3">
        <v>8</v>
      </c>
      <c r="G216" s="3">
        <v>71031</v>
      </c>
      <c r="H216" s="3" t="s">
        <v>23</v>
      </c>
      <c r="I216" s="3">
        <v>2396</v>
      </c>
      <c r="J216" s="3">
        <v>32</v>
      </c>
      <c r="K216" s="4">
        <v>44400</v>
      </c>
      <c r="L216" s="10">
        <v>382333.63410000002</v>
      </c>
    </row>
    <row r="217" spans="1:12" x14ac:dyDescent="0.3">
      <c r="A217" s="2">
        <v>215</v>
      </c>
      <c r="B217" s="3" t="s">
        <v>37</v>
      </c>
      <c r="C217" s="3" t="s">
        <v>38</v>
      </c>
      <c r="D217" s="3" t="s">
        <v>18</v>
      </c>
      <c r="E217" s="3">
        <v>24602</v>
      </c>
      <c r="F217" s="3">
        <v>0</v>
      </c>
      <c r="G217" s="3">
        <v>71501</v>
      </c>
      <c r="H217" s="3" t="s">
        <v>15</v>
      </c>
      <c r="I217" s="3">
        <v>1547</v>
      </c>
      <c r="J217" s="3">
        <v>50</v>
      </c>
      <c r="K217" s="4">
        <v>45214</v>
      </c>
      <c r="L217" s="10">
        <v>344648.44130000001</v>
      </c>
    </row>
    <row r="218" spans="1:12" x14ac:dyDescent="0.3">
      <c r="A218" s="2">
        <v>216</v>
      </c>
      <c r="B218" s="3" t="s">
        <v>55</v>
      </c>
      <c r="C218" s="3" t="s">
        <v>67</v>
      </c>
      <c r="D218" s="3" t="s">
        <v>14</v>
      </c>
      <c r="E218" s="3">
        <v>27549</v>
      </c>
      <c r="F218" s="3">
        <v>3</v>
      </c>
      <c r="G218" s="3">
        <v>63141</v>
      </c>
      <c r="H218" s="3" t="s">
        <v>23</v>
      </c>
      <c r="I218" s="3">
        <v>1040</v>
      </c>
      <c r="J218" s="3">
        <v>55</v>
      </c>
      <c r="K218" s="4">
        <v>45097</v>
      </c>
      <c r="L218" s="10">
        <v>312437.48210000002</v>
      </c>
    </row>
    <row r="219" spans="1:12" x14ac:dyDescent="0.3">
      <c r="A219" s="2">
        <v>217</v>
      </c>
      <c r="B219" s="3" t="s">
        <v>28</v>
      </c>
      <c r="C219" s="3" t="s">
        <v>46</v>
      </c>
      <c r="D219" s="3" t="s">
        <v>18</v>
      </c>
      <c r="E219" s="3">
        <v>16637</v>
      </c>
      <c r="F219" s="3">
        <v>5</v>
      </c>
      <c r="G219" s="3">
        <v>50695</v>
      </c>
      <c r="H219" s="3" t="s">
        <v>15</v>
      </c>
      <c r="I219" s="3">
        <v>2989</v>
      </c>
      <c r="J219" s="3">
        <v>32</v>
      </c>
      <c r="K219" s="4">
        <v>44074</v>
      </c>
      <c r="L219" s="10">
        <v>369807.45360000001</v>
      </c>
    </row>
    <row r="220" spans="1:12" x14ac:dyDescent="0.3">
      <c r="A220" s="2">
        <v>218</v>
      </c>
      <c r="B220" s="3" t="s">
        <v>108</v>
      </c>
      <c r="C220" s="3" t="s">
        <v>117</v>
      </c>
      <c r="D220" s="3" t="s">
        <v>18</v>
      </c>
      <c r="E220" s="3">
        <v>13798</v>
      </c>
      <c r="F220" s="3">
        <v>3</v>
      </c>
      <c r="G220" s="3">
        <v>78668</v>
      </c>
      <c r="H220" s="3" t="s">
        <v>15</v>
      </c>
      <c r="I220" s="3">
        <v>2783</v>
      </c>
      <c r="J220" s="3">
        <v>92</v>
      </c>
      <c r="K220" s="4">
        <v>44262</v>
      </c>
      <c r="L220" s="10">
        <v>385515.95240000001</v>
      </c>
    </row>
    <row r="221" spans="1:12" x14ac:dyDescent="0.3">
      <c r="A221" s="2">
        <v>219</v>
      </c>
      <c r="B221" s="3" t="s">
        <v>24</v>
      </c>
      <c r="C221" s="3" t="s">
        <v>77</v>
      </c>
      <c r="D221" s="3" t="s">
        <v>18</v>
      </c>
      <c r="E221" s="3">
        <v>21792</v>
      </c>
      <c r="F221" s="3">
        <v>8</v>
      </c>
      <c r="G221" s="3">
        <v>98423</v>
      </c>
      <c r="H221" s="3" t="s">
        <v>23</v>
      </c>
      <c r="I221" s="3">
        <v>1445</v>
      </c>
      <c r="J221" s="3">
        <v>29</v>
      </c>
      <c r="K221" s="4">
        <v>44081</v>
      </c>
      <c r="L221" s="10">
        <v>375817.6018</v>
      </c>
    </row>
    <row r="222" spans="1:12" x14ac:dyDescent="0.3">
      <c r="A222" s="2">
        <v>220</v>
      </c>
      <c r="B222" s="3" t="s">
        <v>35</v>
      </c>
      <c r="C222" s="3" t="s">
        <v>62</v>
      </c>
      <c r="D222" s="3" t="s">
        <v>18</v>
      </c>
      <c r="E222" s="3">
        <v>16589</v>
      </c>
      <c r="F222" s="3">
        <v>4</v>
      </c>
      <c r="G222" s="3">
        <v>79687</v>
      </c>
      <c r="H222" s="3" t="s">
        <v>21</v>
      </c>
      <c r="I222" s="3">
        <v>1326</v>
      </c>
      <c r="J222" s="3">
        <v>33</v>
      </c>
      <c r="K222" s="4">
        <v>44280</v>
      </c>
      <c r="L222" s="10">
        <v>386563.65120000002</v>
      </c>
    </row>
    <row r="223" spans="1:12" x14ac:dyDescent="0.3">
      <c r="A223" s="2">
        <v>221</v>
      </c>
      <c r="B223" s="3" t="s">
        <v>26</v>
      </c>
      <c r="C223" s="3" t="s">
        <v>48</v>
      </c>
      <c r="D223" s="3" t="s">
        <v>18</v>
      </c>
      <c r="E223" s="3">
        <v>9297</v>
      </c>
      <c r="F223" s="3">
        <v>0</v>
      </c>
      <c r="G223" s="3">
        <v>97703</v>
      </c>
      <c r="H223" s="3" t="s">
        <v>15</v>
      </c>
      <c r="I223" s="3">
        <v>2264</v>
      </c>
      <c r="J223" s="3">
        <v>45</v>
      </c>
      <c r="K223" s="4">
        <v>44634</v>
      </c>
      <c r="L223" s="10">
        <v>395258.93939999997</v>
      </c>
    </row>
    <row r="224" spans="1:12" x14ac:dyDescent="0.3">
      <c r="A224" s="2">
        <v>222</v>
      </c>
      <c r="B224" s="3" t="s">
        <v>19</v>
      </c>
      <c r="C224" s="3" t="s">
        <v>130</v>
      </c>
      <c r="D224" s="3" t="s">
        <v>14</v>
      </c>
      <c r="E224" s="3">
        <v>13763</v>
      </c>
      <c r="F224" s="3">
        <v>2</v>
      </c>
      <c r="G224" s="3">
        <v>56408</v>
      </c>
      <c r="H224" s="3" t="s">
        <v>15</v>
      </c>
      <c r="I224" s="3">
        <v>1472</v>
      </c>
      <c r="J224" s="3">
        <v>69</v>
      </c>
      <c r="K224" s="4">
        <v>44359</v>
      </c>
      <c r="L224" s="10">
        <v>295783.04310000001</v>
      </c>
    </row>
    <row r="225" spans="1:12" x14ac:dyDescent="0.3">
      <c r="A225" s="2">
        <v>223</v>
      </c>
      <c r="B225" s="3" t="s">
        <v>31</v>
      </c>
      <c r="C225" s="3" t="s">
        <v>165</v>
      </c>
      <c r="D225" s="3" t="s">
        <v>18</v>
      </c>
      <c r="E225" s="3">
        <v>12272</v>
      </c>
      <c r="F225" s="3">
        <v>4</v>
      </c>
      <c r="G225" s="3">
        <v>77136</v>
      </c>
      <c r="H225" s="3" t="s">
        <v>23</v>
      </c>
      <c r="I225" s="3">
        <v>1161</v>
      </c>
      <c r="J225" s="3">
        <v>97</v>
      </c>
      <c r="K225" s="4">
        <v>44809</v>
      </c>
      <c r="L225" s="10">
        <v>400407.25400000002</v>
      </c>
    </row>
    <row r="226" spans="1:12" x14ac:dyDescent="0.3">
      <c r="A226" s="2">
        <v>224</v>
      </c>
      <c r="B226" s="3" t="s">
        <v>37</v>
      </c>
      <c r="C226" s="3" t="s">
        <v>166</v>
      </c>
      <c r="D226" s="3" t="s">
        <v>14</v>
      </c>
      <c r="E226" s="3">
        <v>7819</v>
      </c>
      <c r="F226" s="3">
        <v>4</v>
      </c>
      <c r="G226" s="3">
        <v>79586</v>
      </c>
      <c r="H226" s="3" t="s">
        <v>23</v>
      </c>
      <c r="I226" s="3">
        <v>1197</v>
      </c>
      <c r="J226" s="3">
        <v>49</v>
      </c>
      <c r="K226" s="4">
        <v>45035</v>
      </c>
      <c r="L226" s="10">
        <v>316642.15500000003</v>
      </c>
    </row>
    <row r="227" spans="1:12" x14ac:dyDescent="0.3">
      <c r="A227" s="2">
        <v>225</v>
      </c>
      <c r="B227" s="3" t="s">
        <v>74</v>
      </c>
      <c r="C227" s="3" t="s">
        <v>113</v>
      </c>
      <c r="D227" s="3" t="s">
        <v>14</v>
      </c>
      <c r="E227" s="3">
        <v>3670</v>
      </c>
      <c r="F227" s="3">
        <v>1</v>
      </c>
      <c r="G227" s="3">
        <v>96581</v>
      </c>
      <c r="H227" s="3" t="s">
        <v>21</v>
      </c>
      <c r="I227" s="3">
        <v>2969</v>
      </c>
      <c r="J227" s="3">
        <v>92</v>
      </c>
      <c r="K227" s="4">
        <v>45543</v>
      </c>
      <c r="L227" s="10">
        <v>376969.51040000003</v>
      </c>
    </row>
    <row r="228" spans="1:12" x14ac:dyDescent="0.3">
      <c r="A228" s="2">
        <v>226</v>
      </c>
      <c r="B228" s="3" t="s">
        <v>74</v>
      </c>
      <c r="C228" s="3" t="s">
        <v>163</v>
      </c>
      <c r="D228" s="3" t="s">
        <v>14</v>
      </c>
      <c r="E228" s="3">
        <v>16476</v>
      </c>
      <c r="F228" s="3">
        <v>5</v>
      </c>
      <c r="G228" s="3">
        <v>70586</v>
      </c>
      <c r="H228" s="3" t="s">
        <v>21</v>
      </c>
      <c r="I228" s="3">
        <v>2692</v>
      </c>
      <c r="J228" s="3">
        <v>97</v>
      </c>
      <c r="K228" s="4">
        <v>44275</v>
      </c>
      <c r="L228" s="10">
        <v>342924.2867</v>
      </c>
    </row>
    <row r="229" spans="1:12" x14ac:dyDescent="0.3">
      <c r="A229" s="2">
        <v>227</v>
      </c>
      <c r="B229" s="3" t="s">
        <v>35</v>
      </c>
      <c r="C229" s="3" t="s">
        <v>139</v>
      </c>
      <c r="D229" s="3" t="s">
        <v>18</v>
      </c>
      <c r="E229" s="3">
        <v>9132</v>
      </c>
      <c r="F229" s="3">
        <v>3</v>
      </c>
      <c r="G229" s="3">
        <v>96329</v>
      </c>
      <c r="H229" s="3" t="s">
        <v>21</v>
      </c>
      <c r="I229" s="3">
        <v>2473</v>
      </c>
      <c r="J229" s="3">
        <v>67</v>
      </c>
      <c r="K229" s="4">
        <v>45291</v>
      </c>
      <c r="L229" s="10">
        <v>392126.56699999998</v>
      </c>
    </row>
    <row r="230" spans="1:12" x14ac:dyDescent="0.3">
      <c r="A230" s="2">
        <v>228</v>
      </c>
      <c r="B230" s="3" t="s">
        <v>72</v>
      </c>
      <c r="C230" s="3" t="s">
        <v>167</v>
      </c>
      <c r="D230" s="3" t="s">
        <v>18</v>
      </c>
      <c r="E230" s="3">
        <v>7620</v>
      </c>
      <c r="F230" s="3">
        <v>9</v>
      </c>
      <c r="G230" s="3">
        <v>76567</v>
      </c>
      <c r="H230" s="3" t="s">
        <v>15</v>
      </c>
      <c r="I230" s="3">
        <v>1831</v>
      </c>
      <c r="J230" s="3">
        <v>94</v>
      </c>
      <c r="K230" s="4">
        <v>43929</v>
      </c>
      <c r="L230" s="10">
        <v>342151.85969999997</v>
      </c>
    </row>
    <row r="231" spans="1:12" x14ac:dyDescent="0.3">
      <c r="A231" s="2">
        <v>229</v>
      </c>
      <c r="B231" s="3" t="s">
        <v>33</v>
      </c>
      <c r="C231" s="3" t="s">
        <v>80</v>
      </c>
      <c r="D231" s="3" t="s">
        <v>18</v>
      </c>
      <c r="E231" s="3">
        <v>4920</v>
      </c>
      <c r="F231" s="3">
        <v>7</v>
      </c>
      <c r="G231" s="3">
        <v>74050</v>
      </c>
      <c r="H231" s="3" t="s">
        <v>21</v>
      </c>
      <c r="I231" s="3">
        <v>2119</v>
      </c>
      <c r="J231" s="3">
        <v>68</v>
      </c>
      <c r="K231" s="4">
        <v>44727</v>
      </c>
      <c r="L231" s="10">
        <v>392393.93589999998</v>
      </c>
    </row>
    <row r="232" spans="1:12" x14ac:dyDescent="0.3">
      <c r="A232" s="2">
        <v>230</v>
      </c>
      <c r="B232" s="3" t="s">
        <v>37</v>
      </c>
      <c r="C232" s="3" t="s">
        <v>118</v>
      </c>
      <c r="D232" s="3" t="s">
        <v>14</v>
      </c>
      <c r="E232" s="3">
        <v>3349</v>
      </c>
      <c r="F232" s="3">
        <v>3</v>
      </c>
      <c r="G232" s="3">
        <v>74857</v>
      </c>
      <c r="H232" s="3" t="s">
        <v>21</v>
      </c>
      <c r="I232" s="3">
        <v>2519</v>
      </c>
      <c r="J232" s="3">
        <v>22</v>
      </c>
      <c r="K232" s="4">
        <v>44043</v>
      </c>
      <c r="L232" s="10">
        <v>334609.76980000001</v>
      </c>
    </row>
    <row r="233" spans="1:12" x14ac:dyDescent="0.3">
      <c r="A233" s="2">
        <v>231</v>
      </c>
      <c r="B233" s="3" t="s">
        <v>57</v>
      </c>
      <c r="C233" s="3" t="s">
        <v>168</v>
      </c>
      <c r="D233" s="3" t="s">
        <v>18</v>
      </c>
      <c r="E233" s="3">
        <v>16168</v>
      </c>
      <c r="F233" s="3">
        <v>9</v>
      </c>
      <c r="G233" s="3">
        <v>71263</v>
      </c>
      <c r="H233" s="3" t="s">
        <v>23</v>
      </c>
      <c r="I233" s="3">
        <v>1430</v>
      </c>
      <c r="J233" s="3">
        <v>64</v>
      </c>
      <c r="K233" s="4">
        <v>44763</v>
      </c>
      <c r="L233" s="10">
        <v>354374.20850000001</v>
      </c>
    </row>
    <row r="234" spans="1:12" x14ac:dyDescent="0.3">
      <c r="A234" s="2">
        <v>232</v>
      </c>
      <c r="B234" s="3" t="s">
        <v>55</v>
      </c>
      <c r="C234" s="3" t="s">
        <v>169</v>
      </c>
      <c r="D234" s="3" t="s">
        <v>14</v>
      </c>
      <c r="E234" s="3">
        <v>2269</v>
      </c>
      <c r="F234" s="3">
        <v>6</v>
      </c>
      <c r="G234" s="3">
        <v>70207</v>
      </c>
      <c r="H234" s="3" t="s">
        <v>23</v>
      </c>
      <c r="I234" s="3">
        <v>2081</v>
      </c>
      <c r="J234" s="3">
        <v>72</v>
      </c>
      <c r="K234" s="4">
        <v>44794</v>
      </c>
      <c r="L234" s="10">
        <v>317956.70110000001</v>
      </c>
    </row>
    <row r="235" spans="1:12" x14ac:dyDescent="0.3">
      <c r="A235" s="2">
        <v>233</v>
      </c>
      <c r="B235" s="3" t="s">
        <v>74</v>
      </c>
      <c r="C235" s="3" t="s">
        <v>106</v>
      </c>
      <c r="D235" s="3" t="s">
        <v>18</v>
      </c>
      <c r="E235" s="3">
        <v>3395</v>
      </c>
      <c r="F235" s="3">
        <v>0</v>
      </c>
      <c r="G235" s="3">
        <v>94320</v>
      </c>
      <c r="H235" s="3" t="s">
        <v>21</v>
      </c>
      <c r="I235" s="3">
        <v>2477</v>
      </c>
      <c r="J235" s="3">
        <v>96</v>
      </c>
      <c r="K235" s="4">
        <v>44874</v>
      </c>
      <c r="L235" s="10">
        <v>425582.92729999998</v>
      </c>
    </row>
    <row r="236" spans="1:12" x14ac:dyDescent="0.3">
      <c r="A236" s="2">
        <v>234</v>
      </c>
      <c r="B236" s="3" t="s">
        <v>31</v>
      </c>
      <c r="C236" s="3" t="s">
        <v>170</v>
      </c>
      <c r="D236" s="3" t="s">
        <v>14</v>
      </c>
      <c r="E236" s="3">
        <v>20853</v>
      </c>
      <c r="F236" s="3">
        <v>3</v>
      </c>
      <c r="G236" s="3">
        <v>71767</v>
      </c>
      <c r="H236" s="3" t="s">
        <v>15</v>
      </c>
      <c r="I236" s="3">
        <v>2526</v>
      </c>
      <c r="J236" s="3">
        <v>80</v>
      </c>
      <c r="K236" s="4">
        <v>44137</v>
      </c>
      <c r="L236" s="10">
        <v>333805.2892</v>
      </c>
    </row>
    <row r="237" spans="1:12" x14ac:dyDescent="0.3">
      <c r="A237" s="2">
        <v>235</v>
      </c>
      <c r="B237" s="3" t="s">
        <v>16</v>
      </c>
      <c r="C237" s="3" t="s">
        <v>171</v>
      </c>
      <c r="D237" s="3" t="s">
        <v>18</v>
      </c>
      <c r="E237" s="3">
        <v>15750</v>
      </c>
      <c r="F237" s="3">
        <v>4</v>
      </c>
      <c r="G237" s="3">
        <v>82136</v>
      </c>
      <c r="H237" s="3" t="s">
        <v>23</v>
      </c>
      <c r="I237" s="3">
        <v>2522</v>
      </c>
      <c r="J237" s="3">
        <v>51</v>
      </c>
      <c r="K237" s="4">
        <v>43958</v>
      </c>
      <c r="L237" s="10">
        <v>407400.5147</v>
      </c>
    </row>
    <row r="238" spans="1:12" x14ac:dyDescent="0.3">
      <c r="A238" s="2">
        <v>236</v>
      </c>
      <c r="B238" s="3" t="s">
        <v>19</v>
      </c>
      <c r="C238" s="3" t="s">
        <v>60</v>
      </c>
      <c r="D238" s="3" t="s">
        <v>18</v>
      </c>
      <c r="E238" s="3">
        <v>27705</v>
      </c>
      <c r="F238" s="3">
        <v>6</v>
      </c>
      <c r="G238" s="3">
        <v>64572</v>
      </c>
      <c r="H238" s="3" t="s">
        <v>21</v>
      </c>
      <c r="I238" s="3">
        <v>2758</v>
      </c>
      <c r="J238" s="3">
        <v>69</v>
      </c>
      <c r="K238" s="4">
        <v>44022</v>
      </c>
      <c r="L238" s="10">
        <v>420052.25939999998</v>
      </c>
    </row>
    <row r="239" spans="1:12" x14ac:dyDescent="0.3">
      <c r="A239" s="2">
        <v>237</v>
      </c>
      <c r="B239" s="3" t="s">
        <v>31</v>
      </c>
      <c r="C239" s="3" t="s">
        <v>63</v>
      </c>
      <c r="D239" s="3" t="s">
        <v>14</v>
      </c>
      <c r="E239" s="3">
        <v>3737</v>
      </c>
      <c r="F239" s="3">
        <v>4</v>
      </c>
      <c r="G239" s="3">
        <v>56452</v>
      </c>
      <c r="H239" s="3" t="s">
        <v>21</v>
      </c>
      <c r="I239" s="3">
        <v>1680</v>
      </c>
      <c r="J239" s="3">
        <v>71</v>
      </c>
      <c r="K239" s="4">
        <v>44201</v>
      </c>
      <c r="L239" s="10">
        <v>321760.16190000001</v>
      </c>
    </row>
    <row r="240" spans="1:12" x14ac:dyDescent="0.3">
      <c r="A240" s="2">
        <v>238</v>
      </c>
      <c r="B240" s="3" t="s">
        <v>31</v>
      </c>
      <c r="C240" s="3" t="s">
        <v>172</v>
      </c>
      <c r="D240" s="3" t="s">
        <v>18</v>
      </c>
      <c r="E240" s="3">
        <v>6771</v>
      </c>
      <c r="F240" s="3">
        <v>8</v>
      </c>
      <c r="G240" s="3">
        <v>62306</v>
      </c>
      <c r="H240" s="3" t="s">
        <v>21</v>
      </c>
      <c r="I240" s="3">
        <v>1900</v>
      </c>
      <c r="J240" s="3">
        <v>89</v>
      </c>
      <c r="K240" s="4">
        <v>44045</v>
      </c>
      <c r="L240" s="10">
        <v>391773.67619999999</v>
      </c>
    </row>
    <row r="241" spans="1:12" x14ac:dyDescent="0.3">
      <c r="A241" s="2">
        <v>239</v>
      </c>
      <c r="B241" s="3" t="s">
        <v>26</v>
      </c>
      <c r="C241" s="3" t="s">
        <v>93</v>
      </c>
      <c r="D241" s="3" t="s">
        <v>18</v>
      </c>
      <c r="E241" s="3">
        <v>13701</v>
      </c>
      <c r="F241" s="3">
        <v>6</v>
      </c>
      <c r="G241" s="3">
        <v>66647</v>
      </c>
      <c r="H241" s="3" t="s">
        <v>15</v>
      </c>
      <c r="I241" s="3">
        <v>2639</v>
      </c>
      <c r="J241" s="3">
        <v>90</v>
      </c>
      <c r="K241" s="4">
        <v>45005</v>
      </c>
      <c r="L241" s="10">
        <v>371424.40090000001</v>
      </c>
    </row>
    <row r="242" spans="1:12" x14ac:dyDescent="0.3">
      <c r="A242" s="2">
        <v>240</v>
      </c>
      <c r="B242" s="3" t="s">
        <v>29</v>
      </c>
      <c r="C242" s="3" t="s">
        <v>30</v>
      </c>
      <c r="D242" s="3" t="s">
        <v>18</v>
      </c>
      <c r="E242" s="3">
        <v>6644</v>
      </c>
      <c r="F242" s="3">
        <v>4</v>
      </c>
      <c r="G242" s="3">
        <v>55320</v>
      </c>
      <c r="H242" s="3" t="s">
        <v>15</v>
      </c>
      <c r="I242" s="3">
        <v>2925</v>
      </c>
      <c r="J242" s="3">
        <v>20</v>
      </c>
      <c r="K242" s="4">
        <v>43949</v>
      </c>
      <c r="L242" s="10">
        <v>351460.08350000001</v>
      </c>
    </row>
    <row r="243" spans="1:12" x14ac:dyDescent="0.3">
      <c r="A243" s="2">
        <v>241</v>
      </c>
      <c r="B243" s="3" t="s">
        <v>12</v>
      </c>
      <c r="C243" s="3" t="s">
        <v>173</v>
      </c>
      <c r="D243" s="3" t="s">
        <v>18</v>
      </c>
      <c r="E243" s="3">
        <v>18396</v>
      </c>
      <c r="F243" s="3">
        <v>8</v>
      </c>
      <c r="G243" s="3">
        <v>95977</v>
      </c>
      <c r="H243" s="3" t="s">
        <v>15</v>
      </c>
      <c r="I243" s="3">
        <v>2606</v>
      </c>
      <c r="J243" s="3">
        <v>51</v>
      </c>
      <c r="K243" s="4">
        <v>43949</v>
      </c>
      <c r="L243" s="10">
        <v>361774.07319999998</v>
      </c>
    </row>
    <row r="244" spans="1:12" x14ac:dyDescent="0.3">
      <c r="A244" s="2">
        <v>242</v>
      </c>
      <c r="B244" s="3" t="s">
        <v>37</v>
      </c>
      <c r="C244" s="3" t="s">
        <v>61</v>
      </c>
      <c r="D244" s="3" t="s">
        <v>18</v>
      </c>
      <c r="E244" s="3">
        <v>8030</v>
      </c>
      <c r="F244" s="3">
        <v>0</v>
      </c>
      <c r="G244" s="3">
        <v>91863</v>
      </c>
      <c r="H244" s="3" t="s">
        <v>15</v>
      </c>
      <c r="I244" s="3">
        <v>1756</v>
      </c>
      <c r="J244" s="3">
        <v>58</v>
      </c>
      <c r="K244" s="4">
        <v>45112</v>
      </c>
      <c r="L244" s="10">
        <v>343148.52350000001</v>
      </c>
    </row>
    <row r="245" spans="1:12" x14ac:dyDescent="0.3">
      <c r="A245" s="2">
        <v>243</v>
      </c>
      <c r="B245" s="3" t="s">
        <v>29</v>
      </c>
      <c r="C245" s="3" t="s">
        <v>110</v>
      </c>
      <c r="D245" s="3" t="s">
        <v>18</v>
      </c>
      <c r="E245" s="3">
        <v>7971</v>
      </c>
      <c r="F245" s="3">
        <v>0</v>
      </c>
      <c r="G245" s="3">
        <v>98146</v>
      </c>
      <c r="H245" s="3" t="s">
        <v>21</v>
      </c>
      <c r="I245" s="3">
        <v>1826</v>
      </c>
      <c r="J245" s="3">
        <v>94</v>
      </c>
      <c r="K245" s="4">
        <v>45376</v>
      </c>
      <c r="L245" s="10">
        <v>370839.3052</v>
      </c>
    </row>
    <row r="246" spans="1:12" x14ac:dyDescent="0.3">
      <c r="A246" s="2">
        <v>244</v>
      </c>
      <c r="B246" s="3" t="s">
        <v>37</v>
      </c>
      <c r="C246" s="3" t="s">
        <v>166</v>
      </c>
      <c r="D246" s="3" t="s">
        <v>14</v>
      </c>
      <c r="E246" s="3">
        <v>27314</v>
      </c>
      <c r="F246" s="3">
        <v>6</v>
      </c>
      <c r="G246" s="3">
        <v>58070</v>
      </c>
      <c r="H246" s="3" t="s">
        <v>15</v>
      </c>
      <c r="I246" s="3">
        <v>1638</v>
      </c>
      <c r="J246" s="3">
        <v>33</v>
      </c>
      <c r="K246" s="4">
        <v>44271</v>
      </c>
      <c r="L246" s="10">
        <v>309612.60399999999</v>
      </c>
    </row>
    <row r="247" spans="1:12" x14ac:dyDescent="0.3">
      <c r="A247" s="2">
        <v>245</v>
      </c>
      <c r="B247" s="3" t="s">
        <v>57</v>
      </c>
      <c r="C247" s="3" t="s">
        <v>174</v>
      </c>
      <c r="D247" s="3" t="s">
        <v>14</v>
      </c>
      <c r="E247" s="3">
        <v>7296</v>
      </c>
      <c r="F247" s="3">
        <v>7</v>
      </c>
      <c r="G247" s="3">
        <v>66418</v>
      </c>
      <c r="H247" s="3" t="s">
        <v>21</v>
      </c>
      <c r="I247" s="3">
        <v>2961</v>
      </c>
      <c r="J247" s="3">
        <v>51</v>
      </c>
      <c r="K247" s="4">
        <v>44362</v>
      </c>
      <c r="L247" s="10">
        <v>334052.15710000001</v>
      </c>
    </row>
    <row r="248" spans="1:12" x14ac:dyDescent="0.3">
      <c r="A248" s="2">
        <v>246</v>
      </c>
      <c r="B248" s="3" t="s">
        <v>55</v>
      </c>
      <c r="C248" s="3" t="s">
        <v>175</v>
      </c>
      <c r="D248" s="3" t="s">
        <v>14</v>
      </c>
      <c r="E248" s="3">
        <v>15078</v>
      </c>
      <c r="F248" s="3">
        <v>9</v>
      </c>
      <c r="G248" s="3">
        <v>58937</v>
      </c>
      <c r="H248" s="3" t="s">
        <v>21</v>
      </c>
      <c r="I248" s="3">
        <v>1428</v>
      </c>
      <c r="J248" s="3">
        <v>84</v>
      </c>
      <c r="K248" s="4">
        <v>44909</v>
      </c>
      <c r="L248" s="10">
        <v>340650.16110000003</v>
      </c>
    </row>
    <row r="249" spans="1:12" x14ac:dyDescent="0.3">
      <c r="A249" s="2">
        <v>247</v>
      </c>
      <c r="B249" s="3" t="s">
        <v>16</v>
      </c>
      <c r="C249" s="3" t="s">
        <v>176</v>
      </c>
      <c r="D249" s="3" t="s">
        <v>18</v>
      </c>
      <c r="E249" s="3">
        <v>4119</v>
      </c>
      <c r="F249" s="3">
        <v>2</v>
      </c>
      <c r="G249" s="3">
        <v>65275</v>
      </c>
      <c r="H249" s="3" t="s">
        <v>21</v>
      </c>
      <c r="I249" s="3">
        <v>1346</v>
      </c>
      <c r="J249" s="3">
        <v>34</v>
      </c>
      <c r="K249" s="4">
        <v>45329</v>
      </c>
      <c r="L249" s="10">
        <v>362982.96899999998</v>
      </c>
    </row>
    <row r="250" spans="1:12" x14ac:dyDescent="0.3">
      <c r="A250" s="2">
        <v>248</v>
      </c>
      <c r="B250" s="3" t="s">
        <v>55</v>
      </c>
      <c r="C250" s="3" t="s">
        <v>98</v>
      </c>
      <c r="D250" s="3" t="s">
        <v>14</v>
      </c>
      <c r="E250" s="3">
        <v>14249</v>
      </c>
      <c r="F250" s="3">
        <v>6</v>
      </c>
      <c r="G250" s="3">
        <v>76428</v>
      </c>
      <c r="H250" s="3" t="s">
        <v>15</v>
      </c>
      <c r="I250" s="3">
        <v>1167</v>
      </c>
      <c r="J250" s="3">
        <v>81</v>
      </c>
      <c r="K250" s="4">
        <v>44303</v>
      </c>
      <c r="L250" s="10">
        <v>318307.56449999998</v>
      </c>
    </row>
    <row r="251" spans="1:12" x14ac:dyDescent="0.3">
      <c r="A251" s="2">
        <v>249</v>
      </c>
      <c r="B251" s="3" t="s">
        <v>74</v>
      </c>
      <c r="C251" s="3" t="s">
        <v>120</v>
      </c>
      <c r="D251" s="3" t="s">
        <v>14</v>
      </c>
      <c r="E251" s="3">
        <v>18393</v>
      </c>
      <c r="F251" s="3">
        <v>6</v>
      </c>
      <c r="G251" s="3">
        <v>75439</v>
      </c>
      <c r="H251" s="3" t="s">
        <v>15</v>
      </c>
      <c r="I251" s="3">
        <v>2430</v>
      </c>
      <c r="J251" s="3">
        <v>78</v>
      </c>
      <c r="K251" s="4">
        <v>43951</v>
      </c>
      <c r="L251" s="10">
        <v>337300.5196</v>
      </c>
    </row>
    <row r="252" spans="1:12" x14ac:dyDescent="0.3">
      <c r="A252" s="2">
        <v>250</v>
      </c>
      <c r="B252" s="3" t="s">
        <v>29</v>
      </c>
      <c r="C252" s="3" t="s">
        <v>132</v>
      </c>
      <c r="D252" s="3" t="s">
        <v>18</v>
      </c>
      <c r="E252" s="3">
        <v>22226</v>
      </c>
      <c r="F252" s="3">
        <v>3</v>
      </c>
      <c r="G252" s="3">
        <v>77804</v>
      </c>
      <c r="H252" s="3" t="s">
        <v>21</v>
      </c>
      <c r="I252" s="3">
        <v>2141</v>
      </c>
      <c r="J252" s="3">
        <v>52</v>
      </c>
      <c r="K252" s="4">
        <v>44479</v>
      </c>
      <c r="L252" s="10">
        <v>409656.0294</v>
      </c>
    </row>
    <row r="253" spans="1:12" x14ac:dyDescent="0.3">
      <c r="A253" s="2">
        <v>251</v>
      </c>
      <c r="B253" s="3" t="s">
        <v>72</v>
      </c>
      <c r="C253" s="3" t="s">
        <v>147</v>
      </c>
      <c r="D253" s="3" t="s">
        <v>18</v>
      </c>
      <c r="E253" s="3">
        <v>17946</v>
      </c>
      <c r="F253" s="3">
        <v>6</v>
      </c>
      <c r="G253" s="3">
        <v>92191</v>
      </c>
      <c r="H253" s="3" t="s">
        <v>21</v>
      </c>
      <c r="I253" s="3">
        <v>2401</v>
      </c>
      <c r="J253" s="3">
        <v>85</v>
      </c>
      <c r="K253" s="4">
        <v>45290</v>
      </c>
      <c r="L253" s="10">
        <v>398541.61469999998</v>
      </c>
    </row>
    <row r="254" spans="1:12" x14ac:dyDescent="0.3">
      <c r="A254" s="2">
        <v>252</v>
      </c>
      <c r="B254" s="3" t="s">
        <v>29</v>
      </c>
      <c r="C254" s="3" t="s">
        <v>135</v>
      </c>
      <c r="D254" s="3" t="s">
        <v>18</v>
      </c>
      <c r="E254" s="3">
        <v>17179</v>
      </c>
      <c r="F254" s="3">
        <v>1</v>
      </c>
      <c r="G254" s="3">
        <v>92229</v>
      </c>
      <c r="H254" s="3" t="s">
        <v>23</v>
      </c>
      <c r="I254" s="3">
        <v>1553</v>
      </c>
      <c r="J254" s="3">
        <v>65</v>
      </c>
      <c r="K254" s="4">
        <v>44593</v>
      </c>
      <c r="L254" s="10">
        <v>365394.26360000001</v>
      </c>
    </row>
    <row r="255" spans="1:12" x14ac:dyDescent="0.3">
      <c r="A255" s="2">
        <v>253</v>
      </c>
      <c r="B255" s="3" t="s">
        <v>44</v>
      </c>
      <c r="C255" s="3" t="s">
        <v>65</v>
      </c>
      <c r="D255" s="3" t="s">
        <v>14</v>
      </c>
      <c r="E255" s="3">
        <v>12984</v>
      </c>
      <c r="F255" s="3">
        <v>6</v>
      </c>
      <c r="G255" s="3">
        <v>66818</v>
      </c>
      <c r="H255" s="3" t="s">
        <v>15</v>
      </c>
      <c r="I255" s="3">
        <v>2139</v>
      </c>
      <c r="J255" s="3">
        <v>39</v>
      </c>
      <c r="K255" s="4">
        <v>44558</v>
      </c>
      <c r="L255" s="10">
        <v>309523.42969999998</v>
      </c>
    </row>
    <row r="256" spans="1:12" x14ac:dyDescent="0.3">
      <c r="A256" s="2">
        <v>254</v>
      </c>
      <c r="B256" s="3" t="s">
        <v>35</v>
      </c>
      <c r="C256" s="3" t="s">
        <v>177</v>
      </c>
      <c r="D256" s="3" t="s">
        <v>18</v>
      </c>
      <c r="E256" s="3">
        <v>10963</v>
      </c>
      <c r="F256" s="3">
        <v>0</v>
      </c>
      <c r="G256" s="3">
        <v>83537</v>
      </c>
      <c r="H256" s="3" t="s">
        <v>15</v>
      </c>
      <c r="I256" s="3">
        <v>1095</v>
      </c>
      <c r="J256" s="3">
        <v>37</v>
      </c>
      <c r="K256" s="4">
        <v>44314</v>
      </c>
      <c r="L256" s="10">
        <v>343026.5883</v>
      </c>
    </row>
    <row r="257" spans="1:12" x14ac:dyDescent="0.3">
      <c r="A257" s="2">
        <v>255</v>
      </c>
      <c r="B257" s="3" t="s">
        <v>40</v>
      </c>
      <c r="C257" s="3" t="s">
        <v>136</v>
      </c>
      <c r="D257" s="3" t="s">
        <v>14</v>
      </c>
      <c r="E257" s="3">
        <v>8141</v>
      </c>
      <c r="F257" s="3">
        <v>5</v>
      </c>
      <c r="G257" s="3">
        <v>67369</v>
      </c>
      <c r="H257" s="3" t="s">
        <v>21</v>
      </c>
      <c r="I257" s="3">
        <v>1326</v>
      </c>
      <c r="J257" s="3">
        <v>59</v>
      </c>
      <c r="K257" s="4">
        <v>44703</v>
      </c>
      <c r="L257" s="10">
        <v>295400.60269999999</v>
      </c>
    </row>
    <row r="258" spans="1:12" x14ac:dyDescent="0.3">
      <c r="A258" s="2">
        <v>256</v>
      </c>
      <c r="B258" s="3" t="s">
        <v>53</v>
      </c>
      <c r="C258" s="3" t="s">
        <v>178</v>
      </c>
      <c r="D258" s="3" t="s">
        <v>18</v>
      </c>
      <c r="E258" s="3">
        <v>19210</v>
      </c>
      <c r="F258" s="3">
        <v>4</v>
      </c>
      <c r="G258" s="3">
        <v>57168</v>
      </c>
      <c r="H258" s="3" t="s">
        <v>21</v>
      </c>
      <c r="I258" s="3">
        <v>2614</v>
      </c>
      <c r="J258" s="3">
        <v>78</v>
      </c>
      <c r="K258" s="4">
        <v>45004</v>
      </c>
      <c r="L258" s="10">
        <v>394530.58929999999</v>
      </c>
    </row>
    <row r="259" spans="1:12" x14ac:dyDescent="0.3">
      <c r="A259" s="2">
        <v>257</v>
      </c>
      <c r="B259" s="3" t="s">
        <v>72</v>
      </c>
      <c r="C259" s="3" t="s">
        <v>151</v>
      </c>
      <c r="D259" s="3" t="s">
        <v>18</v>
      </c>
      <c r="E259" s="3">
        <v>7630</v>
      </c>
      <c r="F259" s="3">
        <v>4</v>
      </c>
      <c r="G259" s="3">
        <v>89740</v>
      </c>
      <c r="H259" s="3" t="s">
        <v>15</v>
      </c>
      <c r="I259" s="3">
        <v>2162</v>
      </c>
      <c r="J259" s="3">
        <v>95</v>
      </c>
      <c r="K259" s="4">
        <v>44727</v>
      </c>
      <c r="L259" s="10">
        <v>350507.33159999998</v>
      </c>
    </row>
    <row r="260" spans="1:12" x14ac:dyDescent="0.3">
      <c r="A260" s="2">
        <v>258</v>
      </c>
      <c r="B260" s="3" t="s">
        <v>19</v>
      </c>
      <c r="C260" s="3" t="s">
        <v>179</v>
      </c>
      <c r="D260" s="3" t="s">
        <v>18</v>
      </c>
      <c r="E260" s="3">
        <v>14860</v>
      </c>
      <c r="F260" s="3">
        <v>6</v>
      </c>
      <c r="G260" s="3">
        <v>79618</v>
      </c>
      <c r="H260" s="3" t="s">
        <v>23</v>
      </c>
      <c r="I260" s="3">
        <v>1832</v>
      </c>
      <c r="J260" s="3">
        <v>80</v>
      </c>
      <c r="K260" s="4">
        <v>45325</v>
      </c>
      <c r="L260" s="10">
        <v>396017.35220000002</v>
      </c>
    </row>
    <row r="261" spans="1:12" x14ac:dyDescent="0.3">
      <c r="A261" s="2">
        <v>259</v>
      </c>
      <c r="B261" s="3" t="s">
        <v>37</v>
      </c>
      <c r="C261" s="3" t="s">
        <v>118</v>
      </c>
      <c r="D261" s="3" t="s">
        <v>18</v>
      </c>
      <c r="E261" s="3">
        <v>2454</v>
      </c>
      <c r="F261" s="3">
        <v>5</v>
      </c>
      <c r="G261" s="3">
        <v>71503</v>
      </c>
      <c r="H261" s="3" t="s">
        <v>23</v>
      </c>
      <c r="I261" s="3">
        <v>2510</v>
      </c>
      <c r="J261" s="3">
        <v>24</v>
      </c>
      <c r="K261" s="4">
        <v>45109</v>
      </c>
      <c r="L261" s="10">
        <v>387101.78169999999</v>
      </c>
    </row>
    <row r="262" spans="1:12" x14ac:dyDescent="0.3">
      <c r="A262" s="2">
        <v>260</v>
      </c>
      <c r="B262" s="3" t="s">
        <v>74</v>
      </c>
      <c r="C262" s="3" t="s">
        <v>75</v>
      </c>
      <c r="D262" s="3" t="s">
        <v>14</v>
      </c>
      <c r="E262" s="3">
        <v>21070</v>
      </c>
      <c r="F262" s="3">
        <v>4</v>
      </c>
      <c r="G262" s="3">
        <v>80433</v>
      </c>
      <c r="H262" s="3" t="s">
        <v>21</v>
      </c>
      <c r="I262" s="3">
        <v>2505</v>
      </c>
      <c r="J262" s="3">
        <v>67</v>
      </c>
      <c r="K262" s="4">
        <v>44357</v>
      </c>
      <c r="L262" s="10">
        <v>351301.5368</v>
      </c>
    </row>
    <row r="263" spans="1:12" x14ac:dyDescent="0.3">
      <c r="A263" s="2">
        <v>261</v>
      </c>
      <c r="B263" s="3" t="s">
        <v>31</v>
      </c>
      <c r="C263" s="3" t="s">
        <v>81</v>
      </c>
      <c r="D263" s="3" t="s">
        <v>14</v>
      </c>
      <c r="E263" s="3">
        <v>28456</v>
      </c>
      <c r="F263" s="3">
        <v>1</v>
      </c>
      <c r="G263" s="3">
        <v>63559</v>
      </c>
      <c r="H263" s="3" t="s">
        <v>15</v>
      </c>
      <c r="I263" s="3">
        <v>1003</v>
      </c>
      <c r="J263" s="3">
        <v>26</v>
      </c>
      <c r="K263" s="4">
        <v>45029</v>
      </c>
      <c r="L263" s="10">
        <v>294915.33549999999</v>
      </c>
    </row>
    <row r="264" spans="1:12" x14ac:dyDescent="0.3">
      <c r="A264" s="2">
        <v>262</v>
      </c>
      <c r="B264" s="3" t="s">
        <v>122</v>
      </c>
      <c r="C264" s="3" t="s">
        <v>137</v>
      </c>
      <c r="D264" s="3" t="s">
        <v>14</v>
      </c>
      <c r="E264" s="3">
        <v>20276</v>
      </c>
      <c r="F264" s="3">
        <v>5</v>
      </c>
      <c r="G264" s="3">
        <v>98726</v>
      </c>
      <c r="H264" s="3" t="s">
        <v>23</v>
      </c>
      <c r="I264" s="3">
        <v>2534</v>
      </c>
      <c r="J264" s="3">
        <v>65</v>
      </c>
      <c r="K264" s="4">
        <v>44304</v>
      </c>
      <c r="L264" s="10">
        <v>351715.26679999998</v>
      </c>
    </row>
    <row r="265" spans="1:12" x14ac:dyDescent="0.3">
      <c r="A265" s="2">
        <v>263</v>
      </c>
      <c r="B265" s="3" t="s">
        <v>33</v>
      </c>
      <c r="C265" s="3" t="s">
        <v>88</v>
      </c>
      <c r="D265" s="3" t="s">
        <v>14</v>
      </c>
      <c r="E265" s="3">
        <v>11169</v>
      </c>
      <c r="F265" s="3">
        <v>7</v>
      </c>
      <c r="G265" s="3">
        <v>99954</v>
      </c>
      <c r="H265" s="3" t="s">
        <v>23</v>
      </c>
      <c r="I265" s="3">
        <v>2127</v>
      </c>
      <c r="J265" s="3">
        <v>33</v>
      </c>
      <c r="K265" s="4">
        <v>45069</v>
      </c>
      <c r="L265" s="10">
        <v>311906.86969999998</v>
      </c>
    </row>
    <row r="266" spans="1:12" x14ac:dyDescent="0.3">
      <c r="A266" s="2">
        <v>264</v>
      </c>
      <c r="B266" s="3" t="s">
        <v>57</v>
      </c>
      <c r="C266" s="3" t="s">
        <v>174</v>
      </c>
      <c r="D266" s="3" t="s">
        <v>14</v>
      </c>
      <c r="E266" s="3">
        <v>25646</v>
      </c>
      <c r="F266" s="3">
        <v>5</v>
      </c>
      <c r="G266" s="3">
        <v>60031</v>
      </c>
      <c r="H266" s="3" t="s">
        <v>21</v>
      </c>
      <c r="I266" s="3">
        <v>2408</v>
      </c>
      <c r="J266" s="3">
        <v>80</v>
      </c>
      <c r="K266" s="4">
        <v>44530</v>
      </c>
      <c r="L266" s="10">
        <v>360803.34450000001</v>
      </c>
    </row>
    <row r="267" spans="1:12" x14ac:dyDescent="0.3">
      <c r="A267" s="2">
        <v>265</v>
      </c>
      <c r="B267" s="3" t="s">
        <v>24</v>
      </c>
      <c r="C267" s="3" t="s">
        <v>94</v>
      </c>
      <c r="D267" s="3" t="s">
        <v>14</v>
      </c>
      <c r="E267" s="3">
        <v>6850</v>
      </c>
      <c r="F267" s="3">
        <v>5</v>
      </c>
      <c r="G267" s="3">
        <v>81916</v>
      </c>
      <c r="H267" s="3" t="s">
        <v>15</v>
      </c>
      <c r="I267" s="3">
        <v>2166</v>
      </c>
      <c r="J267" s="3">
        <v>45</v>
      </c>
      <c r="K267" s="4">
        <v>45186</v>
      </c>
      <c r="L267" s="10">
        <v>315928.3357</v>
      </c>
    </row>
    <row r="268" spans="1:12" x14ac:dyDescent="0.3">
      <c r="A268" s="2">
        <v>266</v>
      </c>
      <c r="B268" s="3" t="s">
        <v>24</v>
      </c>
      <c r="C268" s="3" t="s">
        <v>39</v>
      </c>
      <c r="D268" s="3" t="s">
        <v>14</v>
      </c>
      <c r="E268" s="3">
        <v>17322</v>
      </c>
      <c r="F268" s="3">
        <v>8</v>
      </c>
      <c r="G268" s="3">
        <v>62725</v>
      </c>
      <c r="H268" s="3" t="s">
        <v>15</v>
      </c>
      <c r="I268" s="3">
        <v>2475</v>
      </c>
      <c r="J268" s="3">
        <v>57</v>
      </c>
      <c r="K268" s="4">
        <v>44134</v>
      </c>
      <c r="L268" s="10">
        <v>335735.83590000001</v>
      </c>
    </row>
    <row r="269" spans="1:12" x14ac:dyDescent="0.3">
      <c r="A269" s="2">
        <v>267</v>
      </c>
      <c r="B269" s="3" t="s">
        <v>16</v>
      </c>
      <c r="C269" s="3" t="s">
        <v>176</v>
      </c>
      <c r="D269" s="3" t="s">
        <v>18</v>
      </c>
      <c r="E269" s="3">
        <v>10505</v>
      </c>
      <c r="F269" s="3">
        <v>3</v>
      </c>
      <c r="G269" s="3">
        <v>70592</v>
      </c>
      <c r="H269" s="3" t="s">
        <v>15</v>
      </c>
      <c r="I269" s="3">
        <v>2543</v>
      </c>
      <c r="J269" s="3">
        <v>55</v>
      </c>
      <c r="K269" s="4">
        <v>45545</v>
      </c>
      <c r="L269" s="10">
        <v>344968.52639999997</v>
      </c>
    </row>
    <row r="270" spans="1:12" x14ac:dyDescent="0.3">
      <c r="A270" s="2">
        <v>268</v>
      </c>
      <c r="B270" s="3" t="s">
        <v>44</v>
      </c>
      <c r="C270" s="3" t="s">
        <v>143</v>
      </c>
      <c r="D270" s="3" t="s">
        <v>14</v>
      </c>
      <c r="E270" s="3">
        <v>4478</v>
      </c>
      <c r="F270" s="3">
        <v>3</v>
      </c>
      <c r="G270" s="3">
        <v>85125</v>
      </c>
      <c r="H270" s="3" t="s">
        <v>21</v>
      </c>
      <c r="I270" s="3">
        <v>1413</v>
      </c>
      <c r="J270" s="3">
        <v>55</v>
      </c>
      <c r="K270" s="4">
        <v>45346</v>
      </c>
      <c r="L270" s="10">
        <v>326133.31099999999</v>
      </c>
    </row>
    <row r="271" spans="1:12" x14ac:dyDescent="0.3">
      <c r="A271" s="2">
        <v>269</v>
      </c>
      <c r="B271" s="3" t="s">
        <v>55</v>
      </c>
      <c r="C271" s="3" t="s">
        <v>169</v>
      </c>
      <c r="D271" s="3" t="s">
        <v>18</v>
      </c>
      <c r="E271" s="3">
        <v>21698</v>
      </c>
      <c r="F271" s="3">
        <v>1</v>
      </c>
      <c r="G271" s="3">
        <v>69814</v>
      </c>
      <c r="H271" s="3" t="s">
        <v>21</v>
      </c>
      <c r="I271" s="3">
        <v>1031</v>
      </c>
      <c r="J271" s="3">
        <v>83</v>
      </c>
      <c r="K271" s="4">
        <v>45347</v>
      </c>
      <c r="L271" s="10">
        <v>400897.50390000001</v>
      </c>
    </row>
    <row r="272" spans="1:12" x14ac:dyDescent="0.3">
      <c r="A272" s="2">
        <v>270</v>
      </c>
      <c r="B272" s="3" t="s">
        <v>24</v>
      </c>
      <c r="C272" s="3" t="s">
        <v>154</v>
      </c>
      <c r="D272" s="3" t="s">
        <v>14</v>
      </c>
      <c r="E272" s="3">
        <v>9738</v>
      </c>
      <c r="F272" s="3">
        <v>7</v>
      </c>
      <c r="G272" s="3">
        <v>57354</v>
      </c>
      <c r="H272" s="3" t="s">
        <v>15</v>
      </c>
      <c r="I272" s="3">
        <v>1372</v>
      </c>
      <c r="J272" s="3">
        <v>83</v>
      </c>
      <c r="K272" s="4">
        <v>45340</v>
      </c>
      <c r="L272" s="10">
        <v>279303.43689999997</v>
      </c>
    </row>
    <row r="273" spans="1:12" x14ac:dyDescent="0.3">
      <c r="A273" s="2">
        <v>271</v>
      </c>
      <c r="B273" s="3" t="s">
        <v>28</v>
      </c>
      <c r="C273" s="3" t="s">
        <v>46</v>
      </c>
      <c r="D273" s="3" t="s">
        <v>18</v>
      </c>
      <c r="E273" s="3">
        <v>24306</v>
      </c>
      <c r="F273" s="3">
        <v>2</v>
      </c>
      <c r="G273" s="3">
        <v>54690</v>
      </c>
      <c r="H273" s="3" t="s">
        <v>21</v>
      </c>
      <c r="I273" s="3">
        <v>1359</v>
      </c>
      <c r="J273" s="3">
        <v>63</v>
      </c>
      <c r="K273" s="4">
        <v>43886</v>
      </c>
      <c r="L273" s="10">
        <v>372272.13050000003</v>
      </c>
    </row>
    <row r="274" spans="1:12" x14ac:dyDescent="0.3">
      <c r="A274" s="2">
        <v>272</v>
      </c>
      <c r="B274" s="3" t="s">
        <v>72</v>
      </c>
      <c r="C274" s="3" t="s">
        <v>180</v>
      </c>
      <c r="D274" s="3" t="s">
        <v>18</v>
      </c>
      <c r="E274" s="3">
        <v>7377</v>
      </c>
      <c r="F274" s="3">
        <v>7</v>
      </c>
      <c r="G274" s="3">
        <v>74552</v>
      </c>
      <c r="H274" s="3" t="s">
        <v>23</v>
      </c>
      <c r="I274" s="3">
        <v>1050</v>
      </c>
      <c r="J274" s="3">
        <v>27</v>
      </c>
      <c r="K274" s="4">
        <v>45250</v>
      </c>
      <c r="L274" s="10">
        <v>351009.67479999998</v>
      </c>
    </row>
    <row r="275" spans="1:12" x14ac:dyDescent="0.3">
      <c r="A275" s="2">
        <v>273</v>
      </c>
      <c r="B275" s="3" t="s">
        <v>33</v>
      </c>
      <c r="C275" s="3" t="s">
        <v>68</v>
      </c>
      <c r="D275" s="3" t="s">
        <v>18</v>
      </c>
      <c r="E275" s="3">
        <v>16712</v>
      </c>
      <c r="F275" s="3">
        <v>3</v>
      </c>
      <c r="G275" s="3">
        <v>66617</v>
      </c>
      <c r="H275" s="3" t="s">
        <v>21</v>
      </c>
      <c r="I275" s="3">
        <v>2853</v>
      </c>
      <c r="J275" s="3">
        <v>69</v>
      </c>
      <c r="K275" s="4">
        <v>44233</v>
      </c>
      <c r="L275" s="10">
        <v>423646.56069999997</v>
      </c>
    </row>
    <row r="276" spans="1:12" x14ac:dyDescent="0.3">
      <c r="A276" s="2">
        <v>274</v>
      </c>
      <c r="B276" s="3" t="s">
        <v>28</v>
      </c>
      <c r="C276" s="3" t="s">
        <v>49</v>
      </c>
      <c r="D276" s="3" t="s">
        <v>14</v>
      </c>
      <c r="E276" s="3">
        <v>28354</v>
      </c>
      <c r="F276" s="3">
        <v>0</v>
      </c>
      <c r="G276" s="3">
        <v>53863</v>
      </c>
      <c r="H276" s="3" t="s">
        <v>21</v>
      </c>
      <c r="I276" s="3">
        <v>2089</v>
      </c>
      <c r="J276" s="3">
        <v>36</v>
      </c>
      <c r="K276" s="4">
        <v>44143</v>
      </c>
      <c r="L276" s="10">
        <v>356447.02179999999</v>
      </c>
    </row>
    <row r="277" spans="1:12" x14ac:dyDescent="0.3">
      <c r="A277" s="2">
        <v>275</v>
      </c>
      <c r="B277" s="3" t="s">
        <v>28</v>
      </c>
      <c r="C277" s="3" t="s">
        <v>181</v>
      </c>
      <c r="D277" s="3" t="s">
        <v>18</v>
      </c>
      <c r="E277" s="3">
        <v>21019</v>
      </c>
      <c r="F277" s="3">
        <v>0</v>
      </c>
      <c r="G277" s="3">
        <v>69093</v>
      </c>
      <c r="H277" s="3" t="s">
        <v>23</v>
      </c>
      <c r="I277" s="3">
        <v>2333</v>
      </c>
      <c r="J277" s="3">
        <v>96</v>
      </c>
      <c r="K277" s="4">
        <v>44842</v>
      </c>
      <c r="L277" s="10">
        <v>426994.6005</v>
      </c>
    </row>
    <row r="278" spans="1:12" x14ac:dyDescent="0.3">
      <c r="A278" s="2">
        <v>276</v>
      </c>
      <c r="B278" s="3" t="s">
        <v>33</v>
      </c>
      <c r="C278" s="3" t="s">
        <v>34</v>
      </c>
      <c r="D278" s="3" t="s">
        <v>18</v>
      </c>
      <c r="E278" s="3">
        <v>1868</v>
      </c>
      <c r="F278" s="3">
        <v>5</v>
      </c>
      <c r="G278" s="3">
        <v>88304</v>
      </c>
      <c r="H278" s="3" t="s">
        <v>15</v>
      </c>
      <c r="I278" s="3">
        <v>2807</v>
      </c>
      <c r="J278" s="3">
        <v>43</v>
      </c>
      <c r="K278" s="4">
        <v>45187</v>
      </c>
      <c r="L278" s="10">
        <v>358020.28869999998</v>
      </c>
    </row>
    <row r="279" spans="1:12" x14ac:dyDescent="0.3">
      <c r="A279" s="2">
        <v>277</v>
      </c>
      <c r="B279" s="3" t="s">
        <v>72</v>
      </c>
      <c r="C279" s="3" t="s">
        <v>147</v>
      </c>
      <c r="D279" s="3" t="s">
        <v>18</v>
      </c>
      <c r="E279" s="3">
        <v>28719</v>
      </c>
      <c r="F279" s="3">
        <v>3</v>
      </c>
      <c r="G279" s="3">
        <v>53935</v>
      </c>
      <c r="H279" s="3" t="s">
        <v>23</v>
      </c>
      <c r="I279" s="3">
        <v>1019</v>
      </c>
      <c r="J279" s="3">
        <v>58</v>
      </c>
      <c r="K279" s="4">
        <v>43883</v>
      </c>
      <c r="L279" s="10">
        <v>364584.17729999998</v>
      </c>
    </row>
    <row r="280" spans="1:12" x14ac:dyDescent="0.3">
      <c r="A280" s="2">
        <v>278</v>
      </c>
      <c r="B280" s="3" t="s">
        <v>40</v>
      </c>
      <c r="C280" s="3" t="s">
        <v>41</v>
      </c>
      <c r="D280" s="3" t="s">
        <v>18</v>
      </c>
      <c r="E280" s="3">
        <v>5565</v>
      </c>
      <c r="F280" s="3">
        <v>9</v>
      </c>
      <c r="G280" s="3">
        <v>72475</v>
      </c>
      <c r="H280" s="3" t="s">
        <v>23</v>
      </c>
      <c r="I280" s="3">
        <v>2288</v>
      </c>
      <c r="J280" s="3">
        <v>64</v>
      </c>
      <c r="K280" s="4">
        <v>45486</v>
      </c>
      <c r="L280" s="10">
        <v>366978.60379999998</v>
      </c>
    </row>
    <row r="281" spans="1:12" x14ac:dyDescent="0.3">
      <c r="A281" s="2">
        <v>279</v>
      </c>
      <c r="B281" s="3" t="s">
        <v>12</v>
      </c>
      <c r="C281" s="3" t="s">
        <v>126</v>
      </c>
      <c r="D281" s="3" t="s">
        <v>18</v>
      </c>
      <c r="E281" s="3">
        <v>1714</v>
      </c>
      <c r="F281" s="3">
        <v>3</v>
      </c>
      <c r="G281" s="3">
        <v>71897</v>
      </c>
      <c r="H281" s="3" t="s">
        <v>21</v>
      </c>
      <c r="I281" s="3">
        <v>1635</v>
      </c>
      <c r="J281" s="3">
        <v>64</v>
      </c>
      <c r="K281" s="4">
        <v>45497</v>
      </c>
      <c r="L281" s="10">
        <v>369944.31219999999</v>
      </c>
    </row>
    <row r="282" spans="1:12" x14ac:dyDescent="0.3">
      <c r="A282" s="2">
        <v>280</v>
      </c>
      <c r="B282" s="3" t="s">
        <v>40</v>
      </c>
      <c r="C282" s="3" t="s">
        <v>182</v>
      </c>
      <c r="D282" s="3" t="s">
        <v>18</v>
      </c>
      <c r="E282" s="3">
        <v>14890</v>
      </c>
      <c r="F282" s="3">
        <v>1</v>
      </c>
      <c r="G282" s="3">
        <v>53648</v>
      </c>
      <c r="H282" s="3" t="s">
        <v>21</v>
      </c>
      <c r="I282" s="3">
        <v>2692</v>
      </c>
      <c r="J282" s="3">
        <v>21</v>
      </c>
      <c r="K282" s="4">
        <v>43862</v>
      </c>
      <c r="L282" s="10">
        <v>366259.63630000001</v>
      </c>
    </row>
    <row r="283" spans="1:12" x14ac:dyDescent="0.3">
      <c r="A283" s="2">
        <v>281</v>
      </c>
      <c r="B283" s="3" t="s">
        <v>108</v>
      </c>
      <c r="C283" s="3" t="s">
        <v>109</v>
      </c>
      <c r="D283" s="3" t="s">
        <v>18</v>
      </c>
      <c r="E283" s="3">
        <v>26396</v>
      </c>
      <c r="F283" s="3">
        <v>2</v>
      </c>
      <c r="G283" s="3">
        <v>99576</v>
      </c>
      <c r="H283" s="3" t="s">
        <v>21</v>
      </c>
      <c r="I283" s="3">
        <v>2802</v>
      </c>
      <c r="J283" s="3">
        <v>86</v>
      </c>
      <c r="K283" s="4">
        <v>44808</v>
      </c>
      <c r="L283" s="10">
        <v>424338.20209999999</v>
      </c>
    </row>
    <row r="284" spans="1:12" x14ac:dyDescent="0.3">
      <c r="A284" s="2">
        <v>282</v>
      </c>
      <c r="B284" s="3" t="s">
        <v>37</v>
      </c>
      <c r="C284" s="3" t="s">
        <v>90</v>
      </c>
      <c r="D284" s="3" t="s">
        <v>14</v>
      </c>
      <c r="E284" s="3">
        <v>23666</v>
      </c>
      <c r="F284" s="3">
        <v>8</v>
      </c>
      <c r="G284" s="3">
        <v>90265</v>
      </c>
      <c r="H284" s="3" t="s">
        <v>23</v>
      </c>
      <c r="I284" s="3">
        <v>1414</v>
      </c>
      <c r="J284" s="3">
        <v>97</v>
      </c>
      <c r="K284" s="4">
        <v>44382</v>
      </c>
      <c r="L284" s="10">
        <v>336805.32659999997</v>
      </c>
    </row>
    <row r="285" spans="1:12" x14ac:dyDescent="0.3">
      <c r="A285" s="2">
        <v>283</v>
      </c>
      <c r="B285" s="3" t="s">
        <v>72</v>
      </c>
      <c r="C285" s="3" t="s">
        <v>145</v>
      </c>
      <c r="D285" s="3" t="s">
        <v>14</v>
      </c>
      <c r="E285" s="3">
        <v>18628</v>
      </c>
      <c r="F285" s="3">
        <v>6</v>
      </c>
      <c r="G285" s="3">
        <v>96096</v>
      </c>
      <c r="H285" s="3" t="s">
        <v>15</v>
      </c>
      <c r="I285" s="3">
        <v>1392</v>
      </c>
      <c r="J285" s="3">
        <v>40</v>
      </c>
      <c r="K285" s="4">
        <v>43935</v>
      </c>
      <c r="L285" s="10">
        <v>294133.06109999999</v>
      </c>
    </row>
    <row r="286" spans="1:12" x14ac:dyDescent="0.3">
      <c r="A286" s="2">
        <v>284</v>
      </c>
      <c r="B286" s="3" t="s">
        <v>16</v>
      </c>
      <c r="C286" s="3" t="s">
        <v>183</v>
      </c>
      <c r="D286" s="3" t="s">
        <v>18</v>
      </c>
      <c r="E286" s="3">
        <v>21800</v>
      </c>
      <c r="F286" s="3">
        <v>1</v>
      </c>
      <c r="G286" s="3">
        <v>59687</v>
      </c>
      <c r="H286" s="3" t="s">
        <v>21</v>
      </c>
      <c r="I286" s="3">
        <v>1535</v>
      </c>
      <c r="J286" s="3">
        <v>96</v>
      </c>
      <c r="K286" s="4">
        <v>43839</v>
      </c>
      <c r="L286" s="10">
        <v>373263.77260000003</v>
      </c>
    </row>
    <row r="287" spans="1:12" x14ac:dyDescent="0.3">
      <c r="A287" s="2">
        <v>285</v>
      </c>
      <c r="B287" s="3" t="s">
        <v>33</v>
      </c>
      <c r="C287" s="3" t="s">
        <v>184</v>
      </c>
      <c r="D287" s="3" t="s">
        <v>18</v>
      </c>
      <c r="E287" s="3">
        <v>2425</v>
      </c>
      <c r="F287" s="3">
        <v>9</v>
      </c>
      <c r="G287" s="3">
        <v>70367</v>
      </c>
      <c r="H287" s="3" t="s">
        <v>21</v>
      </c>
      <c r="I287" s="3">
        <v>2906</v>
      </c>
      <c r="J287" s="3">
        <v>32</v>
      </c>
      <c r="K287" s="4">
        <v>45137</v>
      </c>
      <c r="L287" s="10">
        <v>377869.04210000002</v>
      </c>
    </row>
    <row r="288" spans="1:12" x14ac:dyDescent="0.3">
      <c r="A288" s="2">
        <v>286</v>
      </c>
      <c r="B288" s="3" t="s">
        <v>16</v>
      </c>
      <c r="C288" s="3" t="s">
        <v>84</v>
      </c>
      <c r="D288" s="3" t="s">
        <v>14</v>
      </c>
      <c r="E288" s="3">
        <v>6474</v>
      </c>
      <c r="F288" s="3">
        <v>6</v>
      </c>
      <c r="G288" s="3">
        <v>75721</v>
      </c>
      <c r="H288" s="3" t="s">
        <v>15</v>
      </c>
      <c r="I288" s="3">
        <v>1289</v>
      </c>
      <c r="J288" s="3">
        <v>42</v>
      </c>
      <c r="K288" s="4">
        <v>44302</v>
      </c>
      <c r="L288" s="10">
        <v>298786.52679999999</v>
      </c>
    </row>
    <row r="289" spans="1:12" x14ac:dyDescent="0.3">
      <c r="A289" s="2">
        <v>287</v>
      </c>
      <c r="B289" s="3" t="s">
        <v>26</v>
      </c>
      <c r="C289" s="3" t="s">
        <v>159</v>
      </c>
      <c r="D289" s="3" t="s">
        <v>14</v>
      </c>
      <c r="E289" s="3">
        <v>1734</v>
      </c>
      <c r="F289" s="3">
        <v>2</v>
      </c>
      <c r="G289" s="3">
        <v>61355</v>
      </c>
      <c r="H289" s="3" t="s">
        <v>15</v>
      </c>
      <c r="I289" s="3">
        <v>1976</v>
      </c>
      <c r="J289" s="3">
        <v>45</v>
      </c>
      <c r="K289" s="4">
        <v>45097</v>
      </c>
      <c r="L289" s="10">
        <v>298822.90759999998</v>
      </c>
    </row>
    <row r="290" spans="1:12" x14ac:dyDescent="0.3">
      <c r="A290" s="2">
        <v>288</v>
      </c>
      <c r="B290" s="3" t="s">
        <v>19</v>
      </c>
      <c r="C290" s="3" t="s">
        <v>130</v>
      </c>
      <c r="D290" s="3" t="s">
        <v>14</v>
      </c>
      <c r="E290" s="3">
        <v>29183</v>
      </c>
      <c r="F290" s="3">
        <v>1</v>
      </c>
      <c r="G290" s="3">
        <v>91510</v>
      </c>
      <c r="H290" s="3" t="s">
        <v>15</v>
      </c>
      <c r="I290" s="3">
        <v>1429</v>
      </c>
      <c r="J290" s="3">
        <v>99</v>
      </c>
      <c r="K290" s="4">
        <v>45230</v>
      </c>
      <c r="L290" s="10">
        <v>335988.98249999998</v>
      </c>
    </row>
    <row r="291" spans="1:12" x14ac:dyDescent="0.3">
      <c r="A291" s="2">
        <v>289</v>
      </c>
      <c r="B291" s="3" t="s">
        <v>53</v>
      </c>
      <c r="C291" s="3" t="s">
        <v>149</v>
      </c>
      <c r="D291" s="3" t="s">
        <v>18</v>
      </c>
      <c r="E291" s="3">
        <v>5174</v>
      </c>
      <c r="F291" s="3">
        <v>6</v>
      </c>
      <c r="G291" s="3">
        <v>59946</v>
      </c>
      <c r="H291" s="3" t="s">
        <v>21</v>
      </c>
      <c r="I291" s="3">
        <v>1683</v>
      </c>
      <c r="J291" s="3">
        <v>70</v>
      </c>
      <c r="K291" s="4">
        <v>45502</v>
      </c>
      <c r="L291" s="10">
        <v>368253.49479999999</v>
      </c>
    </row>
    <row r="292" spans="1:12" x14ac:dyDescent="0.3">
      <c r="A292" s="2">
        <v>290</v>
      </c>
      <c r="B292" s="3" t="s">
        <v>53</v>
      </c>
      <c r="C292" s="3" t="s">
        <v>178</v>
      </c>
      <c r="D292" s="3" t="s">
        <v>18</v>
      </c>
      <c r="E292" s="3">
        <v>3329</v>
      </c>
      <c r="F292" s="3">
        <v>7</v>
      </c>
      <c r="G292" s="3">
        <v>99658</v>
      </c>
      <c r="H292" s="3" t="s">
        <v>15</v>
      </c>
      <c r="I292" s="3">
        <v>1868</v>
      </c>
      <c r="J292" s="3">
        <v>94</v>
      </c>
      <c r="K292" s="4">
        <v>45488</v>
      </c>
      <c r="L292" s="10">
        <v>349761.51409999997</v>
      </c>
    </row>
    <row r="293" spans="1:12" x14ac:dyDescent="0.3">
      <c r="A293" s="2">
        <v>291</v>
      </c>
      <c r="B293" s="3" t="s">
        <v>57</v>
      </c>
      <c r="C293" s="3" t="s">
        <v>116</v>
      </c>
      <c r="D293" s="3" t="s">
        <v>14</v>
      </c>
      <c r="E293" s="3">
        <v>16896</v>
      </c>
      <c r="F293" s="3">
        <v>7</v>
      </c>
      <c r="G293" s="3">
        <v>64541</v>
      </c>
      <c r="H293" s="3" t="s">
        <v>15</v>
      </c>
      <c r="I293" s="3">
        <v>2101</v>
      </c>
      <c r="J293" s="3">
        <v>67</v>
      </c>
      <c r="K293" s="4">
        <v>45525</v>
      </c>
      <c r="L293" s="10">
        <v>345442.71590000001</v>
      </c>
    </row>
    <row r="294" spans="1:12" x14ac:dyDescent="0.3">
      <c r="A294" s="2">
        <v>292</v>
      </c>
      <c r="B294" s="3" t="s">
        <v>24</v>
      </c>
      <c r="C294" s="3" t="s">
        <v>100</v>
      </c>
      <c r="D294" s="3" t="s">
        <v>14</v>
      </c>
      <c r="E294" s="3">
        <v>25436</v>
      </c>
      <c r="F294" s="3">
        <v>0</v>
      </c>
      <c r="G294" s="3">
        <v>78919</v>
      </c>
      <c r="H294" s="3" t="s">
        <v>15</v>
      </c>
      <c r="I294" s="3">
        <v>2245</v>
      </c>
      <c r="J294" s="3">
        <v>24</v>
      </c>
      <c r="K294" s="4">
        <v>45185</v>
      </c>
      <c r="L294" s="10">
        <v>326523.74709999998</v>
      </c>
    </row>
    <row r="295" spans="1:12" x14ac:dyDescent="0.3">
      <c r="A295" s="2">
        <v>293</v>
      </c>
      <c r="B295" s="3" t="s">
        <v>53</v>
      </c>
      <c r="C295" s="3" t="s">
        <v>141</v>
      </c>
      <c r="D295" s="3" t="s">
        <v>14</v>
      </c>
      <c r="E295" s="3">
        <v>18287</v>
      </c>
      <c r="F295" s="3">
        <v>0</v>
      </c>
      <c r="G295" s="3">
        <v>63091</v>
      </c>
      <c r="H295" s="3" t="s">
        <v>23</v>
      </c>
      <c r="I295" s="3">
        <v>1498</v>
      </c>
      <c r="J295" s="3">
        <v>93</v>
      </c>
      <c r="K295" s="4">
        <v>44348</v>
      </c>
      <c r="L295" s="10">
        <v>360687.3089</v>
      </c>
    </row>
    <row r="296" spans="1:12" x14ac:dyDescent="0.3">
      <c r="A296" s="2">
        <v>294</v>
      </c>
      <c r="B296" s="3" t="s">
        <v>29</v>
      </c>
      <c r="C296" s="3" t="s">
        <v>135</v>
      </c>
      <c r="D296" s="3" t="s">
        <v>18</v>
      </c>
      <c r="E296" s="3">
        <v>26788</v>
      </c>
      <c r="F296" s="3">
        <v>2</v>
      </c>
      <c r="G296" s="3">
        <v>86995</v>
      </c>
      <c r="H296" s="3" t="s">
        <v>21</v>
      </c>
      <c r="I296" s="3">
        <v>1961</v>
      </c>
      <c r="J296" s="3">
        <v>90</v>
      </c>
      <c r="K296" s="4">
        <v>44146</v>
      </c>
      <c r="L296" s="10">
        <v>407203.27919999999</v>
      </c>
    </row>
    <row r="297" spans="1:12" x14ac:dyDescent="0.3">
      <c r="A297" s="2">
        <v>295</v>
      </c>
      <c r="B297" s="3" t="s">
        <v>55</v>
      </c>
      <c r="C297" s="3" t="s">
        <v>98</v>
      </c>
      <c r="D297" s="3" t="s">
        <v>18</v>
      </c>
      <c r="E297" s="3">
        <v>4093</v>
      </c>
      <c r="F297" s="3">
        <v>4</v>
      </c>
      <c r="G297" s="3">
        <v>54852</v>
      </c>
      <c r="H297" s="3" t="s">
        <v>23</v>
      </c>
      <c r="I297" s="3">
        <v>2233</v>
      </c>
      <c r="J297" s="3">
        <v>82</v>
      </c>
      <c r="K297" s="4">
        <v>44028</v>
      </c>
      <c r="L297" s="10">
        <v>390029.76890000002</v>
      </c>
    </row>
    <row r="298" spans="1:12" x14ac:dyDescent="0.3">
      <c r="A298" s="2">
        <v>296</v>
      </c>
      <c r="B298" s="3" t="s">
        <v>72</v>
      </c>
      <c r="C298" s="3" t="s">
        <v>158</v>
      </c>
      <c r="D298" s="3" t="s">
        <v>18</v>
      </c>
      <c r="E298" s="3">
        <v>21647</v>
      </c>
      <c r="F298" s="3">
        <v>9</v>
      </c>
      <c r="G298" s="3">
        <v>81248</v>
      </c>
      <c r="H298" s="3" t="s">
        <v>21</v>
      </c>
      <c r="I298" s="3">
        <v>1860</v>
      </c>
      <c r="J298" s="3">
        <v>32</v>
      </c>
      <c r="K298" s="4">
        <v>43871</v>
      </c>
      <c r="L298" s="10">
        <v>359458.3138</v>
      </c>
    </row>
    <row r="299" spans="1:12" x14ac:dyDescent="0.3">
      <c r="A299" s="2">
        <v>297</v>
      </c>
      <c r="B299" s="3" t="s">
        <v>31</v>
      </c>
      <c r="C299" s="3" t="s">
        <v>185</v>
      </c>
      <c r="D299" s="3" t="s">
        <v>14</v>
      </c>
      <c r="E299" s="3">
        <v>20238</v>
      </c>
      <c r="F299" s="3">
        <v>9</v>
      </c>
      <c r="G299" s="3">
        <v>68595</v>
      </c>
      <c r="H299" s="3" t="s">
        <v>15</v>
      </c>
      <c r="I299" s="3">
        <v>1626</v>
      </c>
      <c r="J299" s="3">
        <v>88</v>
      </c>
      <c r="K299" s="4">
        <v>45454</v>
      </c>
      <c r="L299" s="10">
        <v>302229.31949999998</v>
      </c>
    </row>
    <row r="300" spans="1:12" x14ac:dyDescent="0.3">
      <c r="A300" s="2">
        <v>298</v>
      </c>
      <c r="B300" s="3" t="s">
        <v>55</v>
      </c>
      <c r="C300" s="3" t="s">
        <v>98</v>
      </c>
      <c r="D300" s="3" t="s">
        <v>14</v>
      </c>
      <c r="E300" s="3">
        <v>10096</v>
      </c>
      <c r="F300" s="3">
        <v>6</v>
      </c>
      <c r="G300" s="3">
        <v>96584</v>
      </c>
      <c r="H300" s="3" t="s">
        <v>15</v>
      </c>
      <c r="I300" s="3">
        <v>2501</v>
      </c>
      <c r="J300" s="3">
        <v>51</v>
      </c>
      <c r="K300" s="4">
        <v>44895</v>
      </c>
      <c r="L300" s="10">
        <v>315000.85330000002</v>
      </c>
    </row>
    <row r="301" spans="1:12" x14ac:dyDescent="0.3">
      <c r="A301" s="2">
        <v>299</v>
      </c>
      <c r="B301" s="3" t="s">
        <v>12</v>
      </c>
      <c r="C301" s="3" t="s">
        <v>47</v>
      </c>
      <c r="D301" s="3" t="s">
        <v>14</v>
      </c>
      <c r="E301" s="3">
        <v>27284</v>
      </c>
      <c r="F301" s="3">
        <v>9</v>
      </c>
      <c r="G301" s="3">
        <v>95169</v>
      </c>
      <c r="H301" s="3" t="s">
        <v>21</v>
      </c>
      <c r="I301" s="3">
        <v>2872</v>
      </c>
      <c r="J301" s="3">
        <v>70</v>
      </c>
      <c r="K301" s="4">
        <v>44349</v>
      </c>
      <c r="L301" s="10">
        <v>363843.14850000001</v>
      </c>
    </row>
    <row r="302" spans="1:12" x14ac:dyDescent="0.3">
      <c r="A302" s="2">
        <v>300</v>
      </c>
      <c r="B302" s="3" t="s">
        <v>31</v>
      </c>
      <c r="C302" s="3" t="s">
        <v>63</v>
      </c>
      <c r="D302" s="3" t="s">
        <v>14</v>
      </c>
      <c r="E302" s="3">
        <v>6324</v>
      </c>
      <c r="F302" s="3">
        <v>1</v>
      </c>
      <c r="G302" s="3">
        <v>59741</v>
      </c>
      <c r="H302" s="3" t="s">
        <v>15</v>
      </c>
      <c r="I302" s="3">
        <v>2415</v>
      </c>
      <c r="J302" s="3">
        <v>64</v>
      </c>
      <c r="K302" s="4">
        <v>44154</v>
      </c>
      <c r="L302" s="10">
        <v>318639.60830000002</v>
      </c>
    </row>
    <row r="303" spans="1:12" x14ac:dyDescent="0.3">
      <c r="A303" s="2">
        <v>301</v>
      </c>
      <c r="B303" s="3" t="s">
        <v>31</v>
      </c>
      <c r="C303" s="3" t="s">
        <v>186</v>
      </c>
      <c r="D303" s="3" t="s">
        <v>14</v>
      </c>
      <c r="E303" s="3">
        <v>4234</v>
      </c>
      <c r="F303" s="3">
        <v>4</v>
      </c>
      <c r="G303" s="3">
        <v>71894</v>
      </c>
      <c r="H303" s="3" t="s">
        <v>15</v>
      </c>
      <c r="I303" s="3">
        <v>1861</v>
      </c>
      <c r="J303" s="3">
        <v>46</v>
      </c>
      <c r="K303" s="4">
        <v>44470</v>
      </c>
      <c r="L303" s="10">
        <v>305354.21620000002</v>
      </c>
    </row>
    <row r="304" spans="1:12" x14ac:dyDescent="0.3">
      <c r="A304" s="2">
        <v>302</v>
      </c>
      <c r="B304" s="3" t="s">
        <v>57</v>
      </c>
      <c r="C304" s="3" t="s">
        <v>67</v>
      </c>
      <c r="D304" s="3" t="s">
        <v>18</v>
      </c>
      <c r="E304" s="3">
        <v>26674</v>
      </c>
      <c r="F304" s="3">
        <v>0</v>
      </c>
      <c r="G304" s="3">
        <v>63952</v>
      </c>
      <c r="H304" s="3" t="s">
        <v>21</v>
      </c>
      <c r="I304" s="3">
        <v>1294</v>
      </c>
      <c r="J304" s="3">
        <v>59</v>
      </c>
      <c r="K304" s="4">
        <v>44236</v>
      </c>
      <c r="L304" s="10">
        <v>391499.18609999999</v>
      </c>
    </row>
    <row r="305" spans="1:12" x14ac:dyDescent="0.3">
      <c r="A305" s="2">
        <v>303</v>
      </c>
      <c r="B305" s="3" t="s">
        <v>28</v>
      </c>
      <c r="C305" s="3" t="s">
        <v>115</v>
      </c>
      <c r="D305" s="3" t="s">
        <v>14</v>
      </c>
      <c r="E305" s="3">
        <v>23438</v>
      </c>
      <c r="F305" s="3">
        <v>0</v>
      </c>
      <c r="G305" s="3">
        <v>70962</v>
      </c>
      <c r="H305" s="3" t="s">
        <v>23</v>
      </c>
      <c r="I305" s="3">
        <v>2338</v>
      </c>
      <c r="J305" s="3">
        <v>94</v>
      </c>
      <c r="K305" s="4">
        <v>44784</v>
      </c>
      <c r="L305" s="10">
        <v>353933.74160000001</v>
      </c>
    </row>
    <row r="306" spans="1:12" x14ac:dyDescent="0.3">
      <c r="A306" s="2">
        <v>304</v>
      </c>
      <c r="B306" s="3" t="s">
        <v>26</v>
      </c>
      <c r="C306" s="3" t="s">
        <v>93</v>
      </c>
      <c r="D306" s="3" t="s">
        <v>14</v>
      </c>
      <c r="E306" s="3">
        <v>19468</v>
      </c>
      <c r="F306" s="3">
        <v>6</v>
      </c>
      <c r="G306" s="3">
        <v>88059</v>
      </c>
      <c r="H306" s="3" t="s">
        <v>15</v>
      </c>
      <c r="I306" s="3">
        <v>2450</v>
      </c>
      <c r="J306" s="3">
        <v>76</v>
      </c>
      <c r="K306" s="4">
        <v>44591</v>
      </c>
      <c r="L306" s="10">
        <v>328519.43770000001</v>
      </c>
    </row>
    <row r="307" spans="1:12" x14ac:dyDescent="0.3">
      <c r="A307" s="2">
        <v>305</v>
      </c>
      <c r="B307" s="3" t="s">
        <v>35</v>
      </c>
      <c r="C307" s="3" t="s">
        <v>62</v>
      </c>
      <c r="D307" s="3" t="s">
        <v>18</v>
      </c>
      <c r="E307" s="3">
        <v>11246</v>
      </c>
      <c r="F307" s="3">
        <v>8</v>
      </c>
      <c r="G307" s="3">
        <v>59979</v>
      </c>
      <c r="H307" s="3" t="s">
        <v>15</v>
      </c>
      <c r="I307" s="3">
        <v>1414</v>
      </c>
      <c r="J307" s="3">
        <v>57</v>
      </c>
      <c r="K307" s="4">
        <v>45083</v>
      </c>
      <c r="L307" s="10">
        <v>353612.89279999997</v>
      </c>
    </row>
    <row r="308" spans="1:12" x14ac:dyDescent="0.3">
      <c r="A308" s="2">
        <v>306</v>
      </c>
      <c r="B308" s="3" t="s">
        <v>31</v>
      </c>
      <c r="C308" s="3" t="s">
        <v>81</v>
      </c>
      <c r="D308" s="3" t="s">
        <v>14</v>
      </c>
      <c r="E308" s="3">
        <v>9869</v>
      </c>
      <c r="F308" s="3">
        <v>6</v>
      </c>
      <c r="G308" s="3">
        <v>65250</v>
      </c>
      <c r="H308" s="3" t="s">
        <v>21</v>
      </c>
      <c r="I308" s="3">
        <v>1395</v>
      </c>
      <c r="J308" s="3">
        <v>65</v>
      </c>
      <c r="K308" s="4">
        <v>45161</v>
      </c>
      <c r="L308" s="10">
        <v>333055.55300000001</v>
      </c>
    </row>
    <row r="309" spans="1:12" x14ac:dyDescent="0.3">
      <c r="A309" s="2">
        <v>307</v>
      </c>
      <c r="B309" s="3" t="s">
        <v>53</v>
      </c>
      <c r="C309" s="3" t="s">
        <v>131</v>
      </c>
      <c r="D309" s="3" t="s">
        <v>18</v>
      </c>
      <c r="E309" s="3">
        <v>23981</v>
      </c>
      <c r="F309" s="3">
        <v>1</v>
      </c>
      <c r="G309" s="3">
        <v>83378</v>
      </c>
      <c r="H309" s="3" t="s">
        <v>15</v>
      </c>
      <c r="I309" s="3">
        <v>2104</v>
      </c>
      <c r="J309" s="3">
        <v>38</v>
      </c>
      <c r="K309" s="4">
        <v>43892</v>
      </c>
      <c r="L309" s="10">
        <v>355928.42389999999</v>
      </c>
    </row>
    <row r="310" spans="1:12" x14ac:dyDescent="0.3">
      <c r="A310" s="2">
        <v>308</v>
      </c>
      <c r="B310" s="3" t="s">
        <v>53</v>
      </c>
      <c r="C310" s="3" t="s">
        <v>178</v>
      </c>
      <c r="D310" s="3" t="s">
        <v>14</v>
      </c>
      <c r="E310" s="3">
        <v>16242</v>
      </c>
      <c r="F310" s="3">
        <v>5</v>
      </c>
      <c r="G310" s="3">
        <v>81727</v>
      </c>
      <c r="H310" s="3" t="s">
        <v>15</v>
      </c>
      <c r="I310" s="3">
        <v>1653</v>
      </c>
      <c r="J310" s="3">
        <v>96</v>
      </c>
      <c r="K310" s="4">
        <v>43997</v>
      </c>
      <c r="L310" s="10">
        <v>300929.9314</v>
      </c>
    </row>
    <row r="311" spans="1:12" x14ac:dyDescent="0.3">
      <c r="A311" s="2">
        <v>309</v>
      </c>
      <c r="B311" s="3" t="s">
        <v>72</v>
      </c>
      <c r="C311" s="3" t="s">
        <v>167</v>
      </c>
      <c r="D311" s="3" t="s">
        <v>18</v>
      </c>
      <c r="E311" s="3">
        <v>7934</v>
      </c>
      <c r="F311" s="3">
        <v>9</v>
      </c>
      <c r="G311" s="3">
        <v>89135</v>
      </c>
      <c r="H311" s="3" t="s">
        <v>21</v>
      </c>
      <c r="I311" s="3">
        <v>2900</v>
      </c>
      <c r="J311" s="3">
        <v>54</v>
      </c>
      <c r="K311" s="4">
        <v>45072</v>
      </c>
      <c r="L311" s="10">
        <v>404040.7072</v>
      </c>
    </row>
    <row r="312" spans="1:12" x14ac:dyDescent="0.3">
      <c r="A312" s="2">
        <v>310</v>
      </c>
      <c r="B312" s="3" t="s">
        <v>53</v>
      </c>
      <c r="C312" s="3" t="s">
        <v>152</v>
      </c>
      <c r="D312" s="3" t="s">
        <v>14</v>
      </c>
      <c r="E312" s="3">
        <v>24084</v>
      </c>
      <c r="F312" s="3">
        <v>8</v>
      </c>
      <c r="G312" s="3">
        <v>86072</v>
      </c>
      <c r="H312" s="3" t="s">
        <v>21</v>
      </c>
      <c r="I312" s="3">
        <v>1210</v>
      </c>
      <c r="J312" s="3">
        <v>66</v>
      </c>
      <c r="K312" s="4">
        <v>43909</v>
      </c>
      <c r="L312" s="10">
        <v>344422.1961</v>
      </c>
    </row>
    <row r="313" spans="1:12" x14ac:dyDescent="0.3">
      <c r="A313" s="2">
        <v>311</v>
      </c>
      <c r="B313" s="3" t="s">
        <v>33</v>
      </c>
      <c r="C313" s="3" t="s">
        <v>92</v>
      </c>
      <c r="D313" s="3" t="s">
        <v>18</v>
      </c>
      <c r="E313" s="3">
        <v>738</v>
      </c>
      <c r="F313" s="3">
        <v>7</v>
      </c>
      <c r="G313" s="3">
        <v>58012</v>
      </c>
      <c r="H313" s="3" t="s">
        <v>21</v>
      </c>
      <c r="I313" s="3">
        <v>2787</v>
      </c>
      <c r="J313" s="3">
        <v>77</v>
      </c>
      <c r="K313" s="4">
        <v>45340</v>
      </c>
      <c r="L313" s="10">
        <v>392204.97960000002</v>
      </c>
    </row>
    <row r="314" spans="1:12" x14ac:dyDescent="0.3">
      <c r="A314" s="2">
        <v>312</v>
      </c>
      <c r="B314" s="3" t="s">
        <v>40</v>
      </c>
      <c r="C314" s="3" t="s">
        <v>121</v>
      </c>
      <c r="D314" s="3" t="s">
        <v>14</v>
      </c>
      <c r="E314" s="3">
        <v>26372</v>
      </c>
      <c r="F314" s="3">
        <v>0</v>
      </c>
      <c r="G314" s="3">
        <v>51156</v>
      </c>
      <c r="H314" s="3" t="s">
        <v>15</v>
      </c>
      <c r="I314" s="3">
        <v>1881</v>
      </c>
      <c r="J314" s="3">
        <v>29</v>
      </c>
      <c r="K314" s="4">
        <v>44107</v>
      </c>
      <c r="L314" s="10">
        <v>324309.38160000002</v>
      </c>
    </row>
    <row r="315" spans="1:12" x14ac:dyDescent="0.3">
      <c r="A315" s="2">
        <v>313</v>
      </c>
      <c r="B315" s="3" t="s">
        <v>28</v>
      </c>
      <c r="C315" s="3" t="s">
        <v>115</v>
      </c>
      <c r="D315" s="3" t="s">
        <v>18</v>
      </c>
      <c r="E315" s="3">
        <v>17824</v>
      </c>
      <c r="F315" s="3">
        <v>2</v>
      </c>
      <c r="G315" s="3">
        <v>56855</v>
      </c>
      <c r="H315" s="3" t="s">
        <v>23</v>
      </c>
      <c r="I315" s="3">
        <v>1680</v>
      </c>
      <c r="J315" s="3">
        <v>71</v>
      </c>
      <c r="K315" s="4">
        <v>44407</v>
      </c>
      <c r="L315" s="10">
        <v>375509.72039999999</v>
      </c>
    </row>
    <row r="316" spans="1:12" x14ac:dyDescent="0.3">
      <c r="A316" s="2">
        <v>314</v>
      </c>
      <c r="B316" s="3" t="s">
        <v>35</v>
      </c>
      <c r="C316" s="3" t="s">
        <v>139</v>
      </c>
      <c r="D316" s="3" t="s">
        <v>18</v>
      </c>
      <c r="E316" s="3">
        <v>15861</v>
      </c>
      <c r="F316" s="3">
        <v>8</v>
      </c>
      <c r="G316" s="3">
        <v>73030</v>
      </c>
      <c r="H316" s="3" t="s">
        <v>23</v>
      </c>
      <c r="I316" s="3">
        <v>1672</v>
      </c>
      <c r="J316" s="3">
        <v>79</v>
      </c>
      <c r="K316" s="4">
        <v>45118</v>
      </c>
      <c r="L316" s="10">
        <v>410851.92320000002</v>
      </c>
    </row>
    <row r="317" spans="1:12" x14ac:dyDescent="0.3">
      <c r="A317" s="2">
        <v>315</v>
      </c>
      <c r="B317" s="3" t="s">
        <v>28</v>
      </c>
      <c r="C317" s="3" t="s">
        <v>187</v>
      </c>
      <c r="D317" s="3" t="s">
        <v>14</v>
      </c>
      <c r="E317" s="3">
        <v>19866</v>
      </c>
      <c r="F317" s="3">
        <v>9</v>
      </c>
      <c r="G317" s="3">
        <v>83222</v>
      </c>
      <c r="H317" s="3" t="s">
        <v>15</v>
      </c>
      <c r="I317" s="3">
        <v>2365</v>
      </c>
      <c r="J317" s="3">
        <v>89</v>
      </c>
      <c r="K317" s="4">
        <v>44670</v>
      </c>
      <c r="L317" s="10">
        <v>338019.02639999997</v>
      </c>
    </row>
    <row r="318" spans="1:12" x14ac:dyDescent="0.3">
      <c r="A318" s="2">
        <v>316</v>
      </c>
      <c r="B318" s="3" t="s">
        <v>108</v>
      </c>
      <c r="C318" s="3" t="s">
        <v>161</v>
      </c>
      <c r="D318" s="3" t="s">
        <v>18</v>
      </c>
      <c r="E318" s="3">
        <v>3406</v>
      </c>
      <c r="F318" s="3">
        <v>4</v>
      </c>
      <c r="G318" s="3">
        <v>59520</v>
      </c>
      <c r="H318" s="3" t="s">
        <v>21</v>
      </c>
      <c r="I318" s="3">
        <v>1670</v>
      </c>
      <c r="J318" s="3">
        <v>36</v>
      </c>
      <c r="K318" s="4">
        <v>45311</v>
      </c>
      <c r="L318" s="10">
        <v>336914.91350000002</v>
      </c>
    </row>
    <row r="319" spans="1:12" x14ac:dyDescent="0.3">
      <c r="A319" s="2">
        <v>317</v>
      </c>
      <c r="B319" s="3" t="s">
        <v>31</v>
      </c>
      <c r="C319" s="3" t="s">
        <v>63</v>
      </c>
      <c r="D319" s="3" t="s">
        <v>14</v>
      </c>
      <c r="E319" s="3">
        <v>16081</v>
      </c>
      <c r="F319" s="3">
        <v>6</v>
      </c>
      <c r="G319" s="3">
        <v>71654</v>
      </c>
      <c r="H319" s="3" t="s">
        <v>15</v>
      </c>
      <c r="I319" s="3">
        <v>1084</v>
      </c>
      <c r="J319" s="3">
        <v>62</v>
      </c>
      <c r="K319" s="4">
        <v>44421</v>
      </c>
      <c r="L319" s="10">
        <v>292926.94329999998</v>
      </c>
    </row>
    <row r="320" spans="1:12" x14ac:dyDescent="0.3">
      <c r="A320" s="2">
        <v>318</v>
      </c>
      <c r="B320" s="3" t="s">
        <v>37</v>
      </c>
      <c r="C320" s="3" t="s">
        <v>90</v>
      </c>
      <c r="D320" s="3" t="s">
        <v>18</v>
      </c>
      <c r="E320" s="3">
        <v>29655</v>
      </c>
      <c r="F320" s="3">
        <v>0</v>
      </c>
      <c r="G320" s="3">
        <v>54765</v>
      </c>
      <c r="H320" s="3" t="s">
        <v>15</v>
      </c>
      <c r="I320" s="3">
        <v>1447</v>
      </c>
      <c r="J320" s="3">
        <v>80</v>
      </c>
      <c r="K320" s="4">
        <v>44862</v>
      </c>
      <c r="L320" s="10">
        <v>354703.72009999998</v>
      </c>
    </row>
    <row r="321" spans="1:12" x14ac:dyDescent="0.3">
      <c r="A321" s="2">
        <v>319</v>
      </c>
      <c r="B321" s="3" t="s">
        <v>12</v>
      </c>
      <c r="C321" s="3" t="s">
        <v>85</v>
      </c>
      <c r="D321" s="3" t="s">
        <v>18</v>
      </c>
      <c r="E321" s="3">
        <v>28661</v>
      </c>
      <c r="F321" s="3">
        <v>2</v>
      </c>
      <c r="G321" s="3">
        <v>90255</v>
      </c>
      <c r="H321" s="3" t="s">
        <v>15</v>
      </c>
      <c r="I321" s="3">
        <v>2246</v>
      </c>
      <c r="J321" s="3">
        <v>99</v>
      </c>
      <c r="K321" s="4">
        <v>44393</v>
      </c>
      <c r="L321" s="10">
        <v>395184.00750000001</v>
      </c>
    </row>
    <row r="322" spans="1:12" x14ac:dyDescent="0.3">
      <c r="A322" s="2">
        <v>320</v>
      </c>
      <c r="B322" s="3" t="s">
        <v>40</v>
      </c>
      <c r="C322" s="3" t="s">
        <v>42</v>
      </c>
      <c r="D322" s="3" t="s">
        <v>18</v>
      </c>
      <c r="E322" s="3">
        <v>9901</v>
      </c>
      <c r="F322" s="3">
        <v>4</v>
      </c>
      <c r="G322" s="3">
        <v>61402</v>
      </c>
      <c r="H322" s="3" t="s">
        <v>23</v>
      </c>
      <c r="I322" s="3">
        <v>1211</v>
      </c>
      <c r="J322" s="3">
        <v>51</v>
      </c>
      <c r="K322" s="4">
        <v>45036</v>
      </c>
      <c r="L322" s="10">
        <v>389185.86489999999</v>
      </c>
    </row>
    <row r="323" spans="1:12" x14ac:dyDescent="0.3">
      <c r="A323" s="2">
        <v>321</v>
      </c>
      <c r="B323" s="3" t="s">
        <v>31</v>
      </c>
      <c r="C323" s="3" t="s">
        <v>32</v>
      </c>
      <c r="D323" s="3" t="s">
        <v>14</v>
      </c>
      <c r="E323" s="3">
        <v>18684</v>
      </c>
      <c r="F323" s="3">
        <v>5</v>
      </c>
      <c r="G323" s="3">
        <v>63376</v>
      </c>
      <c r="H323" s="3" t="s">
        <v>21</v>
      </c>
      <c r="I323" s="3">
        <v>2926</v>
      </c>
      <c r="J323" s="3">
        <v>67</v>
      </c>
      <c r="K323" s="4">
        <v>43874</v>
      </c>
      <c r="L323" s="10">
        <v>348526.94010000001</v>
      </c>
    </row>
    <row r="324" spans="1:12" x14ac:dyDescent="0.3">
      <c r="A324" s="2">
        <v>322</v>
      </c>
      <c r="B324" s="3" t="s">
        <v>29</v>
      </c>
      <c r="C324" s="3" t="s">
        <v>107</v>
      </c>
      <c r="D324" s="3" t="s">
        <v>14</v>
      </c>
      <c r="E324" s="3">
        <v>13118</v>
      </c>
      <c r="F324" s="3">
        <v>5</v>
      </c>
      <c r="G324" s="3">
        <v>86802</v>
      </c>
      <c r="H324" s="3" t="s">
        <v>15</v>
      </c>
      <c r="I324" s="3">
        <v>1150</v>
      </c>
      <c r="J324" s="3">
        <v>57</v>
      </c>
      <c r="K324" s="4">
        <v>44869</v>
      </c>
      <c r="L324" s="10">
        <v>287433.24300000002</v>
      </c>
    </row>
    <row r="325" spans="1:12" x14ac:dyDescent="0.3">
      <c r="A325" s="2">
        <v>323</v>
      </c>
      <c r="B325" s="3" t="s">
        <v>26</v>
      </c>
      <c r="C325" s="3" t="s">
        <v>93</v>
      </c>
      <c r="D325" s="3" t="s">
        <v>14</v>
      </c>
      <c r="E325" s="3">
        <v>21838</v>
      </c>
      <c r="F325" s="3">
        <v>9</v>
      </c>
      <c r="G325" s="3">
        <v>78540</v>
      </c>
      <c r="H325" s="3" t="s">
        <v>21</v>
      </c>
      <c r="I325" s="3">
        <v>2702</v>
      </c>
      <c r="J325" s="3">
        <v>50</v>
      </c>
      <c r="K325" s="4">
        <v>44195</v>
      </c>
      <c r="L325" s="10">
        <v>338086.0281</v>
      </c>
    </row>
    <row r="326" spans="1:12" x14ac:dyDescent="0.3">
      <c r="A326" s="2">
        <v>324</v>
      </c>
      <c r="B326" s="3" t="s">
        <v>24</v>
      </c>
      <c r="C326" s="3" t="s">
        <v>39</v>
      </c>
      <c r="D326" s="3" t="s">
        <v>14</v>
      </c>
      <c r="E326" s="3">
        <v>13757</v>
      </c>
      <c r="F326" s="3">
        <v>2</v>
      </c>
      <c r="G326" s="3">
        <v>58709</v>
      </c>
      <c r="H326" s="3" t="s">
        <v>15</v>
      </c>
      <c r="I326" s="3">
        <v>2856</v>
      </c>
      <c r="J326" s="3">
        <v>78</v>
      </c>
      <c r="K326" s="4">
        <v>45397</v>
      </c>
      <c r="L326" s="10">
        <v>310672.82669999998</v>
      </c>
    </row>
    <row r="327" spans="1:12" x14ac:dyDescent="0.3">
      <c r="A327" s="2">
        <v>325</v>
      </c>
      <c r="B327" s="3" t="s">
        <v>35</v>
      </c>
      <c r="C327" s="3" t="s">
        <v>150</v>
      </c>
      <c r="D327" s="3" t="s">
        <v>14</v>
      </c>
      <c r="E327" s="3">
        <v>7912</v>
      </c>
      <c r="F327" s="3">
        <v>7</v>
      </c>
      <c r="G327" s="3">
        <v>98654</v>
      </c>
      <c r="H327" s="3" t="s">
        <v>15</v>
      </c>
      <c r="I327" s="3">
        <v>2540</v>
      </c>
      <c r="J327" s="3">
        <v>48</v>
      </c>
      <c r="K327" s="4">
        <v>43834</v>
      </c>
      <c r="L327" s="10">
        <v>317238.72950000002</v>
      </c>
    </row>
    <row r="328" spans="1:12" x14ac:dyDescent="0.3">
      <c r="A328" s="2">
        <v>326</v>
      </c>
      <c r="B328" s="3" t="s">
        <v>29</v>
      </c>
      <c r="C328" s="3" t="s">
        <v>188</v>
      </c>
      <c r="D328" s="3" t="s">
        <v>18</v>
      </c>
      <c r="E328" s="3">
        <v>27331</v>
      </c>
      <c r="F328" s="3">
        <v>2</v>
      </c>
      <c r="G328" s="3">
        <v>99141</v>
      </c>
      <c r="H328" s="3" t="s">
        <v>21</v>
      </c>
      <c r="I328" s="3">
        <v>2364</v>
      </c>
      <c r="J328" s="3">
        <v>96</v>
      </c>
      <c r="K328" s="4">
        <v>44027</v>
      </c>
      <c r="L328" s="10">
        <v>422234.7954</v>
      </c>
    </row>
    <row r="329" spans="1:12" x14ac:dyDescent="0.3">
      <c r="A329" s="2">
        <v>327</v>
      </c>
      <c r="B329" s="3" t="s">
        <v>24</v>
      </c>
      <c r="C329" s="3" t="s">
        <v>101</v>
      </c>
      <c r="D329" s="3" t="s">
        <v>18</v>
      </c>
      <c r="E329" s="3">
        <v>19402</v>
      </c>
      <c r="F329" s="3">
        <v>8</v>
      </c>
      <c r="G329" s="3">
        <v>74743</v>
      </c>
      <c r="H329" s="3" t="s">
        <v>23</v>
      </c>
      <c r="I329" s="3">
        <v>1501</v>
      </c>
      <c r="J329" s="3">
        <v>22</v>
      </c>
      <c r="K329" s="4">
        <v>44892</v>
      </c>
      <c r="L329" s="10">
        <v>368181.20199999999</v>
      </c>
    </row>
    <row r="330" spans="1:12" x14ac:dyDescent="0.3">
      <c r="A330" s="2">
        <v>328</v>
      </c>
      <c r="B330" s="3" t="s">
        <v>122</v>
      </c>
      <c r="C330" s="3" t="s">
        <v>189</v>
      </c>
      <c r="D330" s="3" t="s">
        <v>18</v>
      </c>
      <c r="E330" s="3">
        <v>5686</v>
      </c>
      <c r="F330" s="3">
        <v>4</v>
      </c>
      <c r="G330" s="3">
        <v>66567</v>
      </c>
      <c r="H330" s="3" t="s">
        <v>23</v>
      </c>
      <c r="I330" s="3">
        <v>2459</v>
      </c>
      <c r="J330" s="3">
        <v>55</v>
      </c>
      <c r="K330" s="4">
        <v>44640</v>
      </c>
      <c r="L330" s="10">
        <v>376808.01689999999</v>
      </c>
    </row>
    <row r="331" spans="1:12" x14ac:dyDescent="0.3">
      <c r="A331" s="2">
        <v>329</v>
      </c>
      <c r="B331" s="3" t="s">
        <v>55</v>
      </c>
      <c r="C331" s="3" t="s">
        <v>148</v>
      </c>
      <c r="D331" s="3" t="s">
        <v>18</v>
      </c>
      <c r="E331" s="3">
        <v>14354</v>
      </c>
      <c r="F331" s="3">
        <v>8</v>
      </c>
      <c r="G331" s="3">
        <v>70351</v>
      </c>
      <c r="H331" s="3" t="s">
        <v>21</v>
      </c>
      <c r="I331" s="3">
        <v>1759</v>
      </c>
      <c r="J331" s="3">
        <v>71</v>
      </c>
      <c r="K331" s="4">
        <v>45149</v>
      </c>
      <c r="L331" s="10">
        <v>373051.50900000002</v>
      </c>
    </row>
    <row r="332" spans="1:12" x14ac:dyDescent="0.3">
      <c r="A332" s="2">
        <v>330</v>
      </c>
      <c r="B332" s="3" t="s">
        <v>16</v>
      </c>
      <c r="C332" s="3" t="s">
        <v>87</v>
      </c>
      <c r="D332" s="3" t="s">
        <v>18</v>
      </c>
      <c r="E332" s="3">
        <v>24321</v>
      </c>
      <c r="F332" s="3">
        <v>5</v>
      </c>
      <c r="G332" s="3">
        <v>82118</v>
      </c>
      <c r="H332" s="3" t="s">
        <v>15</v>
      </c>
      <c r="I332" s="3">
        <v>1150</v>
      </c>
      <c r="J332" s="3">
        <v>51</v>
      </c>
      <c r="K332" s="4">
        <v>43832</v>
      </c>
      <c r="L332" s="10">
        <v>360385.864</v>
      </c>
    </row>
    <row r="333" spans="1:12" x14ac:dyDescent="0.3">
      <c r="A333" s="2">
        <v>331</v>
      </c>
      <c r="B333" s="3" t="s">
        <v>122</v>
      </c>
      <c r="C333" s="3" t="s">
        <v>133</v>
      </c>
      <c r="D333" s="3" t="s">
        <v>14</v>
      </c>
      <c r="E333" s="3">
        <v>27810</v>
      </c>
      <c r="F333" s="3">
        <v>3</v>
      </c>
      <c r="G333" s="3">
        <v>98464</v>
      </c>
      <c r="H333" s="3" t="s">
        <v>23</v>
      </c>
      <c r="I333" s="3">
        <v>2129</v>
      </c>
      <c r="J333" s="3">
        <v>27</v>
      </c>
      <c r="K333" s="4">
        <v>44301</v>
      </c>
      <c r="L333" s="10">
        <v>337292.65100000001</v>
      </c>
    </row>
    <row r="334" spans="1:12" x14ac:dyDescent="0.3">
      <c r="A334" s="2">
        <v>332</v>
      </c>
      <c r="B334" s="3" t="s">
        <v>28</v>
      </c>
      <c r="C334" s="3" t="s">
        <v>187</v>
      </c>
      <c r="D334" s="3" t="s">
        <v>18</v>
      </c>
      <c r="E334" s="3">
        <v>8339</v>
      </c>
      <c r="F334" s="3">
        <v>1</v>
      </c>
      <c r="G334" s="3">
        <v>81313</v>
      </c>
      <c r="H334" s="3" t="s">
        <v>23</v>
      </c>
      <c r="I334" s="3">
        <v>1977</v>
      </c>
      <c r="J334" s="3">
        <v>20</v>
      </c>
      <c r="K334" s="4">
        <v>45473</v>
      </c>
      <c r="L334" s="10">
        <v>363169.74739999999</v>
      </c>
    </row>
    <row r="335" spans="1:12" x14ac:dyDescent="0.3">
      <c r="A335" s="2">
        <v>333</v>
      </c>
      <c r="B335" s="3" t="s">
        <v>57</v>
      </c>
      <c r="C335" s="3" t="s">
        <v>78</v>
      </c>
      <c r="D335" s="3" t="s">
        <v>14</v>
      </c>
      <c r="E335" s="3">
        <v>22752</v>
      </c>
      <c r="F335" s="3">
        <v>7</v>
      </c>
      <c r="G335" s="3">
        <v>57045</v>
      </c>
      <c r="H335" s="3" t="s">
        <v>21</v>
      </c>
      <c r="I335" s="3">
        <v>2264</v>
      </c>
      <c r="J335" s="3">
        <v>51</v>
      </c>
      <c r="K335" s="4">
        <v>44888</v>
      </c>
      <c r="L335" s="10">
        <v>330018.62579999998</v>
      </c>
    </row>
    <row r="336" spans="1:12" x14ac:dyDescent="0.3">
      <c r="A336" s="2">
        <v>334</v>
      </c>
      <c r="B336" s="3" t="s">
        <v>33</v>
      </c>
      <c r="C336" s="3" t="s">
        <v>92</v>
      </c>
      <c r="D336" s="3" t="s">
        <v>18</v>
      </c>
      <c r="E336" s="3">
        <v>6062</v>
      </c>
      <c r="F336" s="3">
        <v>1</v>
      </c>
      <c r="G336" s="3">
        <v>61421</v>
      </c>
      <c r="H336" s="3" t="s">
        <v>23</v>
      </c>
      <c r="I336" s="3">
        <v>1142</v>
      </c>
      <c r="J336" s="3">
        <v>76</v>
      </c>
      <c r="K336" s="4">
        <v>44959</v>
      </c>
      <c r="L336" s="10">
        <v>399878.07449999999</v>
      </c>
    </row>
    <row r="337" spans="1:12" x14ac:dyDescent="0.3">
      <c r="A337" s="2">
        <v>335</v>
      </c>
      <c r="B337" s="3" t="s">
        <v>35</v>
      </c>
      <c r="C337" s="3" t="s">
        <v>150</v>
      </c>
      <c r="D337" s="3" t="s">
        <v>14</v>
      </c>
      <c r="E337" s="3">
        <v>23654</v>
      </c>
      <c r="F337" s="3">
        <v>5</v>
      </c>
      <c r="G337" s="3">
        <v>53052</v>
      </c>
      <c r="H337" s="3" t="s">
        <v>15</v>
      </c>
      <c r="I337" s="3">
        <v>1079</v>
      </c>
      <c r="J337" s="3">
        <v>40</v>
      </c>
      <c r="K337" s="4">
        <v>44002</v>
      </c>
      <c r="L337" s="10">
        <v>321729.22070000001</v>
      </c>
    </row>
    <row r="338" spans="1:12" x14ac:dyDescent="0.3">
      <c r="A338" s="2">
        <v>336</v>
      </c>
      <c r="B338" s="3" t="s">
        <v>44</v>
      </c>
      <c r="C338" s="3" t="s">
        <v>190</v>
      </c>
      <c r="D338" s="3" t="s">
        <v>14</v>
      </c>
      <c r="E338" s="3">
        <v>20977</v>
      </c>
      <c r="F338" s="3">
        <v>3</v>
      </c>
      <c r="G338" s="3">
        <v>91170</v>
      </c>
      <c r="H338" s="3" t="s">
        <v>21</v>
      </c>
      <c r="I338" s="3">
        <v>1728</v>
      </c>
      <c r="J338" s="3">
        <v>20</v>
      </c>
      <c r="K338" s="4">
        <v>44183</v>
      </c>
      <c r="L338" s="10">
        <v>321464.28389999998</v>
      </c>
    </row>
    <row r="339" spans="1:12" x14ac:dyDescent="0.3">
      <c r="A339" s="2">
        <v>337</v>
      </c>
      <c r="B339" s="3" t="s">
        <v>55</v>
      </c>
      <c r="C339" s="3" t="s">
        <v>98</v>
      </c>
      <c r="D339" s="3" t="s">
        <v>18</v>
      </c>
      <c r="E339" s="3">
        <v>10146</v>
      </c>
      <c r="F339" s="3">
        <v>3</v>
      </c>
      <c r="G339" s="3">
        <v>82469</v>
      </c>
      <c r="H339" s="3" t="s">
        <v>21</v>
      </c>
      <c r="I339" s="3">
        <v>2658</v>
      </c>
      <c r="J339" s="3">
        <v>40</v>
      </c>
      <c r="K339" s="4">
        <v>44576</v>
      </c>
      <c r="L339" s="10">
        <v>395560.0024</v>
      </c>
    </row>
    <row r="340" spans="1:12" x14ac:dyDescent="0.3">
      <c r="A340" s="2">
        <v>338</v>
      </c>
      <c r="B340" s="3" t="s">
        <v>19</v>
      </c>
      <c r="C340" s="3" t="s">
        <v>52</v>
      </c>
      <c r="D340" s="3" t="s">
        <v>14</v>
      </c>
      <c r="E340" s="3">
        <v>7936</v>
      </c>
      <c r="F340" s="3">
        <v>8</v>
      </c>
      <c r="G340" s="3">
        <v>54824</v>
      </c>
      <c r="H340" s="3" t="s">
        <v>21</v>
      </c>
      <c r="I340" s="3">
        <v>2484</v>
      </c>
      <c r="J340" s="3">
        <v>90</v>
      </c>
      <c r="K340" s="4">
        <v>44347</v>
      </c>
      <c r="L340" s="10">
        <v>340678.60350000003</v>
      </c>
    </row>
    <row r="341" spans="1:12" x14ac:dyDescent="0.3">
      <c r="A341" s="2">
        <v>339</v>
      </c>
      <c r="B341" s="3" t="s">
        <v>53</v>
      </c>
      <c r="C341" s="3" t="s">
        <v>131</v>
      </c>
      <c r="D341" s="3" t="s">
        <v>18</v>
      </c>
      <c r="E341" s="3">
        <v>14571</v>
      </c>
      <c r="F341" s="3">
        <v>1</v>
      </c>
      <c r="G341" s="3">
        <v>83608</v>
      </c>
      <c r="H341" s="3" t="s">
        <v>21</v>
      </c>
      <c r="I341" s="3">
        <v>1303</v>
      </c>
      <c r="J341" s="3">
        <v>31</v>
      </c>
      <c r="K341" s="4">
        <v>44901</v>
      </c>
      <c r="L341" s="10">
        <v>363848.52519999997</v>
      </c>
    </row>
    <row r="342" spans="1:12" x14ac:dyDescent="0.3">
      <c r="A342" s="2">
        <v>340</v>
      </c>
      <c r="B342" s="3" t="s">
        <v>37</v>
      </c>
      <c r="C342" s="3" t="s">
        <v>128</v>
      </c>
      <c r="D342" s="3" t="s">
        <v>18</v>
      </c>
      <c r="E342" s="3">
        <v>20668</v>
      </c>
      <c r="F342" s="3">
        <v>7</v>
      </c>
      <c r="G342" s="3">
        <v>53268</v>
      </c>
      <c r="H342" s="3" t="s">
        <v>15</v>
      </c>
      <c r="I342" s="3">
        <v>1422</v>
      </c>
      <c r="J342" s="3">
        <v>48</v>
      </c>
      <c r="K342" s="4">
        <v>44923</v>
      </c>
      <c r="L342" s="10">
        <v>345573.815</v>
      </c>
    </row>
    <row r="343" spans="1:12" x14ac:dyDescent="0.3">
      <c r="A343" s="2">
        <v>341</v>
      </c>
      <c r="B343" s="3" t="s">
        <v>55</v>
      </c>
      <c r="C343" s="3" t="s">
        <v>67</v>
      </c>
      <c r="D343" s="3" t="s">
        <v>18</v>
      </c>
      <c r="E343" s="3">
        <v>11819</v>
      </c>
      <c r="F343" s="3">
        <v>5</v>
      </c>
      <c r="G343" s="3">
        <v>50806</v>
      </c>
      <c r="H343" s="3" t="s">
        <v>21</v>
      </c>
      <c r="I343" s="3">
        <v>1189</v>
      </c>
      <c r="J343" s="3">
        <v>27</v>
      </c>
      <c r="K343" s="4">
        <v>44072</v>
      </c>
      <c r="L343" s="10">
        <v>335635.38130000001</v>
      </c>
    </row>
    <row r="344" spans="1:12" x14ac:dyDescent="0.3">
      <c r="A344" s="2">
        <v>342</v>
      </c>
      <c r="B344" s="3" t="s">
        <v>19</v>
      </c>
      <c r="C344" s="3" t="s">
        <v>129</v>
      </c>
      <c r="D344" s="3" t="s">
        <v>14</v>
      </c>
      <c r="E344" s="3">
        <v>7175</v>
      </c>
      <c r="F344" s="3">
        <v>3</v>
      </c>
      <c r="G344" s="3">
        <v>95343</v>
      </c>
      <c r="H344" s="3" t="s">
        <v>15</v>
      </c>
      <c r="I344" s="3">
        <v>1937</v>
      </c>
      <c r="J344" s="3">
        <v>38</v>
      </c>
      <c r="K344" s="4">
        <v>44965</v>
      </c>
      <c r="L344" s="10">
        <v>311169.81439999997</v>
      </c>
    </row>
    <row r="345" spans="1:12" x14ac:dyDescent="0.3">
      <c r="A345" s="2">
        <v>343</v>
      </c>
      <c r="B345" s="3" t="s">
        <v>44</v>
      </c>
      <c r="C345" s="3" t="s">
        <v>82</v>
      </c>
      <c r="D345" s="3" t="s">
        <v>14</v>
      </c>
      <c r="E345" s="3">
        <v>8516</v>
      </c>
      <c r="F345" s="3">
        <v>7</v>
      </c>
      <c r="G345" s="3">
        <v>68383</v>
      </c>
      <c r="H345" s="3" t="s">
        <v>23</v>
      </c>
      <c r="I345" s="3">
        <v>1446</v>
      </c>
      <c r="J345" s="3">
        <v>32</v>
      </c>
      <c r="K345" s="4">
        <v>45144</v>
      </c>
      <c r="L345" s="10">
        <v>307728.27710000001</v>
      </c>
    </row>
    <row r="346" spans="1:12" x14ac:dyDescent="0.3">
      <c r="A346" s="2">
        <v>344</v>
      </c>
      <c r="B346" s="3" t="s">
        <v>24</v>
      </c>
      <c r="C346" s="3" t="s">
        <v>100</v>
      </c>
      <c r="D346" s="3" t="s">
        <v>14</v>
      </c>
      <c r="E346" s="3">
        <v>4970</v>
      </c>
      <c r="F346" s="3">
        <v>8</v>
      </c>
      <c r="G346" s="3">
        <v>66063</v>
      </c>
      <c r="H346" s="3" t="s">
        <v>15</v>
      </c>
      <c r="I346" s="3">
        <v>2849</v>
      </c>
      <c r="J346" s="3">
        <v>80</v>
      </c>
      <c r="K346" s="4">
        <v>44628</v>
      </c>
      <c r="L346" s="10">
        <v>336251.57179999998</v>
      </c>
    </row>
    <row r="347" spans="1:12" x14ac:dyDescent="0.3">
      <c r="A347" s="2">
        <v>345</v>
      </c>
      <c r="B347" s="3" t="s">
        <v>35</v>
      </c>
      <c r="C347" s="3" t="s">
        <v>191</v>
      </c>
      <c r="D347" s="3" t="s">
        <v>18</v>
      </c>
      <c r="E347" s="3">
        <v>27741</v>
      </c>
      <c r="F347" s="3">
        <v>6</v>
      </c>
      <c r="G347" s="3">
        <v>70760</v>
      </c>
      <c r="H347" s="3" t="s">
        <v>21</v>
      </c>
      <c r="I347" s="3">
        <v>1535</v>
      </c>
      <c r="J347" s="3">
        <v>63</v>
      </c>
      <c r="K347" s="4">
        <v>44711</v>
      </c>
      <c r="L347" s="10">
        <v>368316.42509999999</v>
      </c>
    </row>
    <row r="348" spans="1:12" x14ac:dyDescent="0.3">
      <c r="A348" s="2">
        <v>346</v>
      </c>
      <c r="B348" s="3" t="s">
        <v>33</v>
      </c>
      <c r="C348" s="3" t="s">
        <v>184</v>
      </c>
      <c r="D348" s="3" t="s">
        <v>18</v>
      </c>
      <c r="E348" s="3">
        <v>10909</v>
      </c>
      <c r="F348" s="3">
        <v>8</v>
      </c>
      <c r="G348" s="3">
        <v>51282</v>
      </c>
      <c r="H348" s="3" t="s">
        <v>23</v>
      </c>
      <c r="I348" s="3">
        <v>1694</v>
      </c>
      <c r="J348" s="3">
        <v>77</v>
      </c>
      <c r="K348" s="4">
        <v>44394</v>
      </c>
      <c r="L348" s="10">
        <v>359313.92599999998</v>
      </c>
    </row>
    <row r="349" spans="1:12" x14ac:dyDescent="0.3">
      <c r="A349" s="2">
        <v>347</v>
      </c>
      <c r="B349" s="3" t="s">
        <v>53</v>
      </c>
      <c r="C349" s="3" t="s">
        <v>157</v>
      </c>
      <c r="D349" s="3" t="s">
        <v>14</v>
      </c>
      <c r="E349" s="3">
        <v>3077</v>
      </c>
      <c r="F349" s="3">
        <v>3</v>
      </c>
      <c r="G349" s="3">
        <v>52050</v>
      </c>
      <c r="H349" s="3" t="s">
        <v>15</v>
      </c>
      <c r="I349" s="3">
        <v>2803</v>
      </c>
      <c r="J349" s="3">
        <v>21</v>
      </c>
      <c r="K349" s="4">
        <v>45306</v>
      </c>
      <c r="L349" s="10">
        <v>308945.02960000001</v>
      </c>
    </row>
    <row r="350" spans="1:12" x14ac:dyDescent="0.3">
      <c r="A350" s="2">
        <v>348</v>
      </c>
      <c r="B350" s="3" t="s">
        <v>19</v>
      </c>
      <c r="C350" s="3" t="s">
        <v>130</v>
      </c>
      <c r="D350" s="3" t="s">
        <v>14</v>
      </c>
      <c r="E350" s="3">
        <v>12105</v>
      </c>
      <c r="F350" s="3">
        <v>1</v>
      </c>
      <c r="G350" s="3">
        <v>93337</v>
      </c>
      <c r="H350" s="3" t="s">
        <v>21</v>
      </c>
      <c r="I350" s="3">
        <v>2193</v>
      </c>
      <c r="J350" s="3">
        <v>20</v>
      </c>
      <c r="K350" s="4">
        <v>45200</v>
      </c>
      <c r="L350" s="10">
        <v>339720.93890000001</v>
      </c>
    </row>
    <row r="351" spans="1:12" x14ac:dyDescent="0.3">
      <c r="A351" s="2">
        <v>349</v>
      </c>
      <c r="B351" s="3" t="s">
        <v>26</v>
      </c>
      <c r="C351" s="3" t="s">
        <v>93</v>
      </c>
      <c r="D351" s="3" t="s">
        <v>18</v>
      </c>
      <c r="E351" s="3">
        <v>27193</v>
      </c>
      <c r="F351" s="3">
        <v>4</v>
      </c>
      <c r="G351" s="3">
        <v>78031</v>
      </c>
      <c r="H351" s="3" t="s">
        <v>23</v>
      </c>
      <c r="I351" s="3">
        <v>1801</v>
      </c>
      <c r="J351" s="3">
        <v>21</v>
      </c>
      <c r="K351" s="4">
        <v>44872</v>
      </c>
      <c r="L351" s="10">
        <v>355066.08789999998</v>
      </c>
    </row>
    <row r="352" spans="1:12" x14ac:dyDescent="0.3">
      <c r="A352" s="2">
        <v>350</v>
      </c>
      <c r="B352" s="3" t="s">
        <v>31</v>
      </c>
      <c r="C352" s="3" t="s">
        <v>125</v>
      </c>
      <c r="D352" s="3" t="s">
        <v>18</v>
      </c>
      <c r="E352" s="3">
        <v>11362</v>
      </c>
      <c r="F352" s="3">
        <v>0</v>
      </c>
      <c r="G352" s="3">
        <v>66640</v>
      </c>
      <c r="H352" s="3" t="s">
        <v>23</v>
      </c>
      <c r="I352" s="3">
        <v>2826</v>
      </c>
      <c r="J352" s="3">
        <v>85</v>
      </c>
      <c r="K352" s="4">
        <v>45457</v>
      </c>
      <c r="L352" s="10">
        <v>405864.65480000002</v>
      </c>
    </row>
    <row r="353" spans="1:12" x14ac:dyDescent="0.3">
      <c r="A353" s="2">
        <v>351</v>
      </c>
      <c r="B353" s="3" t="s">
        <v>44</v>
      </c>
      <c r="C353" s="3" t="s">
        <v>111</v>
      </c>
      <c r="D353" s="3" t="s">
        <v>14</v>
      </c>
      <c r="E353" s="3">
        <v>23189</v>
      </c>
      <c r="F353" s="3">
        <v>0</v>
      </c>
      <c r="G353" s="3">
        <v>62261</v>
      </c>
      <c r="H353" s="3" t="s">
        <v>21</v>
      </c>
      <c r="I353" s="3">
        <v>1481</v>
      </c>
      <c r="J353" s="3">
        <v>46</v>
      </c>
      <c r="K353" s="4">
        <v>44253</v>
      </c>
      <c r="L353" s="10">
        <v>342161.8933</v>
      </c>
    </row>
    <row r="354" spans="1:12" x14ac:dyDescent="0.3">
      <c r="A354" s="2">
        <v>352</v>
      </c>
      <c r="B354" s="3" t="s">
        <v>57</v>
      </c>
      <c r="C354" s="3" t="s">
        <v>78</v>
      </c>
      <c r="D354" s="3" t="s">
        <v>14</v>
      </c>
      <c r="E354" s="3">
        <v>3694</v>
      </c>
      <c r="F354" s="3">
        <v>3</v>
      </c>
      <c r="G354" s="3">
        <v>75256</v>
      </c>
      <c r="H354" s="3" t="s">
        <v>15</v>
      </c>
      <c r="I354" s="3">
        <v>1295</v>
      </c>
      <c r="J354" s="3">
        <v>79</v>
      </c>
      <c r="K354" s="4">
        <v>45531</v>
      </c>
      <c r="L354" s="10">
        <v>295112.06809999997</v>
      </c>
    </row>
    <row r="355" spans="1:12" x14ac:dyDescent="0.3">
      <c r="A355" s="2">
        <v>353</v>
      </c>
      <c r="B355" s="3" t="s">
        <v>31</v>
      </c>
      <c r="C355" s="3" t="s">
        <v>81</v>
      </c>
      <c r="D355" s="3" t="s">
        <v>18</v>
      </c>
      <c r="E355" s="3">
        <v>29027</v>
      </c>
      <c r="F355" s="3">
        <v>9</v>
      </c>
      <c r="G355" s="3">
        <v>67973</v>
      </c>
      <c r="H355" s="3" t="s">
        <v>21</v>
      </c>
      <c r="I355" s="3">
        <v>1515</v>
      </c>
      <c r="J355" s="3">
        <v>56</v>
      </c>
      <c r="K355" s="4">
        <v>44940</v>
      </c>
      <c r="L355" s="10">
        <v>364326.04849999998</v>
      </c>
    </row>
    <row r="356" spans="1:12" x14ac:dyDescent="0.3">
      <c r="A356" s="2">
        <v>354</v>
      </c>
      <c r="B356" s="3" t="s">
        <v>28</v>
      </c>
      <c r="C356" s="3" t="s">
        <v>46</v>
      </c>
      <c r="D356" s="3" t="s">
        <v>18</v>
      </c>
      <c r="E356" s="3">
        <v>3516</v>
      </c>
      <c r="F356" s="3">
        <v>1</v>
      </c>
      <c r="G356" s="3">
        <v>66105</v>
      </c>
      <c r="H356" s="3" t="s">
        <v>15</v>
      </c>
      <c r="I356" s="3">
        <v>1359</v>
      </c>
      <c r="J356" s="3">
        <v>20</v>
      </c>
      <c r="K356" s="4">
        <v>45039</v>
      </c>
      <c r="L356" s="10">
        <v>363692.25809999998</v>
      </c>
    </row>
    <row r="357" spans="1:12" x14ac:dyDescent="0.3">
      <c r="A357" s="2">
        <v>355</v>
      </c>
      <c r="B357" s="3" t="s">
        <v>53</v>
      </c>
      <c r="C357" s="3" t="s">
        <v>178</v>
      </c>
      <c r="D357" s="3" t="s">
        <v>18</v>
      </c>
      <c r="E357" s="3">
        <v>15278</v>
      </c>
      <c r="F357" s="3">
        <v>8</v>
      </c>
      <c r="G357" s="3">
        <v>73705</v>
      </c>
      <c r="H357" s="3" t="s">
        <v>23</v>
      </c>
      <c r="I357" s="3">
        <v>1041</v>
      </c>
      <c r="J357" s="3">
        <v>34</v>
      </c>
      <c r="K357" s="4">
        <v>44756</v>
      </c>
      <c r="L357" s="10">
        <v>353117.72610000003</v>
      </c>
    </row>
    <row r="358" spans="1:12" x14ac:dyDescent="0.3">
      <c r="A358" s="2">
        <v>356</v>
      </c>
      <c r="B358" s="3" t="s">
        <v>28</v>
      </c>
      <c r="C358" s="3" t="s">
        <v>43</v>
      </c>
      <c r="D358" s="3" t="s">
        <v>18</v>
      </c>
      <c r="E358" s="3">
        <v>13581</v>
      </c>
      <c r="F358" s="3">
        <v>3</v>
      </c>
      <c r="G358" s="3">
        <v>76060</v>
      </c>
      <c r="H358" s="3" t="s">
        <v>15</v>
      </c>
      <c r="I358" s="3">
        <v>2165</v>
      </c>
      <c r="J358" s="3">
        <v>92</v>
      </c>
      <c r="K358" s="4">
        <v>44187</v>
      </c>
      <c r="L358" s="10">
        <v>361066.11180000001</v>
      </c>
    </row>
    <row r="359" spans="1:12" x14ac:dyDescent="0.3">
      <c r="A359" s="2">
        <v>357</v>
      </c>
      <c r="B359" s="3" t="s">
        <v>35</v>
      </c>
      <c r="C359" s="3" t="s">
        <v>192</v>
      </c>
      <c r="D359" s="3" t="s">
        <v>18</v>
      </c>
      <c r="E359" s="3">
        <v>8958</v>
      </c>
      <c r="F359" s="3">
        <v>7</v>
      </c>
      <c r="G359" s="3">
        <v>88868</v>
      </c>
      <c r="H359" s="3" t="s">
        <v>21</v>
      </c>
      <c r="I359" s="3">
        <v>2234</v>
      </c>
      <c r="J359" s="3">
        <v>64</v>
      </c>
      <c r="K359" s="4">
        <v>44930</v>
      </c>
      <c r="L359" s="10">
        <v>390713.94010000001</v>
      </c>
    </row>
    <row r="360" spans="1:12" x14ac:dyDescent="0.3">
      <c r="A360" s="2">
        <v>358</v>
      </c>
      <c r="B360" s="3" t="s">
        <v>19</v>
      </c>
      <c r="C360" s="3" t="s">
        <v>60</v>
      </c>
      <c r="D360" s="3" t="s">
        <v>18</v>
      </c>
      <c r="E360" s="3">
        <v>3629</v>
      </c>
      <c r="F360" s="3">
        <v>1</v>
      </c>
      <c r="G360" s="3">
        <v>82908</v>
      </c>
      <c r="H360" s="3" t="s">
        <v>15</v>
      </c>
      <c r="I360" s="3">
        <v>2593</v>
      </c>
      <c r="J360" s="3">
        <v>71</v>
      </c>
      <c r="K360" s="4">
        <v>44343</v>
      </c>
      <c r="L360" s="10">
        <v>370280.76909999998</v>
      </c>
    </row>
    <row r="361" spans="1:12" x14ac:dyDescent="0.3">
      <c r="A361" s="2">
        <v>359</v>
      </c>
      <c r="B361" s="3" t="s">
        <v>108</v>
      </c>
      <c r="C361" s="3" t="s">
        <v>142</v>
      </c>
      <c r="D361" s="3" t="s">
        <v>18</v>
      </c>
      <c r="E361" s="3">
        <v>2735</v>
      </c>
      <c r="F361" s="3">
        <v>9</v>
      </c>
      <c r="G361" s="3">
        <v>70063</v>
      </c>
      <c r="H361" s="3" t="s">
        <v>23</v>
      </c>
      <c r="I361" s="3">
        <v>1342</v>
      </c>
      <c r="J361" s="3">
        <v>84</v>
      </c>
      <c r="K361" s="4">
        <v>44052</v>
      </c>
      <c r="L361" s="10">
        <v>363900.41080000001</v>
      </c>
    </row>
    <row r="362" spans="1:12" x14ac:dyDescent="0.3">
      <c r="A362" s="2">
        <v>360</v>
      </c>
      <c r="B362" s="3" t="s">
        <v>55</v>
      </c>
      <c r="C362" s="3" t="s">
        <v>193</v>
      </c>
      <c r="D362" s="3" t="s">
        <v>18</v>
      </c>
      <c r="E362" s="3">
        <v>18022</v>
      </c>
      <c r="F362" s="3">
        <v>8</v>
      </c>
      <c r="G362" s="3">
        <v>77706</v>
      </c>
      <c r="H362" s="3" t="s">
        <v>15</v>
      </c>
      <c r="I362" s="3">
        <v>1777</v>
      </c>
      <c r="J362" s="3">
        <v>36</v>
      </c>
      <c r="K362" s="4">
        <v>44831</v>
      </c>
      <c r="L362" s="10">
        <v>346411.07549999998</v>
      </c>
    </row>
    <row r="363" spans="1:12" x14ac:dyDescent="0.3">
      <c r="A363" s="2">
        <v>361</v>
      </c>
      <c r="B363" s="3" t="s">
        <v>122</v>
      </c>
      <c r="C363" s="3" t="s">
        <v>194</v>
      </c>
      <c r="D363" s="3" t="s">
        <v>18</v>
      </c>
      <c r="E363" s="3">
        <v>19331</v>
      </c>
      <c r="F363" s="3">
        <v>7</v>
      </c>
      <c r="G363" s="3">
        <v>70062</v>
      </c>
      <c r="H363" s="3" t="s">
        <v>23</v>
      </c>
      <c r="I363" s="3">
        <v>2086</v>
      </c>
      <c r="J363" s="3">
        <v>73</v>
      </c>
      <c r="K363" s="4">
        <v>44837</v>
      </c>
      <c r="L363" s="10">
        <v>407125.41489999997</v>
      </c>
    </row>
    <row r="364" spans="1:12" x14ac:dyDescent="0.3">
      <c r="A364" s="2">
        <v>362</v>
      </c>
      <c r="B364" s="3" t="s">
        <v>16</v>
      </c>
      <c r="C364" s="3" t="s">
        <v>84</v>
      </c>
      <c r="D364" s="3" t="s">
        <v>18</v>
      </c>
      <c r="E364" s="3">
        <v>17596</v>
      </c>
      <c r="F364" s="3">
        <v>4</v>
      </c>
      <c r="G364" s="3">
        <v>76704</v>
      </c>
      <c r="H364" s="3" t="s">
        <v>21</v>
      </c>
      <c r="I364" s="3">
        <v>1681</v>
      </c>
      <c r="J364" s="3">
        <v>69</v>
      </c>
      <c r="K364" s="4">
        <v>44553</v>
      </c>
      <c r="L364" s="10">
        <v>368047.35440000001</v>
      </c>
    </row>
    <row r="365" spans="1:12" x14ac:dyDescent="0.3">
      <c r="A365" s="2">
        <v>363</v>
      </c>
      <c r="B365" s="3" t="s">
        <v>19</v>
      </c>
      <c r="C365" s="3" t="s">
        <v>179</v>
      </c>
      <c r="D365" s="3" t="s">
        <v>18</v>
      </c>
      <c r="E365" s="3">
        <v>19979</v>
      </c>
      <c r="F365" s="3">
        <v>0</v>
      </c>
      <c r="G365" s="3">
        <v>79593</v>
      </c>
      <c r="H365" s="3" t="s">
        <v>21</v>
      </c>
      <c r="I365" s="3">
        <v>2818</v>
      </c>
      <c r="J365" s="3">
        <v>32</v>
      </c>
      <c r="K365" s="4">
        <v>44097</v>
      </c>
      <c r="L365" s="10">
        <v>371150.75069999998</v>
      </c>
    </row>
    <row r="366" spans="1:12" x14ac:dyDescent="0.3">
      <c r="A366" s="2">
        <v>364</v>
      </c>
      <c r="B366" s="3" t="s">
        <v>33</v>
      </c>
      <c r="C366" s="3" t="s">
        <v>92</v>
      </c>
      <c r="D366" s="3" t="s">
        <v>18</v>
      </c>
      <c r="E366" s="3">
        <v>17563</v>
      </c>
      <c r="F366" s="3">
        <v>6</v>
      </c>
      <c r="G366" s="3">
        <v>74343</v>
      </c>
      <c r="H366" s="3" t="s">
        <v>21</v>
      </c>
      <c r="I366" s="3">
        <v>2665</v>
      </c>
      <c r="J366" s="3">
        <v>34</v>
      </c>
      <c r="K366" s="4">
        <v>44562</v>
      </c>
      <c r="L366" s="10">
        <v>391932.61619999999</v>
      </c>
    </row>
    <row r="367" spans="1:12" x14ac:dyDescent="0.3">
      <c r="A367" s="2">
        <v>365</v>
      </c>
      <c r="B367" s="3" t="s">
        <v>26</v>
      </c>
      <c r="C367" s="3" t="s">
        <v>156</v>
      </c>
      <c r="D367" s="3" t="s">
        <v>14</v>
      </c>
      <c r="E367" s="3">
        <v>13324</v>
      </c>
      <c r="F367" s="3">
        <v>2</v>
      </c>
      <c r="G367" s="3">
        <v>85762</v>
      </c>
      <c r="H367" s="3" t="s">
        <v>23</v>
      </c>
      <c r="I367" s="3">
        <v>2001</v>
      </c>
      <c r="J367" s="3">
        <v>85</v>
      </c>
      <c r="K367" s="4">
        <v>44090</v>
      </c>
      <c r="L367" s="10">
        <v>355808.59269999998</v>
      </c>
    </row>
    <row r="368" spans="1:12" x14ac:dyDescent="0.3">
      <c r="A368" s="2">
        <v>366</v>
      </c>
      <c r="B368" s="3" t="s">
        <v>72</v>
      </c>
      <c r="C368" s="3" t="s">
        <v>96</v>
      </c>
      <c r="D368" s="3" t="s">
        <v>14</v>
      </c>
      <c r="E368" s="3">
        <v>1922</v>
      </c>
      <c r="F368" s="3">
        <v>9</v>
      </c>
      <c r="G368" s="3">
        <v>97099</v>
      </c>
      <c r="H368" s="3" t="s">
        <v>23</v>
      </c>
      <c r="I368" s="3">
        <v>1510</v>
      </c>
      <c r="J368" s="3">
        <v>36</v>
      </c>
      <c r="K368" s="4">
        <v>44058</v>
      </c>
      <c r="L368" s="10">
        <v>292459.39539999998</v>
      </c>
    </row>
    <row r="369" spans="1:12" x14ac:dyDescent="0.3">
      <c r="A369" s="2">
        <v>367</v>
      </c>
      <c r="B369" s="3" t="s">
        <v>16</v>
      </c>
      <c r="C369" s="3" t="s">
        <v>87</v>
      </c>
      <c r="D369" s="3" t="s">
        <v>14</v>
      </c>
      <c r="E369" s="3">
        <v>5438</v>
      </c>
      <c r="F369" s="3">
        <v>7</v>
      </c>
      <c r="G369" s="3">
        <v>84562</v>
      </c>
      <c r="H369" s="3" t="s">
        <v>21</v>
      </c>
      <c r="I369" s="3">
        <v>2037</v>
      </c>
      <c r="J369" s="3">
        <v>60</v>
      </c>
      <c r="K369" s="4">
        <v>45084</v>
      </c>
      <c r="L369" s="10">
        <v>292986.15830000001</v>
      </c>
    </row>
    <row r="370" spans="1:12" x14ac:dyDescent="0.3">
      <c r="A370" s="2">
        <v>368</v>
      </c>
      <c r="B370" s="3" t="s">
        <v>44</v>
      </c>
      <c r="C370" s="3" t="s">
        <v>190</v>
      </c>
      <c r="D370" s="3" t="s">
        <v>18</v>
      </c>
      <c r="E370" s="3">
        <v>9789</v>
      </c>
      <c r="F370" s="3">
        <v>2</v>
      </c>
      <c r="G370" s="3">
        <v>85250</v>
      </c>
      <c r="H370" s="3" t="s">
        <v>23</v>
      </c>
      <c r="I370" s="3">
        <v>2375</v>
      </c>
      <c r="J370" s="3">
        <v>75</v>
      </c>
      <c r="K370" s="4">
        <v>45474</v>
      </c>
      <c r="L370" s="10">
        <v>419321.00699999998</v>
      </c>
    </row>
    <row r="371" spans="1:12" x14ac:dyDescent="0.3">
      <c r="A371" s="2">
        <v>369</v>
      </c>
      <c r="B371" s="3" t="s">
        <v>72</v>
      </c>
      <c r="C371" s="3" t="s">
        <v>167</v>
      </c>
      <c r="D371" s="3" t="s">
        <v>18</v>
      </c>
      <c r="E371" s="3">
        <v>29687</v>
      </c>
      <c r="F371" s="3">
        <v>1</v>
      </c>
      <c r="G371" s="3">
        <v>64397</v>
      </c>
      <c r="H371" s="3" t="s">
        <v>15</v>
      </c>
      <c r="I371" s="3">
        <v>1236</v>
      </c>
      <c r="J371" s="3">
        <v>61</v>
      </c>
      <c r="K371" s="4">
        <v>45225</v>
      </c>
      <c r="L371" s="10">
        <v>378473.74489999999</v>
      </c>
    </row>
    <row r="372" spans="1:12" x14ac:dyDescent="0.3">
      <c r="A372" s="2">
        <v>370</v>
      </c>
      <c r="B372" s="3" t="s">
        <v>53</v>
      </c>
      <c r="C372" s="3" t="s">
        <v>54</v>
      </c>
      <c r="D372" s="3" t="s">
        <v>18</v>
      </c>
      <c r="E372" s="3">
        <v>4174</v>
      </c>
      <c r="F372" s="3">
        <v>9</v>
      </c>
      <c r="G372" s="3">
        <v>82035</v>
      </c>
      <c r="H372" s="3" t="s">
        <v>21</v>
      </c>
      <c r="I372" s="3">
        <v>1903</v>
      </c>
      <c r="J372" s="3">
        <v>49</v>
      </c>
      <c r="K372" s="4">
        <v>44227</v>
      </c>
      <c r="L372" s="10">
        <v>366670.95120000001</v>
      </c>
    </row>
    <row r="373" spans="1:12" x14ac:dyDescent="0.3">
      <c r="A373" s="2">
        <v>371</v>
      </c>
      <c r="B373" s="3" t="s">
        <v>122</v>
      </c>
      <c r="C373" s="3" t="s">
        <v>133</v>
      </c>
      <c r="D373" s="3" t="s">
        <v>18</v>
      </c>
      <c r="E373" s="3">
        <v>19156</v>
      </c>
      <c r="F373" s="3">
        <v>8</v>
      </c>
      <c r="G373" s="3">
        <v>96231</v>
      </c>
      <c r="H373" s="3" t="s">
        <v>23</v>
      </c>
      <c r="I373" s="3">
        <v>1316</v>
      </c>
      <c r="J373" s="3">
        <v>78</v>
      </c>
      <c r="K373" s="4">
        <v>44846</v>
      </c>
      <c r="L373" s="10">
        <v>375347.29519999999</v>
      </c>
    </row>
    <row r="374" spans="1:12" x14ac:dyDescent="0.3">
      <c r="A374" s="2">
        <v>372</v>
      </c>
      <c r="B374" s="3" t="s">
        <v>26</v>
      </c>
      <c r="C374" s="3" t="s">
        <v>67</v>
      </c>
      <c r="D374" s="3" t="s">
        <v>14</v>
      </c>
      <c r="E374" s="3">
        <v>8393</v>
      </c>
      <c r="F374" s="3">
        <v>3</v>
      </c>
      <c r="G374" s="3">
        <v>57648</v>
      </c>
      <c r="H374" s="3" t="s">
        <v>15</v>
      </c>
      <c r="I374" s="3">
        <v>1206</v>
      </c>
      <c r="J374" s="3">
        <v>76</v>
      </c>
      <c r="K374" s="4">
        <v>45498</v>
      </c>
      <c r="L374" s="10">
        <v>300169.75760000001</v>
      </c>
    </row>
    <row r="375" spans="1:12" x14ac:dyDescent="0.3">
      <c r="A375" s="2">
        <v>373</v>
      </c>
      <c r="B375" s="3" t="s">
        <v>29</v>
      </c>
      <c r="C375" s="3" t="s">
        <v>132</v>
      </c>
      <c r="D375" s="3" t="s">
        <v>14</v>
      </c>
      <c r="E375" s="3">
        <v>3029</v>
      </c>
      <c r="F375" s="3">
        <v>7</v>
      </c>
      <c r="G375" s="3">
        <v>84957</v>
      </c>
      <c r="H375" s="3" t="s">
        <v>23</v>
      </c>
      <c r="I375" s="3">
        <v>1405</v>
      </c>
      <c r="J375" s="3">
        <v>87</v>
      </c>
      <c r="K375" s="4">
        <v>44741</v>
      </c>
      <c r="L375" s="10">
        <v>306973.92729999998</v>
      </c>
    </row>
    <row r="376" spans="1:12" x14ac:dyDescent="0.3">
      <c r="A376" s="2">
        <v>374</v>
      </c>
      <c r="B376" s="3" t="s">
        <v>53</v>
      </c>
      <c r="C376" s="3" t="s">
        <v>178</v>
      </c>
      <c r="D376" s="3" t="s">
        <v>14</v>
      </c>
      <c r="E376" s="3">
        <v>1162</v>
      </c>
      <c r="F376" s="3">
        <v>5</v>
      </c>
      <c r="G376" s="3">
        <v>95490</v>
      </c>
      <c r="H376" s="3" t="s">
        <v>23</v>
      </c>
      <c r="I376" s="3">
        <v>2906</v>
      </c>
      <c r="J376" s="3">
        <v>63</v>
      </c>
      <c r="K376" s="4">
        <v>44941</v>
      </c>
      <c r="L376" s="10">
        <v>374200.78389999998</v>
      </c>
    </row>
    <row r="377" spans="1:12" x14ac:dyDescent="0.3">
      <c r="A377" s="2">
        <v>375</v>
      </c>
      <c r="B377" s="3" t="s">
        <v>16</v>
      </c>
      <c r="C377" s="3" t="s">
        <v>87</v>
      </c>
      <c r="D377" s="3" t="s">
        <v>14</v>
      </c>
      <c r="E377" s="3">
        <v>11889</v>
      </c>
      <c r="F377" s="3">
        <v>7</v>
      </c>
      <c r="G377" s="3">
        <v>84407</v>
      </c>
      <c r="H377" s="3" t="s">
        <v>23</v>
      </c>
      <c r="I377" s="3">
        <v>2609</v>
      </c>
      <c r="J377" s="3">
        <v>95</v>
      </c>
      <c r="K377" s="4">
        <v>45505</v>
      </c>
      <c r="L377" s="10">
        <v>359657.16379999998</v>
      </c>
    </row>
    <row r="378" spans="1:12" x14ac:dyDescent="0.3">
      <c r="A378" s="2">
        <v>376</v>
      </c>
      <c r="B378" s="3" t="s">
        <v>16</v>
      </c>
      <c r="C378" s="3" t="s">
        <v>171</v>
      </c>
      <c r="D378" s="3" t="s">
        <v>18</v>
      </c>
      <c r="E378" s="3">
        <v>16781</v>
      </c>
      <c r="F378" s="3">
        <v>8</v>
      </c>
      <c r="G378" s="3">
        <v>70782</v>
      </c>
      <c r="H378" s="3" t="s">
        <v>21</v>
      </c>
      <c r="I378" s="3">
        <v>2595</v>
      </c>
      <c r="J378" s="3">
        <v>57</v>
      </c>
      <c r="K378" s="4">
        <v>44349</v>
      </c>
      <c r="L378" s="10">
        <v>392636.41759999999</v>
      </c>
    </row>
    <row r="379" spans="1:12" x14ac:dyDescent="0.3">
      <c r="A379" s="2">
        <v>377</v>
      </c>
      <c r="B379" s="3" t="s">
        <v>16</v>
      </c>
      <c r="C379" s="3" t="s">
        <v>51</v>
      </c>
      <c r="D379" s="3" t="s">
        <v>18</v>
      </c>
      <c r="E379" s="3">
        <v>29572</v>
      </c>
      <c r="F379" s="3">
        <v>0</v>
      </c>
      <c r="G379" s="3">
        <v>99496</v>
      </c>
      <c r="H379" s="3" t="s">
        <v>23</v>
      </c>
      <c r="I379" s="3">
        <v>1640</v>
      </c>
      <c r="J379" s="3">
        <v>20</v>
      </c>
      <c r="K379" s="4">
        <v>44413</v>
      </c>
      <c r="L379" s="10">
        <v>390134.41509999998</v>
      </c>
    </row>
    <row r="380" spans="1:12" x14ac:dyDescent="0.3">
      <c r="A380" s="2">
        <v>378</v>
      </c>
      <c r="B380" s="3" t="s">
        <v>29</v>
      </c>
      <c r="C380" s="3" t="s">
        <v>164</v>
      </c>
      <c r="D380" s="3" t="s">
        <v>14</v>
      </c>
      <c r="E380" s="3">
        <v>1301</v>
      </c>
      <c r="F380" s="3">
        <v>2</v>
      </c>
      <c r="G380" s="3">
        <v>60336</v>
      </c>
      <c r="H380" s="3" t="s">
        <v>23</v>
      </c>
      <c r="I380" s="3">
        <v>1271</v>
      </c>
      <c r="J380" s="3">
        <v>92</v>
      </c>
      <c r="K380" s="4">
        <v>43861</v>
      </c>
      <c r="L380" s="10">
        <v>348451.3653</v>
      </c>
    </row>
    <row r="381" spans="1:12" x14ac:dyDescent="0.3">
      <c r="A381" s="2">
        <v>379</v>
      </c>
      <c r="B381" s="3" t="s">
        <v>122</v>
      </c>
      <c r="C381" s="3" t="s">
        <v>195</v>
      </c>
      <c r="D381" s="3" t="s">
        <v>18</v>
      </c>
      <c r="E381" s="3">
        <v>15634</v>
      </c>
      <c r="F381" s="3">
        <v>2</v>
      </c>
      <c r="G381" s="3">
        <v>93410</v>
      </c>
      <c r="H381" s="3" t="s">
        <v>21</v>
      </c>
      <c r="I381" s="3">
        <v>2922</v>
      </c>
      <c r="J381" s="3">
        <v>56</v>
      </c>
      <c r="K381" s="4">
        <v>45091</v>
      </c>
      <c r="L381" s="10">
        <v>400913.8872</v>
      </c>
    </row>
    <row r="382" spans="1:12" x14ac:dyDescent="0.3">
      <c r="A382" s="2">
        <v>380</v>
      </c>
      <c r="B382" s="3" t="s">
        <v>12</v>
      </c>
      <c r="C382" s="3" t="s">
        <v>140</v>
      </c>
      <c r="D382" s="3" t="s">
        <v>18</v>
      </c>
      <c r="E382" s="3">
        <v>2222</v>
      </c>
      <c r="F382" s="3">
        <v>3</v>
      </c>
      <c r="G382" s="3">
        <v>65446</v>
      </c>
      <c r="H382" s="3" t="s">
        <v>23</v>
      </c>
      <c r="I382" s="3">
        <v>2900</v>
      </c>
      <c r="J382" s="3">
        <v>34</v>
      </c>
      <c r="K382" s="4">
        <v>44217</v>
      </c>
      <c r="L382" s="10">
        <v>373194.61369999999</v>
      </c>
    </row>
    <row r="383" spans="1:12" x14ac:dyDescent="0.3">
      <c r="A383" s="2">
        <v>381</v>
      </c>
      <c r="B383" s="3" t="s">
        <v>37</v>
      </c>
      <c r="C383" s="3" t="s">
        <v>90</v>
      </c>
      <c r="D383" s="3" t="s">
        <v>18</v>
      </c>
      <c r="E383" s="3">
        <v>20587</v>
      </c>
      <c r="F383" s="3">
        <v>3</v>
      </c>
      <c r="G383" s="3">
        <v>76064</v>
      </c>
      <c r="H383" s="3" t="s">
        <v>15</v>
      </c>
      <c r="I383" s="3">
        <v>2775</v>
      </c>
      <c r="J383" s="3">
        <v>20</v>
      </c>
      <c r="K383" s="4">
        <v>45404</v>
      </c>
      <c r="L383" s="10">
        <v>375356.8247</v>
      </c>
    </row>
    <row r="384" spans="1:12" x14ac:dyDescent="0.3">
      <c r="A384" s="2">
        <v>382</v>
      </c>
      <c r="B384" s="3" t="s">
        <v>33</v>
      </c>
      <c r="C384" s="3" t="s">
        <v>91</v>
      </c>
      <c r="D384" s="3" t="s">
        <v>18</v>
      </c>
      <c r="E384" s="3">
        <v>3701</v>
      </c>
      <c r="F384" s="3">
        <v>0</v>
      </c>
      <c r="G384" s="3">
        <v>61593</v>
      </c>
      <c r="H384" s="3" t="s">
        <v>21</v>
      </c>
      <c r="I384" s="3">
        <v>2848</v>
      </c>
      <c r="J384" s="3">
        <v>98</v>
      </c>
      <c r="K384" s="4">
        <v>44290</v>
      </c>
      <c r="L384" s="10">
        <v>433044.33669999999</v>
      </c>
    </row>
    <row r="385" spans="1:12" x14ac:dyDescent="0.3">
      <c r="A385" s="2">
        <v>383</v>
      </c>
      <c r="B385" s="3" t="s">
        <v>16</v>
      </c>
      <c r="C385" s="3" t="s">
        <v>51</v>
      </c>
      <c r="D385" s="3" t="s">
        <v>18</v>
      </c>
      <c r="E385" s="3">
        <v>11889</v>
      </c>
      <c r="F385" s="3">
        <v>9</v>
      </c>
      <c r="G385" s="3">
        <v>56275</v>
      </c>
      <c r="H385" s="3" t="s">
        <v>15</v>
      </c>
      <c r="I385" s="3">
        <v>2528</v>
      </c>
      <c r="J385" s="3">
        <v>40</v>
      </c>
      <c r="K385" s="4">
        <v>44290</v>
      </c>
      <c r="L385" s="10">
        <v>349426.67300000001</v>
      </c>
    </row>
    <row r="386" spans="1:12" x14ac:dyDescent="0.3">
      <c r="A386" s="2">
        <v>384</v>
      </c>
      <c r="B386" s="3" t="s">
        <v>26</v>
      </c>
      <c r="C386" s="3" t="s">
        <v>159</v>
      </c>
      <c r="D386" s="3" t="s">
        <v>14</v>
      </c>
      <c r="E386" s="3">
        <v>28960</v>
      </c>
      <c r="F386" s="3">
        <v>6</v>
      </c>
      <c r="G386" s="3">
        <v>98576</v>
      </c>
      <c r="H386" s="3" t="s">
        <v>21</v>
      </c>
      <c r="I386" s="3">
        <v>2711</v>
      </c>
      <c r="J386" s="3">
        <v>86</v>
      </c>
      <c r="K386" s="4">
        <v>45257</v>
      </c>
      <c r="L386" s="10">
        <v>370229.54090000002</v>
      </c>
    </row>
    <row r="387" spans="1:12" x14ac:dyDescent="0.3">
      <c r="A387" s="2">
        <v>385</v>
      </c>
      <c r="B387" s="3" t="s">
        <v>74</v>
      </c>
      <c r="C387" s="3" t="s">
        <v>89</v>
      </c>
      <c r="D387" s="3" t="s">
        <v>18</v>
      </c>
      <c r="E387" s="3">
        <v>4537</v>
      </c>
      <c r="F387" s="3">
        <v>3</v>
      </c>
      <c r="G387" s="3">
        <v>71508</v>
      </c>
      <c r="H387" s="3" t="s">
        <v>21</v>
      </c>
      <c r="I387" s="3">
        <v>2005</v>
      </c>
      <c r="J387" s="3">
        <v>58</v>
      </c>
      <c r="K387" s="4">
        <v>43936</v>
      </c>
      <c r="L387" s="10">
        <v>382213.96919999999</v>
      </c>
    </row>
    <row r="388" spans="1:12" x14ac:dyDescent="0.3">
      <c r="A388" s="2">
        <v>386</v>
      </c>
      <c r="B388" s="3" t="s">
        <v>40</v>
      </c>
      <c r="C388" s="3" t="s">
        <v>121</v>
      </c>
      <c r="D388" s="3" t="s">
        <v>14</v>
      </c>
      <c r="E388" s="3">
        <v>25807</v>
      </c>
      <c r="F388" s="3">
        <v>8</v>
      </c>
      <c r="G388" s="3">
        <v>83878</v>
      </c>
      <c r="H388" s="3" t="s">
        <v>15</v>
      </c>
      <c r="I388" s="3">
        <v>2503</v>
      </c>
      <c r="J388" s="3">
        <v>96</v>
      </c>
      <c r="K388" s="4">
        <v>45196</v>
      </c>
      <c r="L388" s="10">
        <v>341355.47830000002</v>
      </c>
    </row>
    <row r="389" spans="1:12" x14ac:dyDescent="0.3">
      <c r="A389" s="2">
        <v>387</v>
      </c>
      <c r="B389" s="3" t="s">
        <v>31</v>
      </c>
      <c r="C389" s="3" t="s">
        <v>146</v>
      </c>
      <c r="D389" s="3" t="s">
        <v>18</v>
      </c>
      <c r="E389" s="3">
        <v>29542</v>
      </c>
      <c r="F389" s="3">
        <v>9</v>
      </c>
      <c r="G389" s="3">
        <v>62153</v>
      </c>
      <c r="H389" s="3" t="s">
        <v>15</v>
      </c>
      <c r="I389" s="3">
        <v>2364</v>
      </c>
      <c r="J389" s="3">
        <v>92</v>
      </c>
      <c r="K389" s="4">
        <v>45455</v>
      </c>
      <c r="L389" s="10">
        <v>379473.21110000001</v>
      </c>
    </row>
    <row r="390" spans="1:12" x14ac:dyDescent="0.3">
      <c r="A390" s="2">
        <v>388</v>
      </c>
      <c r="B390" s="3" t="s">
        <v>12</v>
      </c>
      <c r="C390" s="3" t="s">
        <v>95</v>
      </c>
      <c r="D390" s="3" t="s">
        <v>14</v>
      </c>
      <c r="E390" s="3">
        <v>19862</v>
      </c>
      <c r="F390" s="3">
        <v>8</v>
      </c>
      <c r="G390" s="3">
        <v>58402</v>
      </c>
      <c r="H390" s="3" t="s">
        <v>23</v>
      </c>
      <c r="I390" s="3">
        <v>1296</v>
      </c>
      <c r="J390" s="3">
        <v>54</v>
      </c>
      <c r="K390" s="4">
        <v>44555</v>
      </c>
      <c r="L390" s="10">
        <v>321499.12400000001</v>
      </c>
    </row>
    <row r="391" spans="1:12" x14ac:dyDescent="0.3">
      <c r="A391" s="2">
        <v>389</v>
      </c>
      <c r="B391" s="3" t="s">
        <v>12</v>
      </c>
      <c r="C391" s="3" t="s">
        <v>196</v>
      </c>
      <c r="D391" s="3" t="s">
        <v>14</v>
      </c>
      <c r="E391" s="3">
        <v>9335</v>
      </c>
      <c r="F391" s="3">
        <v>5</v>
      </c>
      <c r="G391" s="3">
        <v>85300</v>
      </c>
      <c r="H391" s="3" t="s">
        <v>15</v>
      </c>
      <c r="I391" s="3">
        <v>1521</v>
      </c>
      <c r="J391" s="3">
        <v>67</v>
      </c>
      <c r="K391" s="4">
        <v>45420</v>
      </c>
      <c r="L391" s="10">
        <v>292574.2231</v>
      </c>
    </row>
    <row r="392" spans="1:12" x14ac:dyDescent="0.3">
      <c r="A392" s="2">
        <v>390</v>
      </c>
      <c r="B392" s="3" t="s">
        <v>53</v>
      </c>
      <c r="C392" s="3" t="s">
        <v>197</v>
      </c>
      <c r="D392" s="3" t="s">
        <v>18</v>
      </c>
      <c r="E392" s="3">
        <v>21381</v>
      </c>
      <c r="F392" s="3">
        <v>5</v>
      </c>
      <c r="G392" s="3">
        <v>52031</v>
      </c>
      <c r="H392" s="3" t="s">
        <v>23</v>
      </c>
      <c r="I392" s="3">
        <v>1840</v>
      </c>
      <c r="J392" s="3">
        <v>81</v>
      </c>
      <c r="K392" s="4">
        <v>44349</v>
      </c>
      <c r="L392" s="10">
        <v>360755.55910000001</v>
      </c>
    </row>
    <row r="393" spans="1:12" x14ac:dyDescent="0.3">
      <c r="A393" s="2">
        <v>391</v>
      </c>
      <c r="B393" s="3" t="s">
        <v>12</v>
      </c>
      <c r="C393" s="3" t="s">
        <v>50</v>
      </c>
      <c r="D393" s="3" t="s">
        <v>18</v>
      </c>
      <c r="E393" s="3">
        <v>5199</v>
      </c>
      <c r="F393" s="3">
        <v>3</v>
      </c>
      <c r="G393" s="3">
        <v>55263</v>
      </c>
      <c r="H393" s="3" t="s">
        <v>15</v>
      </c>
      <c r="I393" s="3">
        <v>1274</v>
      </c>
      <c r="J393" s="3">
        <v>32</v>
      </c>
      <c r="K393" s="4">
        <v>45304</v>
      </c>
      <c r="L393" s="10">
        <v>333784.76870000002</v>
      </c>
    </row>
    <row r="394" spans="1:12" x14ac:dyDescent="0.3">
      <c r="A394" s="2">
        <v>392</v>
      </c>
      <c r="B394" s="3" t="s">
        <v>74</v>
      </c>
      <c r="C394" s="3" t="s">
        <v>120</v>
      </c>
      <c r="D394" s="3" t="s">
        <v>14</v>
      </c>
      <c r="E394" s="3">
        <v>13679</v>
      </c>
      <c r="F394" s="3">
        <v>9</v>
      </c>
      <c r="G394" s="3">
        <v>50252</v>
      </c>
      <c r="H394" s="3" t="s">
        <v>21</v>
      </c>
      <c r="I394" s="3">
        <v>2206</v>
      </c>
      <c r="J394" s="3">
        <v>49</v>
      </c>
      <c r="K394" s="4">
        <v>44410</v>
      </c>
      <c r="L394" s="10">
        <v>339817.68109999999</v>
      </c>
    </row>
    <row r="395" spans="1:12" x14ac:dyDescent="0.3">
      <c r="A395" s="2">
        <v>393</v>
      </c>
      <c r="B395" s="3" t="s">
        <v>29</v>
      </c>
      <c r="C395" s="3" t="s">
        <v>135</v>
      </c>
      <c r="D395" s="3" t="s">
        <v>14</v>
      </c>
      <c r="E395" s="3">
        <v>20768</v>
      </c>
      <c r="F395" s="3">
        <v>1</v>
      </c>
      <c r="G395" s="3">
        <v>94611</v>
      </c>
      <c r="H395" s="3" t="s">
        <v>23</v>
      </c>
      <c r="I395" s="3">
        <v>1038</v>
      </c>
      <c r="J395" s="3">
        <v>21</v>
      </c>
      <c r="K395" s="4">
        <v>44007</v>
      </c>
      <c r="L395" s="10">
        <v>313832.80570000003</v>
      </c>
    </row>
    <row r="396" spans="1:12" x14ac:dyDescent="0.3">
      <c r="A396" s="2">
        <v>394</v>
      </c>
      <c r="B396" s="3" t="s">
        <v>26</v>
      </c>
      <c r="C396" s="3" t="s">
        <v>67</v>
      </c>
      <c r="D396" s="3" t="s">
        <v>14</v>
      </c>
      <c r="E396" s="3">
        <v>799</v>
      </c>
      <c r="F396" s="3">
        <v>9</v>
      </c>
      <c r="G396" s="3">
        <v>96982</v>
      </c>
      <c r="H396" s="3" t="s">
        <v>15</v>
      </c>
      <c r="I396" s="3">
        <v>2240</v>
      </c>
      <c r="J396" s="3">
        <v>55</v>
      </c>
      <c r="K396" s="4">
        <v>44401</v>
      </c>
      <c r="L396" s="10">
        <v>327311.76049999997</v>
      </c>
    </row>
    <row r="397" spans="1:12" x14ac:dyDescent="0.3">
      <c r="A397" s="2">
        <v>395</v>
      </c>
      <c r="B397" s="3" t="s">
        <v>72</v>
      </c>
      <c r="C397" s="3" t="s">
        <v>180</v>
      </c>
      <c r="D397" s="3" t="s">
        <v>14</v>
      </c>
      <c r="E397" s="3">
        <v>29884</v>
      </c>
      <c r="F397" s="3">
        <v>3</v>
      </c>
      <c r="G397" s="3">
        <v>68480</v>
      </c>
      <c r="H397" s="3" t="s">
        <v>21</v>
      </c>
      <c r="I397" s="3">
        <v>2459</v>
      </c>
      <c r="J397" s="3">
        <v>57</v>
      </c>
      <c r="K397" s="4">
        <v>44190</v>
      </c>
      <c r="L397" s="10">
        <v>362013.08659999998</v>
      </c>
    </row>
    <row r="398" spans="1:12" x14ac:dyDescent="0.3">
      <c r="A398" s="2">
        <v>396</v>
      </c>
      <c r="B398" s="3" t="s">
        <v>40</v>
      </c>
      <c r="C398" s="3" t="s">
        <v>103</v>
      </c>
      <c r="D398" s="3" t="s">
        <v>14</v>
      </c>
      <c r="E398" s="3">
        <v>18039</v>
      </c>
      <c r="F398" s="3">
        <v>3</v>
      </c>
      <c r="G398" s="3">
        <v>93578</v>
      </c>
      <c r="H398" s="3" t="s">
        <v>21</v>
      </c>
      <c r="I398" s="3">
        <v>2847</v>
      </c>
      <c r="J398" s="3">
        <v>27</v>
      </c>
      <c r="K398" s="4">
        <v>44775</v>
      </c>
      <c r="L398" s="10">
        <v>348055.85729999997</v>
      </c>
    </row>
    <row r="399" spans="1:12" x14ac:dyDescent="0.3">
      <c r="A399" s="2">
        <v>397</v>
      </c>
      <c r="B399" s="3" t="s">
        <v>29</v>
      </c>
      <c r="C399" s="3" t="s">
        <v>132</v>
      </c>
      <c r="D399" s="3" t="s">
        <v>18</v>
      </c>
      <c r="E399" s="3">
        <v>8059</v>
      </c>
      <c r="F399" s="3">
        <v>7</v>
      </c>
      <c r="G399" s="3">
        <v>98435</v>
      </c>
      <c r="H399" s="3" t="s">
        <v>15</v>
      </c>
      <c r="I399" s="3">
        <v>2903</v>
      </c>
      <c r="J399" s="3">
        <v>36</v>
      </c>
      <c r="K399" s="4">
        <v>44814</v>
      </c>
      <c r="L399" s="10">
        <v>365884.03379999998</v>
      </c>
    </row>
    <row r="400" spans="1:12" x14ac:dyDescent="0.3">
      <c r="A400" s="2">
        <v>398</v>
      </c>
      <c r="B400" s="3" t="s">
        <v>55</v>
      </c>
      <c r="C400" s="3" t="s">
        <v>98</v>
      </c>
      <c r="D400" s="3" t="s">
        <v>14</v>
      </c>
      <c r="E400" s="3">
        <v>22877</v>
      </c>
      <c r="F400" s="3">
        <v>0</v>
      </c>
      <c r="G400" s="3">
        <v>54126</v>
      </c>
      <c r="H400" s="3" t="s">
        <v>21</v>
      </c>
      <c r="I400" s="3">
        <v>2320</v>
      </c>
      <c r="J400" s="3">
        <v>34</v>
      </c>
      <c r="K400" s="4">
        <v>44763</v>
      </c>
      <c r="L400" s="10">
        <v>346809.62050000002</v>
      </c>
    </row>
    <row r="401" spans="1:12" x14ac:dyDescent="0.3">
      <c r="A401" s="2">
        <v>399</v>
      </c>
      <c r="B401" s="3" t="s">
        <v>44</v>
      </c>
      <c r="C401" s="3" t="s">
        <v>111</v>
      </c>
      <c r="D401" s="3" t="s">
        <v>18</v>
      </c>
      <c r="E401" s="3">
        <v>28060</v>
      </c>
      <c r="F401" s="3">
        <v>3</v>
      </c>
      <c r="G401" s="3">
        <v>69661</v>
      </c>
      <c r="H401" s="3" t="s">
        <v>21</v>
      </c>
      <c r="I401" s="3">
        <v>2792</v>
      </c>
      <c r="J401" s="3">
        <v>24</v>
      </c>
      <c r="K401" s="4">
        <v>45526</v>
      </c>
      <c r="L401" s="10">
        <v>362062.23879999999</v>
      </c>
    </row>
    <row r="402" spans="1:12" x14ac:dyDescent="0.3">
      <c r="A402" s="2">
        <v>400</v>
      </c>
      <c r="B402" s="3" t="s">
        <v>33</v>
      </c>
      <c r="C402" s="3" t="s">
        <v>198</v>
      </c>
      <c r="D402" s="3" t="s">
        <v>14</v>
      </c>
      <c r="E402" s="3">
        <v>26599</v>
      </c>
      <c r="F402" s="3">
        <v>8</v>
      </c>
      <c r="G402" s="3">
        <v>79860</v>
      </c>
      <c r="H402" s="3" t="s">
        <v>21</v>
      </c>
      <c r="I402" s="3">
        <v>1677</v>
      </c>
      <c r="J402" s="3">
        <v>46</v>
      </c>
      <c r="K402" s="4">
        <v>45167</v>
      </c>
      <c r="L402" s="10">
        <v>354175.69549999997</v>
      </c>
    </row>
    <row r="403" spans="1:12" x14ac:dyDescent="0.3">
      <c r="A403" s="2">
        <v>401</v>
      </c>
      <c r="B403" s="3" t="s">
        <v>55</v>
      </c>
      <c r="C403" s="3" t="s">
        <v>98</v>
      </c>
      <c r="D403" s="3" t="s">
        <v>18</v>
      </c>
      <c r="E403" s="3">
        <v>2775</v>
      </c>
      <c r="F403" s="3">
        <v>7</v>
      </c>
      <c r="G403" s="3">
        <v>61096</v>
      </c>
      <c r="H403" s="3" t="s">
        <v>15</v>
      </c>
      <c r="I403" s="3">
        <v>1807</v>
      </c>
      <c r="J403" s="3">
        <v>84</v>
      </c>
      <c r="K403" s="4">
        <v>45537</v>
      </c>
      <c r="L403" s="10">
        <v>365111.14130000002</v>
      </c>
    </row>
    <row r="404" spans="1:12" x14ac:dyDescent="0.3">
      <c r="A404" s="2">
        <v>402</v>
      </c>
      <c r="B404" s="3" t="s">
        <v>72</v>
      </c>
      <c r="C404" s="3" t="s">
        <v>145</v>
      </c>
      <c r="D404" s="3" t="s">
        <v>14</v>
      </c>
      <c r="E404" s="3">
        <v>918</v>
      </c>
      <c r="F404" s="3">
        <v>4</v>
      </c>
      <c r="G404" s="3">
        <v>94721</v>
      </c>
      <c r="H404" s="3" t="s">
        <v>21</v>
      </c>
      <c r="I404" s="3">
        <v>1284</v>
      </c>
      <c r="J404" s="3">
        <v>39</v>
      </c>
      <c r="K404" s="4">
        <v>44175</v>
      </c>
      <c r="L404" s="10">
        <v>325404.00790000003</v>
      </c>
    </row>
    <row r="405" spans="1:12" x14ac:dyDescent="0.3">
      <c r="A405" s="2">
        <v>403</v>
      </c>
      <c r="B405" s="3" t="s">
        <v>24</v>
      </c>
      <c r="C405" s="3" t="s">
        <v>39</v>
      </c>
      <c r="D405" s="3" t="s">
        <v>18</v>
      </c>
      <c r="E405" s="3">
        <v>3462</v>
      </c>
      <c r="F405" s="3">
        <v>7</v>
      </c>
      <c r="G405" s="3">
        <v>98887</v>
      </c>
      <c r="H405" s="3" t="s">
        <v>15</v>
      </c>
      <c r="I405" s="3">
        <v>1884</v>
      </c>
      <c r="J405" s="3">
        <v>97</v>
      </c>
      <c r="K405" s="4">
        <v>44882</v>
      </c>
      <c r="L405" s="10">
        <v>362093.72169999999</v>
      </c>
    </row>
    <row r="406" spans="1:12" x14ac:dyDescent="0.3">
      <c r="A406" s="2">
        <v>404</v>
      </c>
      <c r="B406" s="3" t="s">
        <v>37</v>
      </c>
      <c r="C406" s="3" t="s">
        <v>118</v>
      </c>
      <c r="D406" s="3" t="s">
        <v>14</v>
      </c>
      <c r="E406" s="3">
        <v>1701</v>
      </c>
      <c r="F406" s="3">
        <v>9</v>
      </c>
      <c r="G406" s="3">
        <v>72510</v>
      </c>
      <c r="H406" s="3" t="s">
        <v>21</v>
      </c>
      <c r="I406" s="3">
        <v>2856</v>
      </c>
      <c r="J406" s="3">
        <v>52</v>
      </c>
      <c r="K406" s="4">
        <v>44065</v>
      </c>
      <c r="L406" s="10">
        <v>351988.42979999998</v>
      </c>
    </row>
    <row r="407" spans="1:12" x14ac:dyDescent="0.3">
      <c r="A407" s="2">
        <v>405</v>
      </c>
      <c r="B407" s="3" t="s">
        <v>55</v>
      </c>
      <c r="C407" s="3" t="s">
        <v>66</v>
      </c>
      <c r="D407" s="3" t="s">
        <v>14</v>
      </c>
      <c r="E407" s="3">
        <v>6472</v>
      </c>
      <c r="F407" s="3">
        <v>4</v>
      </c>
      <c r="G407" s="3">
        <v>63013</v>
      </c>
      <c r="H407" s="3" t="s">
        <v>23</v>
      </c>
      <c r="I407" s="3">
        <v>2033</v>
      </c>
      <c r="J407" s="3">
        <v>33</v>
      </c>
      <c r="K407" s="4">
        <v>45486</v>
      </c>
      <c r="L407" s="10">
        <v>324670.18979999999</v>
      </c>
    </row>
    <row r="408" spans="1:12" x14ac:dyDescent="0.3">
      <c r="A408" s="2">
        <v>406</v>
      </c>
      <c r="B408" s="3" t="s">
        <v>19</v>
      </c>
      <c r="C408" s="3" t="s">
        <v>199</v>
      </c>
      <c r="D408" s="3" t="s">
        <v>18</v>
      </c>
      <c r="E408" s="3">
        <v>12301</v>
      </c>
      <c r="F408" s="3">
        <v>2</v>
      </c>
      <c r="G408" s="3">
        <v>83306</v>
      </c>
      <c r="H408" s="3" t="s">
        <v>21</v>
      </c>
      <c r="I408" s="3">
        <v>1443</v>
      </c>
      <c r="J408" s="3">
        <v>88</v>
      </c>
      <c r="K408" s="4">
        <v>44567</v>
      </c>
      <c r="L408" s="10">
        <v>396785.14529999997</v>
      </c>
    </row>
    <row r="409" spans="1:12" x14ac:dyDescent="0.3">
      <c r="A409" s="2">
        <v>407</v>
      </c>
      <c r="B409" s="3" t="s">
        <v>37</v>
      </c>
      <c r="C409" s="3" t="s">
        <v>61</v>
      </c>
      <c r="D409" s="3" t="s">
        <v>14</v>
      </c>
      <c r="E409" s="3">
        <v>9701</v>
      </c>
      <c r="F409" s="3">
        <v>8</v>
      </c>
      <c r="G409" s="3">
        <v>58930</v>
      </c>
      <c r="H409" s="3" t="s">
        <v>15</v>
      </c>
      <c r="I409" s="3">
        <v>1326</v>
      </c>
      <c r="J409" s="3">
        <v>67</v>
      </c>
      <c r="K409" s="4">
        <v>45265</v>
      </c>
      <c r="L409" s="10">
        <v>302362.9081</v>
      </c>
    </row>
    <row r="410" spans="1:12" x14ac:dyDescent="0.3">
      <c r="A410" s="2">
        <v>408</v>
      </c>
      <c r="B410" s="3" t="s">
        <v>19</v>
      </c>
      <c r="C410" s="3" t="s">
        <v>52</v>
      </c>
      <c r="D410" s="3" t="s">
        <v>18</v>
      </c>
      <c r="E410" s="3">
        <v>10233</v>
      </c>
      <c r="F410" s="3">
        <v>1</v>
      </c>
      <c r="G410" s="3">
        <v>73537</v>
      </c>
      <c r="H410" s="3" t="s">
        <v>21</v>
      </c>
      <c r="I410" s="3">
        <v>2806</v>
      </c>
      <c r="J410" s="3">
        <v>62</v>
      </c>
      <c r="K410" s="4">
        <v>44767</v>
      </c>
      <c r="L410" s="10">
        <v>415049.01579999999</v>
      </c>
    </row>
    <row r="411" spans="1:12" x14ac:dyDescent="0.3">
      <c r="A411" s="2">
        <v>409</v>
      </c>
      <c r="B411" s="3" t="s">
        <v>57</v>
      </c>
      <c r="C411" s="3" t="s">
        <v>168</v>
      </c>
      <c r="D411" s="3" t="s">
        <v>14</v>
      </c>
      <c r="E411" s="3">
        <v>15331</v>
      </c>
      <c r="F411" s="3">
        <v>5</v>
      </c>
      <c r="G411" s="3">
        <v>82392</v>
      </c>
      <c r="H411" s="3" t="s">
        <v>21</v>
      </c>
      <c r="I411" s="3">
        <v>1672</v>
      </c>
      <c r="J411" s="3">
        <v>81</v>
      </c>
      <c r="K411" s="4">
        <v>44600</v>
      </c>
      <c r="L411" s="10">
        <v>343995.42</v>
      </c>
    </row>
    <row r="412" spans="1:12" x14ac:dyDescent="0.3">
      <c r="A412" s="2">
        <v>410</v>
      </c>
      <c r="B412" s="3" t="s">
        <v>57</v>
      </c>
      <c r="C412" s="3" t="s">
        <v>162</v>
      </c>
      <c r="D412" s="3" t="s">
        <v>14</v>
      </c>
      <c r="E412" s="3">
        <v>3441</v>
      </c>
      <c r="F412" s="3">
        <v>2</v>
      </c>
      <c r="G412" s="3">
        <v>67381</v>
      </c>
      <c r="H412" s="3" t="s">
        <v>21</v>
      </c>
      <c r="I412" s="3">
        <v>2235</v>
      </c>
      <c r="J412" s="3">
        <v>42</v>
      </c>
      <c r="K412" s="4">
        <v>45368</v>
      </c>
      <c r="L412" s="10">
        <v>336747.45449999999</v>
      </c>
    </row>
    <row r="413" spans="1:12" x14ac:dyDescent="0.3">
      <c r="A413" s="2">
        <v>411</v>
      </c>
      <c r="B413" s="3" t="s">
        <v>24</v>
      </c>
      <c r="C413" s="3" t="s">
        <v>97</v>
      </c>
      <c r="D413" s="3" t="s">
        <v>18</v>
      </c>
      <c r="E413" s="3">
        <v>10675</v>
      </c>
      <c r="F413" s="3">
        <v>9</v>
      </c>
      <c r="G413" s="3">
        <v>76293</v>
      </c>
      <c r="H413" s="3" t="s">
        <v>15</v>
      </c>
      <c r="I413" s="3">
        <v>2971</v>
      </c>
      <c r="J413" s="3">
        <v>48</v>
      </c>
      <c r="K413" s="4">
        <v>44270</v>
      </c>
      <c r="L413" s="10">
        <v>376561.88189999998</v>
      </c>
    </row>
    <row r="414" spans="1:12" x14ac:dyDescent="0.3">
      <c r="A414" s="2">
        <v>412</v>
      </c>
      <c r="B414" s="3" t="s">
        <v>29</v>
      </c>
      <c r="C414" s="3" t="s">
        <v>59</v>
      </c>
      <c r="D414" s="3" t="s">
        <v>14</v>
      </c>
      <c r="E414" s="3">
        <v>20087</v>
      </c>
      <c r="F414" s="3">
        <v>6</v>
      </c>
      <c r="G414" s="3">
        <v>73024</v>
      </c>
      <c r="H414" s="3" t="s">
        <v>21</v>
      </c>
      <c r="I414" s="3">
        <v>1131</v>
      </c>
      <c r="J414" s="3">
        <v>77</v>
      </c>
      <c r="K414" s="4">
        <v>45389</v>
      </c>
      <c r="L414" s="10">
        <v>336198.44339999999</v>
      </c>
    </row>
    <row r="415" spans="1:12" x14ac:dyDescent="0.3">
      <c r="A415" s="2">
        <v>413</v>
      </c>
      <c r="B415" s="3" t="s">
        <v>37</v>
      </c>
      <c r="C415" s="3" t="s">
        <v>90</v>
      </c>
      <c r="D415" s="3" t="s">
        <v>18</v>
      </c>
      <c r="E415" s="3">
        <v>1719</v>
      </c>
      <c r="F415" s="3">
        <v>2</v>
      </c>
      <c r="G415" s="3">
        <v>62267</v>
      </c>
      <c r="H415" s="3" t="s">
        <v>21</v>
      </c>
      <c r="I415" s="3">
        <v>1123</v>
      </c>
      <c r="J415" s="3">
        <v>91</v>
      </c>
      <c r="K415" s="4">
        <v>44417</v>
      </c>
      <c r="L415" s="10">
        <v>382368.34519999998</v>
      </c>
    </row>
    <row r="416" spans="1:12" x14ac:dyDescent="0.3">
      <c r="A416" s="2">
        <v>414</v>
      </c>
      <c r="B416" s="3" t="s">
        <v>29</v>
      </c>
      <c r="C416" s="3" t="s">
        <v>107</v>
      </c>
      <c r="D416" s="3" t="s">
        <v>14</v>
      </c>
      <c r="E416" s="3">
        <v>16021</v>
      </c>
      <c r="F416" s="3">
        <v>9</v>
      </c>
      <c r="G416" s="3">
        <v>53177</v>
      </c>
      <c r="H416" s="3" t="s">
        <v>15</v>
      </c>
      <c r="I416" s="3">
        <v>1364</v>
      </c>
      <c r="J416" s="3">
        <v>88</v>
      </c>
      <c r="K416" s="4">
        <v>44951</v>
      </c>
      <c r="L416" s="10">
        <v>305591.54229999997</v>
      </c>
    </row>
    <row r="417" spans="1:12" x14ac:dyDescent="0.3">
      <c r="A417" s="2">
        <v>415</v>
      </c>
      <c r="B417" s="3" t="s">
        <v>33</v>
      </c>
      <c r="C417" s="3" t="s">
        <v>91</v>
      </c>
      <c r="D417" s="3" t="s">
        <v>14</v>
      </c>
      <c r="E417" s="3">
        <v>22856</v>
      </c>
      <c r="F417" s="3">
        <v>2</v>
      </c>
      <c r="G417" s="3">
        <v>64067</v>
      </c>
      <c r="H417" s="3" t="s">
        <v>23</v>
      </c>
      <c r="I417" s="3">
        <v>1061</v>
      </c>
      <c r="J417" s="3">
        <v>65</v>
      </c>
      <c r="K417" s="4">
        <v>44754</v>
      </c>
      <c r="L417" s="10">
        <v>321952.82449999999</v>
      </c>
    </row>
    <row r="418" spans="1:12" x14ac:dyDescent="0.3">
      <c r="A418" s="2">
        <v>416</v>
      </c>
      <c r="B418" s="3" t="s">
        <v>33</v>
      </c>
      <c r="C418" s="3" t="s">
        <v>68</v>
      </c>
      <c r="D418" s="3" t="s">
        <v>18</v>
      </c>
      <c r="E418" s="3">
        <v>5611</v>
      </c>
      <c r="F418" s="3">
        <v>3</v>
      </c>
      <c r="G418" s="3">
        <v>83773</v>
      </c>
      <c r="H418" s="3" t="s">
        <v>15</v>
      </c>
      <c r="I418" s="3">
        <v>2555</v>
      </c>
      <c r="J418" s="3">
        <v>91</v>
      </c>
      <c r="K418" s="4">
        <v>45297</v>
      </c>
      <c r="L418" s="10">
        <v>375903.88030000002</v>
      </c>
    </row>
    <row r="419" spans="1:12" x14ac:dyDescent="0.3">
      <c r="A419" s="2">
        <v>417</v>
      </c>
      <c r="B419" s="3" t="s">
        <v>40</v>
      </c>
      <c r="C419" s="3" t="s">
        <v>103</v>
      </c>
      <c r="D419" s="3" t="s">
        <v>14</v>
      </c>
      <c r="E419" s="3">
        <v>18595</v>
      </c>
      <c r="F419" s="3">
        <v>7</v>
      </c>
      <c r="G419" s="3">
        <v>91909</v>
      </c>
      <c r="H419" s="3" t="s">
        <v>15</v>
      </c>
      <c r="I419" s="3">
        <v>2435</v>
      </c>
      <c r="J419" s="3">
        <v>74</v>
      </c>
      <c r="K419" s="4">
        <v>44049</v>
      </c>
      <c r="L419" s="10">
        <v>343679.96970000002</v>
      </c>
    </row>
    <row r="420" spans="1:12" x14ac:dyDescent="0.3">
      <c r="A420" s="2">
        <v>418</v>
      </c>
      <c r="B420" s="3" t="s">
        <v>16</v>
      </c>
      <c r="C420" s="3" t="s">
        <v>176</v>
      </c>
      <c r="D420" s="3" t="s">
        <v>18</v>
      </c>
      <c r="E420" s="3">
        <v>2549</v>
      </c>
      <c r="F420" s="3">
        <v>4</v>
      </c>
      <c r="G420" s="3">
        <v>89208</v>
      </c>
      <c r="H420" s="3" t="s">
        <v>15</v>
      </c>
      <c r="I420" s="3">
        <v>1932</v>
      </c>
      <c r="J420" s="3">
        <v>39</v>
      </c>
      <c r="K420" s="4">
        <v>44421</v>
      </c>
      <c r="L420" s="10">
        <v>370086.17210000003</v>
      </c>
    </row>
    <row r="421" spans="1:12" x14ac:dyDescent="0.3">
      <c r="A421" s="2">
        <v>419</v>
      </c>
      <c r="B421" s="3" t="s">
        <v>57</v>
      </c>
      <c r="C421" s="3" t="s">
        <v>162</v>
      </c>
      <c r="D421" s="3" t="s">
        <v>14</v>
      </c>
      <c r="E421" s="3">
        <v>3658</v>
      </c>
      <c r="F421" s="3">
        <v>2</v>
      </c>
      <c r="G421" s="3">
        <v>55055</v>
      </c>
      <c r="H421" s="3" t="s">
        <v>21</v>
      </c>
      <c r="I421" s="3">
        <v>2970</v>
      </c>
      <c r="J421" s="3">
        <v>91</v>
      </c>
      <c r="K421" s="4">
        <v>44532</v>
      </c>
      <c r="L421" s="10">
        <v>353407.8518</v>
      </c>
    </row>
    <row r="422" spans="1:12" x14ac:dyDescent="0.3">
      <c r="A422" s="2">
        <v>420</v>
      </c>
      <c r="B422" s="3" t="s">
        <v>35</v>
      </c>
      <c r="C422" s="3" t="s">
        <v>200</v>
      </c>
      <c r="D422" s="3" t="s">
        <v>18</v>
      </c>
      <c r="E422" s="3">
        <v>4123</v>
      </c>
      <c r="F422" s="3">
        <v>4</v>
      </c>
      <c r="G422" s="3">
        <v>66642</v>
      </c>
      <c r="H422" s="3" t="s">
        <v>23</v>
      </c>
      <c r="I422" s="3">
        <v>1764</v>
      </c>
      <c r="J422" s="3">
        <v>28</v>
      </c>
      <c r="K422" s="4">
        <v>44398</v>
      </c>
      <c r="L422" s="10">
        <v>351766.57520000002</v>
      </c>
    </row>
    <row r="423" spans="1:12" x14ac:dyDescent="0.3">
      <c r="A423" s="2">
        <v>421</v>
      </c>
      <c r="B423" s="3" t="s">
        <v>31</v>
      </c>
      <c r="C423" s="3" t="s">
        <v>63</v>
      </c>
      <c r="D423" s="3" t="s">
        <v>14</v>
      </c>
      <c r="E423" s="3">
        <v>8694</v>
      </c>
      <c r="F423" s="3">
        <v>0</v>
      </c>
      <c r="G423" s="3">
        <v>72619</v>
      </c>
      <c r="H423" s="3" t="s">
        <v>21</v>
      </c>
      <c r="I423" s="3">
        <v>2726</v>
      </c>
      <c r="J423" s="3">
        <v>69</v>
      </c>
      <c r="K423" s="4">
        <v>44963</v>
      </c>
      <c r="L423" s="10">
        <v>342684.63949999999</v>
      </c>
    </row>
    <row r="424" spans="1:12" x14ac:dyDescent="0.3">
      <c r="A424" s="2">
        <v>422</v>
      </c>
      <c r="B424" s="3" t="s">
        <v>33</v>
      </c>
      <c r="C424" s="3" t="s">
        <v>88</v>
      </c>
      <c r="D424" s="3" t="s">
        <v>18</v>
      </c>
      <c r="E424" s="3">
        <v>15367</v>
      </c>
      <c r="F424" s="3">
        <v>3</v>
      </c>
      <c r="G424" s="3">
        <v>77540</v>
      </c>
      <c r="H424" s="3" t="s">
        <v>21</v>
      </c>
      <c r="I424" s="3">
        <v>1119</v>
      </c>
      <c r="J424" s="3">
        <v>82</v>
      </c>
      <c r="K424" s="4">
        <v>44822</v>
      </c>
      <c r="L424" s="10">
        <v>368673.94069999998</v>
      </c>
    </row>
    <row r="425" spans="1:12" x14ac:dyDescent="0.3">
      <c r="A425" s="2">
        <v>423</v>
      </c>
      <c r="B425" s="3" t="s">
        <v>57</v>
      </c>
      <c r="C425" s="3" t="s">
        <v>86</v>
      </c>
      <c r="D425" s="3" t="s">
        <v>18</v>
      </c>
      <c r="E425" s="3">
        <v>20153</v>
      </c>
      <c r="F425" s="3">
        <v>6</v>
      </c>
      <c r="G425" s="3">
        <v>52355</v>
      </c>
      <c r="H425" s="3" t="s">
        <v>15</v>
      </c>
      <c r="I425" s="3">
        <v>2911</v>
      </c>
      <c r="J425" s="3">
        <v>46</v>
      </c>
      <c r="K425" s="4">
        <v>45185</v>
      </c>
      <c r="L425" s="10">
        <v>409078.3174</v>
      </c>
    </row>
    <row r="426" spans="1:12" x14ac:dyDescent="0.3">
      <c r="A426" s="2">
        <v>424</v>
      </c>
      <c r="B426" s="3" t="s">
        <v>37</v>
      </c>
      <c r="C426" s="3" t="s">
        <v>114</v>
      </c>
      <c r="D426" s="3" t="s">
        <v>14</v>
      </c>
      <c r="E426" s="3">
        <v>20841</v>
      </c>
      <c r="F426" s="3">
        <v>3</v>
      </c>
      <c r="G426" s="3">
        <v>99452</v>
      </c>
      <c r="H426" s="3" t="s">
        <v>23</v>
      </c>
      <c r="I426" s="3">
        <v>2738</v>
      </c>
      <c r="J426" s="3">
        <v>99</v>
      </c>
      <c r="K426" s="4">
        <v>44750</v>
      </c>
      <c r="L426" s="10">
        <v>367316.75449999998</v>
      </c>
    </row>
    <row r="427" spans="1:12" x14ac:dyDescent="0.3">
      <c r="A427" s="2">
        <v>425</v>
      </c>
      <c r="B427" s="3" t="s">
        <v>40</v>
      </c>
      <c r="C427" s="3" t="s">
        <v>121</v>
      </c>
      <c r="D427" s="3" t="s">
        <v>14</v>
      </c>
      <c r="E427" s="3">
        <v>3026</v>
      </c>
      <c r="F427" s="3">
        <v>5</v>
      </c>
      <c r="G427" s="3">
        <v>50971</v>
      </c>
      <c r="H427" s="3" t="s">
        <v>15</v>
      </c>
      <c r="I427" s="3">
        <v>1519</v>
      </c>
      <c r="J427" s="3">
        <v>62</v>
      </c>
      <c r="K427" s="4">
        <v>43880</v>
      </c>
      <c r="L427" s="10">
        <v>312897.86910000001</v>
      </c>
    </row>
    <row r="428" spans="1:12" x14ac:dyDescent="0.3">
      <c r="A428" s="2">
        <v>426</v>
      </c>
      <c r="B428" s="3" t="s">
        <v>74</v>
      </c>
      <c r="C428" s="3" t="s">
        <v>153</v>
      </c>
      <c r="D428" s="3" t="s">
        <v>18</v>
      </c>
      <c r="E428" s="3">
        <v>24371</v>
      </c>
      <c r="F428" s="3">
        <v>4</v>
      </c>
      <c r="G428" s="3">
        <v>57913</v>
      </c>
      <c r="H428" s="3" t="s">
        <v>23</v>
      </c>
      <c r="I428" s="3">
        <v>1799</v>
      </c>
      <c r="J428" s="3">
        <v>52</v>
      </c>
      <c r="K428" s="4">
        <v>44906</v>
      </c>
      <c r="L428" s="10">
        <v>359532.59120000002</v>
      </c>
    </row>
    <row r="429" spans="1:12" x14ac:dyDescent="0.3">
      <c r="A429" s="2">
        <v>427</v>
      </c>
      <c r="B429" s="3" t="s">
        <v>26</v>
      </c>
      <c r="C429" s="3" t="s">
        <v>67</v>
      </c>
      <c r="D429" s="3" t="s">
        <v>18</v>
      </c>
      <c r="E429" s="3">
        <v>5286</v>
      </c>
      <c r="F429" s="3">
        <v>8</v>
      </c>
      <c r="G429" s="3">
        <v>53803</v>
      </c>
      <c r="H429" s="3" t="s">
        <v>23</v>
      </c>
      <c r="I429" s="3">
        <v>2137</v>
      </c>
      <c r="J429" s="3">
        <v>57</v>
      </c>
      <c r="K429" s="4">
        <v>45400</v>
      </c>
      <c r="L429" s="10">
        <v>367807.48670000001</v>
      </c>
    </row>
    <row r="430" spans="1:12" x14ac:dyDescent="0.3">
      <c r="A430" s="2">
        <v>428</v>
      </c>
      <c r="B430" s="3" t="s">
        <v>57</v>
      </c>
      <c r="C430" s="3" t="s">
        <v>58</v>
      </c>
      <c r="D430" s="3" t="s">
        <v>14</v>
      </c>
      <c r="E430" s="3">
        <v>2916</v>
      </c>
      <c r="F430" s="3">
        <v>6</v>
      </c>
      <c r="G430" s="3">
        <v>51127</v>
      </c>
      <c r="H430" s="3" t="s">
        <v>23</v>
      </c>
      <c r="I430" s="3">
        <v>1318</v>
      </c>
      <c r="J430" s="3">
        <v>74</v>
      </c>
      <c r="K430" s="4">
        <v>44016</v>
      </c>
      <c r="L430" s="10">
        <v>309435.81770000001</v>
      </c>
    </row>
    <row r="431" spans="1:12" x14ac:dyDescent="0.3">
      <c r="A431" s="2">
        <v>429</v>
      </c>
      <c r="B431" s="3" t="s">
        <v>35</v>
      </c>
      <c r="C431" s="3" t="s">
        <v>150</v>
      </c>
      <c r="D431" s="3" t="s">
        <v>18</v>
      </c>
      <c r="E431" s="3">
        <v>5842</v>
      </c>
      <c r="F431" s="3">
        <v>2</v>
      </c>
      <c r="G431" s="3">
        <v>96168</v>
      </c>
      <c r="H431" s="3" t="s">
        <v>15</v>
      </c>
      <c r="I431" s="3">
        <v>1201</v>
      </c>
      <c r="J431" s="3">
        <v>53</v>
      </c>
      <c r="K431" s="4">
        <v>44324</v>
      </c>
      <c r="L431" s="10">
        <v>318370.1715</v>
      </c>
    </row>
    <row r="432" spans="1:12" x14ac:dyDescent="0.3">
      <c r="A432" s="2">
        <v>430</v>
      </c>
      <c r="B432" s="3" t="s">
        <v>37</v>
      </c>
      <c r="C432" s="3" t="s">
        <v>61</v>
      </c>
      <c r="D432" s="3" t="s">
        <v>18</v>
      </c>
      <c r="E432" s="3">
        <v>15575</v>
      </c>
      <c r="F432" s="3">
        <v>1</v>
      </c>
      <c r="G432" s="3">
        <v>97677</v>
      </c>
      <c r="H432" s="3" t="s">
        <v>21</v>
      </c>
      <c r="I432" s="3">
        <v>1971</v>
      </c>
      <c r="J432" s="3">
        <v>91</v>
      </c>
      <c r="K432" s="4">
        <v>45406</v>
      </c>
      <c r="L432" s="10">
        <v>401085.47169999999</v>
      </c>
    </row>
    <row r="433" spans="1:12" x14ac:dyDescent="0.3">
      <c r="A433" s="2">
        <v>431</v>
      </c>
      <c r="B433" s="3" t="s">
        <v>35</v>
      </c>
      <c r="C433" s="3" t="s">
        <v>148</v>
      </c>
      <c r="D433" s="3" t="s">
        <v>14</v>
      </c>
      <c r="E433" s="3">
        <v>28554</v>
      </c>
      <c r="F433" s="3">
        <v>6</v>
      </c>
      <c r="G433" s="3">
        <v>87298</v>
      </c>
      <c r="H433" s="3" t="s">
        <v>23</v>
      </c>
      <c r="I433" s="3">
        <v>2048</v>
      </c>
      <c r="J433" s="3">
        <v>77</v>
      </c>
      <c r="K433" s="4">
        <v>45530</v>
      </c>
      <c r="L433" s="10">
        <v>350729.39039999997</v>
      </c>
    </row>
    <row r="434" spans="1:12" x14ac:dyDescent="0.3">
      <c r="A434" s="2">
        <v>432</v>
      </c>
      <c r="B434" s="3" t="s">
        <v>74</v>
      </c>
      <c r="C434" s="3" t="s">
        <v>89</v>
      </c>
      <c r="D434" s="3" t="s">
        <v>14</v>
      </c>
      <c r="E434" s="3">
        <v>1456</v>
      </c>
      <c r="F434" s="3">
        <v>2</v>
      </c>
      <c r="G434" s="3">
        <v>94497</v>
      </c>
      <c r="H434" s="3" t="s">
        <v>23</v>
      </c>
      <c r="I434" s="3">
        <v>2339</v>
      </c>
      <c r="J434" s="3">
        <v>48</v>
      </c>
      <c r="K434" s="4">
        <v>44845</v>
      </c>
      <c r="L434" s="10">
        <v>339901.32819999999</v>
      </c>
    </row>
    <row r="435" spans="1:12" x14ac:dyDescent="0.3">
      <c r="A435" s="2">
        <v>433</v>
      </c>
      <c r="B435" s="3" t="s">
        <v>37</v>
      </c>
      <c r="C435" s="3" t="s">
        <v>118</v>
      </c>
      <c r="D435" s="3" t="s">
        <v>18</v>
      </c>
      <c r="E435" s="3">
        <v>29628</v>
      </c>
      <c r="F435" s="3">
        <v>4</v>
      </c>
      <c r="G435" s="3">
        <v>69008</v>
      </c>
      <c r="H435" s="3" t="s">
        <v>15</v>
      </c>
      <c r="I435" s="3">
        <v>1161</v>
      </c>
      <c r="J435" s="3">
        <v>66</v>
      </c>
      <c r="K435" s="4">
        <v>45364</v>
      </c>
      <c r="L435" s="10">
        <v>366199.19809999998</v>
      </c>
    </row>
    <row r="436" spans="1:12" x14ac:dyDescent="0.3">
      <c r="A436" s="2">
        <v>434</v>
      </c>
      <c r="B436" s="3" t="s">
        <v>57</v>
      </c>
      <c r="C436" s="3" t="s">
        <v>116</v>
      </c>
      <c r="D436" s="3" t="s">
        <v>18</v>
      </c>
      <c r="E436" s="3">
        <v>7935</v>
      </c>
      <c r="F436" s="3">
        <v>4</v>
      </c>
      <c r="G436" s="3">
        <v>67105</v>
      </c>
      <c r="H436" s="3" t="s">
        <v>15</v>
      </c>
      <c r="I436" s="3">
        <v>2011</v>
      </c>
      <c r="J436" s="3">
        <v>61</v>
      </c>
      <c r="K436" s="4">
        <v>45004</v>
      </c>
      <c r="L436" s="10">
        <v>355517.40120000002</v>
      </c>
    </row>
    <row r="437" spans="1:12" x14ac:dyDescent="0.3">
      <c r="A437" s="2">
        <v>435</v>
      </c>
      <c r="B437" s="3" t="s">
        <v>72</v>
      </c>
      <c r="C437" s="3" t="s">
        <v>158</v>
      </c>
      <c r="D437" s="3" t="s">
        <v>14</v>
      </c>
      <c r="E437" s="3">
        <v>10611</v>
      </c>
      <c r="F437" s="3">
        <v>8</v>
      </c>
      <c r="G437" s="3">
        <v>68302</v>
      </c>
      <c r="H437" s="3" t="s">
        <v>23</v>
      </c>
      <c r="I437" s="3">
        <v>1424</v>
      </c>
      <c r="J437" s="3">
        <v>41</v>
      </c>
      <c r="K437" s="4">
        <v>44851</v>
      </c>
      <c r="L437" s="10">
        <v>306628.65649999998</v>
      </c>
    </row>
    <row r="438" spans="1:12" x14ac:dyDescent="0.3">
      <c r="A438" s="2">
        <v>436</v>
      </c>
      <c r="B438" s="3" t="s">
        <v>19</v>
      </c>
      <c r="C438" s="3" t="s">
        <v>199</v>
      </c>
      <c r="D438" s="3" t="s">
        <v>18</v>
      </c>
      <c r="E438" s="3">
        <v>29050</v>
      </c>
      <c r="F438" s="3">
        <v>1</v>
      </c>
      <c r="G438" s="3">
        <v>70308</v>
      </c>
      <c r="H438" s="3" t="s">
        <v>15</v>
      </c>
      <c r="I438" s="3">
        <v>1775</v>
      </c>
      <c r="J438" s="3">
        <v>64</v>
      </c>
      <c r="K438" s="4">
        <v>44991</v>
      </c>
      <c r="L438" s="10">
        <v>357688.65460000001</v>
      </c>
    </row>
    <row r="439" spans="1:12" x14ac:dyDescent="0.3">
      <c r="A439" s="2">
        <v>437</v>
      </c>
      <c r="B439" s="3" t="s">
        <v>29</v>
      </c>
      <c r="C439" s="3" t="s">
        <v>164</v>
      </c>
      <c r="D439" s="3" t="s">
        <v>14</v>
      </c>
      <c r="E439" s="3">
        <v>15808</v>
      </c>
      <c r="F439" s="3">
        <v>5</v>
      </c>
      <c r="G439" s="3">
        <v>51900</v>
      </c>
      <c r="H439" s="3" t="s">
        <v>15</v>
      </c>
      <c r="I439" s="3">
        <v>1692</v>
      </c>
      <c r="J439" s="3">
        <v>71</v>
      </c>
      <c r="K439" s="4">
        <v>44916</v>
      </c>
      <c r="L439" s="10">
        <v>319715.47360000003</v>
      </c>
    </row>
    <row r="440" spans="1:12" x14ac:dyDescent="0.3">
      <c r="A440" s="2">
        <v>438</v>
      </c>
      <c r="B440" s="3" t="s">
        <v>19</v>
      </c>
      <c r="C440" s="3" t="s">
        <v>179</v>
      </c>
      <c r="D440" s="3" t="s">
        <v>14</v>
      </c>
      <c r="E440" s="3">
        <v>21660</v>
      </c>
      <c r="F440" s="3">
        <v>5</v>
      </c>
      <c r="G440" s="3">
        <v>51656</v>
      </c>
      <c r="H440" s="3" t="s">
        <v>21</v>
      </c>
      <c r="I440" s="3">
        <v>1252</v>
      </c>
      <c r="J440" s="3">
        <v>50</v>
      </c>
      <c r="K440" s="4">
        <v>44052</v>
      </c>
      <c r="L440" s="10">
        <v>311415.64179999998</v>
      </c>
    </row>
    <row r="441" spans="1:12" x14ac:dyDescent="0.3">
      <c r="A441" s="2">
        <v>439</v>
      </c>
      <c r="B441" s="3" t="s">
        <v>57</v>
      </c>
      <c r="C441" s="3" t="s">
        <v>67</v>
      </c>
      <c r="D441" s="3" t="s">
        <v>14</v>
      </c>
      <c r="E441" s="3">
        <v>3907</v>
      </c>
      <c r="F441" s="3">
        <v>2</v>
      </c>
      <c r="G441" s="3">
        <v>70514</v>
      </c>
      <c r="H441" s="3" t="s">
        <v>21</v>
      </c>
      <c r="I441" s="3">
        <v>1868</v>
      </c>
      <c r="J441" s="3">
        <v>44</v>
      </c>
      <c r="K441" s="4">
        <v>44216</v>
      </c>
      <c r="L441" s="10">
        <v>342319.6875</v>
      </c>
    </row>
    <row r="442" spans="1:12" x14ac:dyDescent="0.3">
      <c r="A442" s="2">
        <v>440</v>
      </c>
      <c r="B442" s="3" t="s">
        <v>28</v>
      </c>
      <c r="C442" s="3" t="s">
        <v>181</v>
      </c>
      <c r="D442" s="3" t="s">
        <v>14</v>
      </c>
      <c r="E442" s="3">
        <v>10038</v>
      </c>
      <c r="F442" s="3">
        <v>0</v>
      </c>
      <c r="G442" s="3">
        <v>76091</v>
      </c>
      <c r="H442" s="3" t="s">
        <v>23</v>
      </c>
      <c r="I442" s="3">
        <v>2329</v>
      </c>
      <c r="J442" s="3">
        <v>80</v>
      </c>
      <c r="K442" s="4">
        <v>44172</v>
      </c>
      <c r="L442" s="10">
        <v>363702.91800000001</v>
      </c>
    </row>
    <row r="443" spans="1:12" x14ac:dyDescent="0.3">
      <c r="A443" s="2">
        <v>441</v>
      </c>
      <c r="B443" s="3" t="s">
        <v>26</v>
      </c>
      <c r="C443" s="3" t="s">
        <v>69</v>
      </c>
      <c r="D443" s="3" t="s">
        <v>14</v>
      </c>
      <c r="E443" s="3">
        <v>19953</v>
      </c>
      <c r="F443" s="3">
        <v>6</v>
      </c>
      <c r="G443" s="3">
        <v>54468</v>
      </c>
      <c r="H443" s="3" t="s">
        <v>15</v>
      </c>
      <c r="I443" s="3">
        <v>2630</v>
      </c>
      <c r="J443" s="3">
        <v>58</v>
      </c>
      <c r="K443" s="4">
        <v>44272</v>
      </c>
      <c r="L443" s="10">
        <v>328911.81880000001</v>
      </c>
    </row>
    <row r="444" spans="1:12" x14ac:dyDescent="0.3">
      <c r="A444" s="2">
        <v>442</v>
      </c>
      <c r="B444" s="3" t="s">
        <v>53</v>
      </c>
      <c r="C444" s="3" t="s">
        <v>197</v>
      </c>
      <c r="D444" s="3" t="s">
        <v>14</v>
      </c>
      <c r="E444" s="3">
        <v>12026</v>
      </c>
      <c r="F444" s="3">
        <v>7</v>
      </c>
      <c r="G444" s="3">
        <v>70708</v>
      </c>
      <c r="H444" s="3" t="s">
        <v>15</v>
      </c>
      <c r="I444" s="3">
        <v>2461</v>
      </c>
      <c r="J444" s="3">
        <v>78</v>
      </c>
      <c r="K444" s="4">
        <v>44551</v>
      </c>
      <c r="L444" s="10">
        <v>337115.9252</v>
      </c>
    </row>
    <row r="445" spans="1:12" x14ac:dyDescent="0.3">
      <c r="A445" s="2">
        <v>443</v>
      </c>
      <c r="B445" s="3" t="s">
        <v>33</v>
      </c>
      <c r="C445" s="3" t="s">
        <v>80</v>
      </c>
      <c r="D445" s="3" t="s">
        <v>14</v>
      </c>
      <c r="E445" s="3">
        <v>4968</v>
      </c>
      <c r="F445" s="3">
        <v>7</v>
      </c>
      <c r="G445" s="3">
        <v>74163</v>
      </c>
      <c r="H445" s="3" t="s">
        <v>23</v>
      </c>
      <c r="I445" s="3">
        <v>1141</v>
      </c>
      <c r="J445" s="3">
        <v>53</v>
      </c>
      <c r="K445" s="4">
        <v>43888</v>
      </c>
      <c r="L445" s="10">
        <v>297591.98839999997</v>
      </c>
    </row>
    <row r="446" spans="1:12" x14ac:dyDescent="0.3">
      <c r="A446" s="2">
        <v>444</v>
      </c>
      <c r="B446" s="3" t="s">
        <v>44</v>
      </c>
      <c r="C446" s="3" t="s">
        <v>201</v>
      </c>
      <c r="D446" s="3" t="s">
        <v>18</v>
      </c>
      <c r="E446" s="3">
        <v>20025</v>
      </c>
      <c r="F446" s="3">
        <v>5</v>
      </c>
      <c r="G446" s="3">
        <v>89136</v>
      </c>
      <c r="H446" s="3" t="s">
        <v>23</v>
      </c>
      <c r="I446" s="3">
        <v>2193</v>
      </c>
      <c r="J446" s="3">
        <v>31</v>
      </c>
      <c r="K446" s="4">
        <v>45100</v>
      </c>
      <c r="L446" s="10">
        <v>357461.62050000002</v>
      </c>
    </row>
    <row r="447" spans="1:12" x14ac:dyDescent="0.3">
      <c r="A447" s="2">
        <v>445</v>
      </c>
      <c r="B447" s="3" t="s">
        <v>19</v>
      </c>
      <c r="C447" s="3" t="s">
        <v>179</v>
      </c>
      <c r="D447" s="3" t="s">
        <v>14</v>
      </c>
      <c r="E447" s="3">
        <v>12373</v>
      </c>
      <c r="F447" s="3">
        <v>9</v>
      </c>
      <c r="G447" s="3">
        <v>66646</v>
      </c>
      <c r="H447" s="3" t="s">
        <v>15</v>
      </c>
      <c r="I447" s="3">
        <v>1485</v>
      </c>
      <c r="J447" s="3">
        <v>83</v>
      </c>
      <c r="K447" s="4">
        <v>44854</v>
      </c>
      <c r="L447" s="10">
        <v>322842.15289999999</v>
      </c>
    </row>
    <row r="448" spans="1:12" x14ac:dyDescent="0.3">
      <c r="A448" s="2">
        <v>446</v>
      </c>
      <c r="B448" s="3" t="s">
        <v>55</v>
      </c>
      <c r="C448" s="3" t="s">
        <v>175</v>
      </c>
      <c r="D448" s="3" t="s">
        <v>14</v>
      </c>
      <c r="E448" s="3">
        <v>14094</v>
      </c>
      <c r="F448" s="3">
        <v>8</v>
      </c>
      <c r="G448" s="3">
        <v>95876</v>
      </c>
      <c r="H448" s="3" t="s">
        <v>23</v>
      </c>
      <c r="I448" s="3">
        <v>1770</v>
      </c>
      <c r="J448" s="3">
        <v>50</v>
      </c>
      <c r="K448" s="4">
        <v>43950</v>
      </c>
      <c r="L448" s="10">
        <v>318577.36959999998</v>
      </c>
    </row>
    <row r="449" spans="1:12" x14ac:dyDescent="0.3">
      <c r="A449" s="2">
        <v>447</v>
      </c>
      <c r="B449" s="3" t="s">
        <v>37</v>
      </c>
      <c r="C449" s="3" t="s">
        <v>202</v>
      </c>
      <c r="D449" s="3" t="s">
        <v>14</v>
      </c>
      <c r="E449" s="3">
        <v>9666</v>
      </c>
      <c r="F449" s="3">
        <v>5</v>
      </c>
      <c r="G449" s="3">
        <v>86861</v>
      </c>
      <c r="H449" s="3" t="s">
        <v>23</v>
      </c>
      <c r="I449" s="3">
        <v>2598</v>
      </c>
      <c r="J449" s="3">
        <v>61</v>
      </c>
      <c r="K449" s="4">
        <v>44290</v>
      </c>
      <c r="L449" s="10">
        <v>345106.1925</v>
      </c>
    </row>
    <row r="450" spans="1:12" x14ac:dyDescent="0.3">
      <c r="A450" s="2">
        <v>448</v>
      </c>
      <c r="B450" s="3" t="s">
        <v>37</v>
      </c>
      <c r="C450" s="3" t="s">
        <v>61</v>
      </c>
      <c r="D450" s="3" t="s">
        <v>14</v>
      </c>
      <c r="E450" s="3">
        <v>23849</v>
      </c>
      <c r="F450" s="3">
        <v>1</v>
      </c>
      <c r="G450" s="3">
        <v>82701</v>
      </c>
      <c r="H450" s="3" t="s">
        <v>23</v>
      </c>
      <c r="I450" s="3">
        <v>2853</v>
      </c>
      <c r="J450" s="3">
        <v>56</v>
      </c>
      <c r="K450" s="4">
        <v>44374</v>
      </c>
      <c r="L450" s="10">
        <v>355835.38799999998</v>
      </c>
    </row>
    <row r="451" spans="1:12" x14ac:dyDescent="0.3">
      <c r="A451" s="2">
        <v>449</v>
      </c>
      <c r="B451" s="3" t="s">
        <v>16</v>
      </c>
      <c r="C451" s="3" t="s">
        <v>22</v>
      </c>
      <c r="D451" s="3" t="s">
        <v>18</v>
      </c>
      <c r="E451" s="3">
        <v>9148</v>
      </c>
      <c r="F451" s="3">
        <v>2</v>
      </c>
      <c r="G451" s="3">
        <v>50561</v>
      </c>
      <c r="H451" s="3" t="s">
        <v>15</v>
      </c>
      <c r="I451" s="3">
        <v>2110</v>
      </c>
      <c r="J451" s="3">
        <v>45</v>
      </c>
      <c r="K451" s="4">
        <v>44094</v>
      </c>
      <c r="L451" s="10">
        <v>366952.10519999999</v>
      </c>
    </row>
    <row r="452" spans="1:12" x14ac:dyDescent="0.3">
      <c r="A452" s="2">
        <v>450</v>
      </c>
      <c r="B452" s="3" t="s">
        <v>31</v>
      </c>
      <c r="C452" s="3" t="s">
        <v>32</v>
      </c>
      <c r="D452" s="3" t="s">
        <v>14</v>
      </c>
      <c r="E452" s="3">
        <v>25248</v>
      </c>
      <c r="F452" s="3">
        <v>2</v>
      </c>
      <c r="G452" s="3">
        <v>59736</v>
      </c>
      <c r="H452" s="3" t="s">
        <v>23</v>
      </c>
      <c r="I452" s="3">
        <v>2661</v>
      </c>
      <c r="J452" s="3">
        <v>23</v>
      </c>
      <c r="K452" s="4">
        <v>43980</v>
      </c>
      <c r="L452" s="10">
        <v>350573.1447</v>
      </c>
    </row>
    <row r="453" spans="1:12" x14ac:dyDescent="0.3">
      <c r="A453" s="2">
        <v>451</v>
      </c>
      <c r="B453" s="3" t="s">
        <v>31</v>
      </c>
      <c r="C453" s="3" t="s">
        <v>81</v>
      </c>
      <c r="D453" s="3" t="s">
        <v>14</v>
      </c>
      <c r="E453" s="3">
        <v>24983</v>
      </c>
      <c r="F453" s="3">
        <v>4</v>
      </c>
      <c r="G453" s="3">
        <v>51860</v>
      </c>
      <c r="H453" s="3" t="s">
        <v>23</v>
      </c>
      <c r="I453" s="3">
        <v>1352</v>
      </c>
      <c r="J453" s="3">
        <v>87</v>
      </c>
      <c r="K453" s="4">
        <v>45352</v>
      </c>
      <c r="L453" s="10">
        <v>333331.28110000002</v>
      </c>
    </row>
    <row r="454" spans="1:12" x14ac:dyDescent="0.3">
      <c r="A454" s="2">
        <v>452</v>
      </c>
      <c r="B454" s="3" t="s">
        <v>31</v>
      </c>
      <c r="C454" s="3" t="s">
        <v>186</v>
      </c>
      <c r="D454" s="3" t="s">
        <v>18</v>
      </c>
      <c r="E454" s="3">
        <v>11310</v>
      </c>
      <c r="F454" s="3">
        <v>5</v>
      </c>
      <c r="G454" s="3">
        <v>80565</v>
      </c>
      <c r="H454" s="3" t="s">
        <v>23</v>
      </c>
      <c r="I454" s="3">
        <v>1149</v>
      </c>
      <c r="J454" s="3">
        <v>93</v>
      </c>
      <c r="K454" s="4">
        <v>45340</v>
      </c>
      <c r="L454" s="10">
        <v>354928.10989999998</v>
      </c>
    </row>
    <row r="455" spans="1:12" x14ac:dyDescent="0.3">
      <c r="A455" s="2">
        <v>453</v>
      </c>
      <c r="B455" s="3" t="s">
        <v>12</v>
      </c>
      <c r="C455" s="3" t="s">
        <v>126</v>
      </c>
      <c r="D455" s="3" t="s">
        <v>14</v>
      </c>
      <c r="E455" s="3">
        <v>24928</v>
      </c>
      <c r="F455" s="3">
        <v>6</v>
      </c>
      <c r="G455" s="3">
        <v>75092</v>
      </c>
      <c r="H455" s="3" t="s">
        <v>23</v>
      </c>
      <c r="I455" s="3">
        <v>2594</v>
      </c>
      <c r="J455" s="3">
        <v>83</v>
      </c>
      <c r="K455" s="4">
        <v>44235</v>
      </c>
      <c r="L455" s="10">
        <v>344871.3371</v>
      </c>
    </row>
    <row r="456" spans="1:12" x14ac:dyDescent="0.3">
      <c r="A456" s="2">
        <v>454</v>
      </c>
      <c r="B456" s="3" t="s">
        <v>28</v>
      </c>
      <c r="C456" s="3" t="s">
        <v>102</v>
      </c>
      <c r="D456" s="3" t="s">
        <v>18</v>
      </c>
      <c r="E456" s="3">
        <v>24320</v>
      </c>
      <c r="F456" s="3">
        <v>0</v>
      </c>
      <c r="G456" s="3">
        <v>86719</v>
      </c>
      <c r="H456" s="3" t="s">
        <v>23</v>
      </c>
      <c r="I456" s="3">
        <v>1432</v>
      </c>
      <c r="J456" s="3">
        <v>40</v>
      </c>
      <c r="K456" s="4">
        <v>45291</v>
      </c>
      <c r="L456" s="10">
        <v>348266.61129999999</v>
      </c>
    </row>
    <row r="457" spans="1:12" x14ac:dyDescent="0.3">
      <c r="A457" s="2">
        <v>455</v>
      </c>
      <c r="B457" s="3" t="s">
        <v>55</v>
      </c>
      <c r="C457" s="3" t="s">
        <v>169</v>
      </c>
      <c r="D457" s="3" t="s">
        <v>14</v>
      </c>
      <c r="E457" s="3">
        <v>18447</v>
      </c>
      <c r="F457" s="3">
        <v>2</v>
      </c>
      <c r="G457" s="3">
        <v>92445</v>
      </c>
      <c r="H457" s="3" t="s">
        <v>21</v>
      </c>
      <c r="I457" s="3">
        <v>1195</v>
      </c>
      <c r="J457" s="3">
        <v>73</v>
      </c>
      <c r="K457" s="4">
        <v>44615</v>
      </c>
      <c r="L457" s="10">
        <v>344539.99729999999</v>
      </c>
    </row>
    <row r="458" spans="1:12" x14ac:dyDescent="0.3">
      <c r="A458" s="2">
        <v>456</v>
      </c>
      <c r="B458" s="3" t="s">
        <v>24</v>
      </c>
      <c r="C458" s="3" t="s">
        <v>100</v>
      </c>
      <c r="D458" s="3" t="s">
        <v>14</v>
      </c>
      <c r="E458" s="3">
        <v>8037</v>
      </c>
      <c r="F458" s="3">
        <v>1</v>
      </c>
      <c r="G458" s="3">
        <v>53732</v>
      </c>
      <c r="H458" s="3" t="s">
        <v>15</v>
      </c>
      <c r="I458" s="3">
        <v>1735</v>
      </c>
      <c r="J458" s="3">
        <v>81</v>
      </c>
      <c r="K458" s="4">
        <v>45505</v>
      </c>
      <c r="L458" s="10">
        <v>324120.08110000001</v>
      </c>
    </row>
    <row r="459" spans="1:12" x14ac:dyDescent="0.3">
      <c r="A459" s="2">
        <v>457</v>
      </c>
      <c r="B459" s="3" t="s">
        <v>31</v>
      </c>
      <c r="C459" s="3" t="s">
        <v>172</v>
      </c>
      <c r="D459" s="3" t="s">
        <v>14</v>
      </c>
      <c r="E459" s="3">
        <v>28174</v>
      </c>
      <c r="F459" s="3">
        <v>5</v>
      </c>
      <c r="G459" s="3">
        <v>97245</v>
      </c>
      <c r="H459" s="3" t="s">
        <v>21</v>
      </c>
      <c r="I459" s="3">
        <v>2831</v>
      </c>
      <c r="J459" s="3">
        <v>95</v>
      </c>
      <c r="K459" s="4">
        <v>44919</v>
      </c>
      <c r="L459" s="10">
        <v>377279.71389999997</v>
      </c>
    </row>
    <row r="460" spans="1:12" x14ac:dyDescent="0.3">
      <c r="A460" s="2">
        <v>458</v>
      </c>
      <c r="B460" s="3" t="s">
        <v>12</v>
      </c>
      <c r="C460" s="3" t="s">
        <v>13</v>
      </c>
      <c r="D460" s="3" t="s">
        <v>18</v>
      </c>
      <c r="E460" s="3">
        <v>15259</v>
      </c>
      <c r="F460" s="3">
        <v>1</v>
      </c>
      <c r="G460" s="3">
        <v>88582</v>
      </c>
      <c r="H460" s="3" t="s">
        <v>15</v>
      </c>
      <c r="I460" s="3">
        <v>2982</v>
      </c>
      <c r="J460" s="3">
        <v>25</v>
      </c>
      <c r="K460" s="4">
        <v>44562</v>
      </c>
      <c r="L460" s="10">
        <v>343529.9118</v>
      </c>
    </row>
    <row r="461" spans="1:12" x14ac:dyDescent="0.3">
      <c r="A461" s="2">
        <v>459</v>
      </c>
      <c r="B461" s="3" t="s">
        <v>108</v>
      </c>
      <c r="C461" s="3" t="s">
        <v>203</v>
      </c>
      <c r="D461" s="3" t="s">
        <v>14</v>
      </c>
      <c r="E461" s="3">
        <v>28477</v>
      </c>
      <c r="F461" s="3">
        <v>6</v>
      </c>
      <c r="G461" s="3">
        <v>86413</v>
      </c>
      <c r="H461" s="3" t="s">
        <v>23</v>
      </c>
      <c r="I461" s="3">
        <v>2424</v>
      </c>
      <c r="J461" s="3">
        <v>59</v>
      </c>
      <c r="K461" s="4">
        <v>44516</v>
      </c>
      <c r="L461" s="10">
        <v>334163.2549</v>
      </c>
    </row>
    <row r="462" spans="1:12" x14ac:dyDescent="0.3">
      <c r="A462" s="2">
        <v>460</v>
      </c>
      <c r="B462" s="3" t="s">
        <v>29</v>
      </c>
      <c r="C462" s="3" t="s">
        <v>59</v>
      </c>
      <c r="D462" s="3" t="s">
        <v>14</v>
      </c>
      <c r="E462" s="3">
        <v>23376</v>
      </c>
      <c r="F462" s="3">
        <v>4</v>
      </c>
      <c r="G462" s="3">
        <v>71683</v>
      </c>
      <c r="H462" s="3" t="s">
        <v>21</v>
      </c>
      <c r="I462" s="3">
        <v>1974</v>
      </c>
      <c r="J462" s="3">
        <v>72</v>
      </c>
      <c r="K462" s="4">
        <v>44310</v>
      </c>
      <c r="L462" s="10">
        <v>336012.27600000001</v>
      </c>
    </row>
    <row r="463" spans="1:12" x14ac:dyDescent="0.3">
      <c r="A463" s="2">
        <v>461</v>
      </c>
      <c r="B463" s="3" t="s">
        <v>108</v>
      </c>
      <c r="C463" s="3" t="s">
        <v>142</v>
      </c>
      <c r="D463" s="3" t="s">
        <v>18</v>
      </c>
      <c r="E463" s="3">
        <v>11772</v>
      </c>
      <c r="F463" s="3">
        <v>2</v>
      </c>
      <c r="G463" s="3">
        <v>78641</v>
      </c>
      <c r="H463" s="3" t="s">
        <v>21</v>
      </c>
      <c r="I463" s="3">
        <v>1471</v>
      </c>
      <c r="J463" s="3">
        <v>92</v>
      </c>
      <c r="K463" s="4">
        <v>45176</v>
      </c>
      <c r="L463" s="10">
        <v>389862.70510000002</v>
      </c>
    </row>
    <row r="464" spans="1:12" x14ac:dyDescent="0.3">
      <c r="A464" s="2">
        <v>462</v>
      </c>
      <c r="B464" s="3" t="s">
        <v>29</v>
      </c>
      <c r="C464" s="3" t="s">
        <v>59</v>
      </c>
      <c r="D464" s="3" t="s">
        <v>14</v>
      </c>
      <c r="E464" s="3">
        <v>14099</v>
      </c>
      <c r="F464" s="3">
        <v>8</v>
      </c>
      <c r="G464" s="3">
        <v>57482</v>
      </c>
      <c r="H464" s="3" t="s">
        <v>21</v>
      </c>
      <c r="I464" s="3">
        <v>2466</v>
      </c>
      <c r="J464" s="3">
        <v>67</v>
      </c>
      <c r="K464" s="4">
        <v>44779</v>
      </c>
      <c r="L464" s="10">
        <v>351931.68089999998</v>
      </c>
    </row>
    <row r="465" spans="1:12" x14ac:dyDescent="0.3">
      <c r="A465" s="2">
        <v>463</v>
      </c>
      <c r="B465" s="3" t="s">
        <v>53</v>
      </c>
      <c r="C465" s="3" t="s">
        <v>152</v>
      </c>
      <c r="D465" s="3" t="s">
        <v>18</v>
      </c>
      <c r="E465" s="3">
        <v>2094</v>
      </c>
      <c r="F465" s="3">
        <v>3</v>
      </c>
      <c r="G465" s="3">
        <v>82115</v>
      </c>
      <c r="H465" s="3" t="s">
        <v>23</v>
      </c>
      <c r="I465" s="3">
        <v>2676</v>
      </c>
      <c r="J465" s="3">
        <v>48</v>
      </c>
      <c r="K465" s="4">
        <v>44718</v>
      </c>
      <c r="L465" s="10">
        <v>377779.73749999999</v>
      </c>
    </row>
    <row r="466" spans="1:12" x14ac:dyDescent="0.3">
      <c r="A466" s="2">
        <v>464</v>
      </c>
      <c r="B466" s="3" t="s">
        <v>37</v>
      </c>
      <c r="C466" s="3" t="s">
        <v>204</v>
      </c>
      <c r="D466" s="3" t="s">
        <v>18</v>
      </c>
      <c r="E466" s="3">
        <v>938</v>
      </c>
      <c r="F466" s="3">
        <v>6</v>
      </c>
      <c r="G466" s="3">
        <v>92686</v>
      </c>
      <c r="H466" s="3" t="s">
        <v>21</v>
      </c>
      <c r="I466" s="3">
        <v>2817</v>
      </c>
      <c r="J466" s="3">
        <v>67</v>
      </c>
      <c r="K466" s="4">
        <v>44794</v>
      </c>
      <c r="L466" s="10">
        <v>409371.64150000003</v>
      </c>
    </row>
    <row r="467" spans="1:12" x14ac:dyDescent="0.3">
      <c r="A467" s="2">
        <v>465</v>
      </c>
      <c r="B467" s="3" t="s">
        <v>44</v>
      </c>
      <c r="C467" s="3" t="s">
        <v>143</v>
      </c>
      <c r="D467" s="3" t="s">
        <v>14</v>
      </c>
      <c r="E467" s="3">
        <v>28762</v>
      </c>
      <c r="F467" s="3">
        <v>8</v>
      </c>
      <c r="G467" s="3">
        <v>79534</v>
      </c>
      <c r="H467" s="3" t="s">
        <v>15</v>
      </c>
      <c r="I467" s="3">
        <v>1907</v>
      </c>
      <c r="J467" s="3">
        <v>44</v>
      </c>
      <c r="K467" s="4">
        <v>44582</v>
      </c>
      <c r="L467" s="10">
        <v>305745.56849999999</v>
      </c>
    </row>
    <row r="468" spans="1:12" x14ac:dyDescent="0.3">
      <c r="A468" s="2">
        <v>466</v>
      </c>
      <c r="B468" s="3" t="s">
        <v>26</v>
      </c>
      <c r="C468" s="3" t="s">
        <v>67</v>
      </c>
      <c r="D468" s="3" t="s">
        <v>18</v>
      </c>
      <c r="E468" s="3">
        <v>18376</v>
      </c>
      <c r="F468" s="3">
        <v>3</v>
      </c>
      <c r="G468" s="3">
        <v>67352</v>
      </c>
      <c r="H468" s="3" t="s">
        <v>21</v>
      </c>
      <c r="I468" s="3">
        <v>1601</v>
      </c>
      <c r="J468" s="3">
        <v>79</v>
      </c>
      <c r="K468" s="4">
        <v>45061</v>
      </c>
      <c r="L468" s="10">
        <v>407462.33100000001</v>
      </c>
    </row>
    <row r="469" spans="1:12" x14ac:dyDescent="0.3">
      <c r="A469" s="2">
        <v>467</v>
      </c>
      <c r="B469" s="3" t="s">
        <v>37</v>
      </c>
      <c r="C469" s="3" t="s">
        <v>38</v>
      </c>
      <c r="D469" s="3" t="s">
        <v>14</v>
      </c>
      <c r="E469" s="3">
        <v>18055</v>
      </c>
      <c r="F469" s="3">
        <v>5</v>
      </c>
      <c r="G469" s="3">
        <v>76327</v>
      </c>
      <c r="H469" s="3" t="s">
        <v>21</v>
      </c>
      <c r="I469" s="3">
        <v>2015</v>
      </c>
      <c r="J469" s="3">
        <v>63</v>
      </c>
      <c r="K469" s="4">
        <v>43895</v>
      </c>
      <c r="L469" s="10">
        <v>363745.9926</v>
      </c>
    </row>
    <row r="470" spans="1:12" x14ac:dyDescent="0.3">
      <c r="A470" s="2">
        <v>468</v>
      </c>
      <c r="B470" s="3" t="s">
        <v>28</v>
      </c>
      <c r="C470" s="3" t="s">
        <v>20</v>
      </c>
      <c r="D470" s="3" t="s">
        <v>14</v>
      </c>
      <c r="E470" s="3">
        <v>16485</v>
      </c>
      <c r="F470" s="3">
        <v>0</v>
      </c>
      <c r="G470" s="3">
        <v>77011</v>
      </c>
      <c r="H470" s="3" t="s">
        <v>23</v>
      </c>
      <c r="I470" s="3">
        <v>2124</v>
      </c>
      <c r="J470" s="3">
        <v>97</v>
      </c>
      <c r="K470" s="4">
        <v>44309</v>
      </c>
      <c r="L470" s="10">
        <v>345116.49609999999</v>
      </c>
    </row>
    <row r="471" spans="1:12" x14ac:dyDescent="0.3">
      <c r="A471" s="2">
        <v>469</v>
      </c>
      <c r="B471" s="3" t="s">
        <v>31</v>
      </c>
      <c r="C471" s="3" t="s">
        <v>186</v>
      </c>
      <c r="D471" s="3" t="s">
        <v>14</v>
      </c>
      <c r="E471" s="3">
        <v>26413</v>
      </c>
      <c r="F471" s="3">
        <v>9</v>
      </c>
      <c r="G471" s="3">
        <v>66561</v>
      </c>
      <c r="H471" s="3" t="s">
        <v>15</v>
      </c>
      <c r="I471" s="3">
        <v>1496</v>
      </c>
      <c r="J471" s="3">
        <v>99</v>
      </c>
      <c r="K471" s="4">
        <v>45483</v>
      </c>
      <c r="L471" s="10">
        <v>329077.78570000001</v>
      </c>
    </row>
    <row r="472" spans="1:12" x14ac:dyDescent="0.3">
      <c r="A472" s="2">
        <v>470</v>
      </c>
      <c r="B472" s="3" t="s">
        <v>12</v>
      </c>
      <c r="C472" s="3" t="s">
        <v>13</v>
      </c>
      <c r="D472" s="3" t="s">
        <v>18</v>
      </c>
      <c r="E472" s="3">
        <v>13921</v>
      </c>
      <c r="F472" s="3">
        <v>9</v>
      </c>
      <c r="G472" s="3">
        <v>52664</v>
      </c>
      <c r="H472" s="3" t="s">
        <v>23</v>
      </c>
      <c r="I472" s="3">
        <v>1254</v>
      </c>
      <c r="J472" s="3">
        <v>73</v>
      </c>
      <c r="K472" s="4">
        <v>44345</v>
      </c>
      <c r="L472" s="10">
        <v>373011.05719999998</v>
      </c>
    </row>
    <row r="473" spans="1:12" x14ac:dyDescent="0.3">
      <c r="A473" s="2">
        <v>471</v>
      </c>
      <c r="B473" s="3" t="s">
        <v>26</v>
      </c>
      <c r="C473" s="3" t="s">
        <v>47</v>
      </c>
      <c r="D473" s="3" t="s">
        <v>14</v>
      </c>
      <c r="E473" s="3">
        <v>19656</v>
      </c>
      <c r="F473" s="3">
        <v>1</v>
      </c>
      <c r="G473" s="3">
        <v>69936</v>
      </c>
      <c r="H473" s="3" t="s">
        <v>15</v>
      </c>
      <c r="I473" s="3">
        <v>2850</v>
      </c>
      <c r="J473" s="3">
        <v>89</v>
      </c>
      <c r="K473" s="4">
        <v>44927</v>
      </c>
      <c r="L473" s="10">
        <v>331480.2819</v>
      </c>
    </row>
    <row r="474" spans="1:12" x14ac:dyDescent="0.3">
      <c r="A474" s="2">
        <v>472</v>
      </c>
      <c r="B474" s="3" t="s">
        <v>28</v>
      </c>
      <c r="C474" s="3" t="s">
        <v>112</v>
      </c>
      <c r="D474" s="3" t="s">
        <v>14</v>
      </c>
      <c r="E474" s="3">
        <v>24901</v>
      </c>
      <c r="F474" s="3">
        <v>4</v>
      </c>
      <c r="G474" s="3">
        <v>71145</v>
      </c>
      <c r="H474" s="3" t="s">
        <v>15</v>
      </c>
      <c r="I474" s="3">
        <v>1874</v>
      </c>
      <c r="J474" s="3">
        <v>27</v>
      </c>
      <c r="K474" s="4">
        <v>45053</v>
      </c>
      <c r="L474" s="10">
        <v>306070.94780000002</v>
      </c>
    </row>
    <row r="475" spans="1:12" x14ac:dyDescent="0.3">
      <c r="A475" s="2">
        <v>473</v>
      </c>
      <c r="B475" s="3" t="s">
        <v>44</v>
      </c>
      <c r="C475" s="3" t="s">
        <v>82</v>
      </c>
      <c r="D475" s="3" t="s">
        <v>18</v>
      </c>
      <c r="E475" s="3">
        <v>13037</v>
      </c>
      <c r="F475" s="3">
        <v>0</v>
      </c>
      <c r="G475" s="3">
        <v>58393</v>
      </c>
      <c r="H475" s="3" t="s">
        <v>15</v>
      </c>
      <c r="I475" s="3">
        <v>1200</v>
      </c>
      <c r="J475" s="3">
        <v>48</v>
      </c>
      <c r="K475" s="4">
        <v>44197</v>
      </c>
      <c r="L475" s="10">
        <v>358534.9007</v>
      </c>
    </row>
    <row r="476" spans="1:12" x14ac:dyDescent="0.3">
      <c r="A476" s="2">
        <v>474</v>
      </c>
      <c r="B476" s="3" t="s">
        <v>19</v>
      </c>
      <c r="C476" s="3" t="s">
        <v>129</v>
      </c>
      <c r="D476" s="3" t="s">
        <v>14</v>
      </c>
      <c r="E476" s="3">
        <v>6892</v>
      </c>
      <c r="F476" s="3">
        <v>0</v>
      </c>
      <c r="G476" s="3">
        <v>73482</v>
      </c>
      <c r="H476" s="3" t="s">
        <v>21</v>
      </c>
      <c r="I476" s="3">
        <v>2021</v>
      </c>
      <c r="J476" s="3">
        <v>39</v>
      </c>
      <c r="K476" s="4">
        <v>45399</v>
      </c>
      <c r="L476" s="10">
        <v>311411.03769999999</v>
      </c>
    </row>
    <row r="477" spans="1:12" x14ac:dyDescent="0.3">
      <c r="A477" s="2">
        <v>475</v>
      </c>
      <c r="B477" s="3" t="s">
        <v>24</v>
      </c>
      <c r="C477" s="3" t="s">
        <v>134</v>
      </c>
      <c r="D477" s="3" t="s">
        <v>14</v>
      </c>
      <c r="E477" s="3">
        <v>9469</v>
      </c>
      <c r="F477" s="3">
        <v>7</v>
      </c>
      <c r="G477" s="3">
        <v>87213</v>
      </c>
      <c r="H477" s="3" t="s">
        <v>21</v>
      </c>
      <c r="I477" s="3">
        <v>2639</v>
      </c>
      <c r="J477" s="3">
        <v>89</v>
      </c>
      <c r="K477" s="4">
        <v>43998</v>
      </c>
      <c r="L477" s="10">
        <v>337655.59860000003</v>
      </c>
    </row>
    <row r="478" spans="1:12" x14ac:dyDescent="0.3">
      <c r="A478" s="2">
        <v>476</v>
      </c>
      <c r="B478" s="3" t="s">
        <v>33</v>
      </c>
      <c r="C478" s="3" t="s">
        <v>184</v>
      </c>
      <c r="D478" s="3" t="s">
        <v>14</v>
      </c>
      <c r="E478" s="3">
        <v>1294</v>
      </c>
      <c r="F478" s="3">
        <v>0</v>
      </c>
      <c r="G478" s="3">
        <v>51985</v>
      </c>
      <c r="H478" s="3" t="s">
        <v>15</v>
      </c>
      <c r="I478" s="3">
        <v>2317</v>
      </c>
      <c r="J478" s="3">
        <v>38</v>
      </c>
      <c r="K478" s="4">
        <v>43982</v>
      </c>
      <c r="L478" s="10">
        <v>318062.62339999998</v>
      </c>
    </row>
    <row r="479" spans="1:12" x14ac:dyDescent="0.3">
      <c r="A479" s="2">
        <v>477</v>
      </c>
      <c r="B479" s="3" t="s">
        <v>55</v>
      </c>
      <c r="C479" s="3" t="s">
        <v>67</v>
      </c>
      <c r="D479" s="3" t="s">
        <v>14</v>
      </c>
      <c r="E479" s="3">
        <v>26500</v>
      </c>
      <c r="F479" s="3">
        <v>3</v>
      </c>
      <c r="G479" s="3">
        <v>81004</v>
      </c>
      <c r="H479" s="3" t="s">
        <v>23</v>
      </c>
      <c r="I479" s="3">
        <v>1049</v>
      </c>
      <c r="J479" s="3">
        <v>27</v>
      </c>
      <c r="K479" s="4">
        <v>44595</v>
      </c>
      <c r="L479" s="10">
        <v>314738.91440000001</v>
      </c>
    </row>
    <row r="480" spans="1:12" x14ac:dyDescent="0.3">
      <c r="A480" s="2">
        <v>478</v>
      </c>
      <c r="B480" s="3" t="s">
        <v>74</v>
      </c>
      <c r="C480" s="3" t="s">
        <v>153</v>
      </c>
      <c r="D480" s="3" t="s">
        <v>18</v>
      </c>
      <c r="E480" s="3">
        <v>10435</v>
      </c>
      <c r="F480" s="3">
        <v>2</v>
      </c>
      <c r="G480" s="3">
        <v>88402</v>
      </c>
      <c r="H480" s="3" t="s">
        <v>21</v>
      </c>
      <c r="I480" s="3">
        <v>2610</v>
      </c>
      <c r="J480" s="3">
        <v>83</v>
      </c>
      <c r="K480" s="4">
        <v>43887</v>
      </c>
      <c r="L480" s="10">
        <v>409227.9706</v>
      </c>
    </row>
    <row r="481" spans="1:12" x14ac:dyDescent="0.3">
      <c r="A481" s="2">
        <v>479</v>
      </c>
      <c r="B481" s="3" t="s">
        <v>40</v>
      </c>
      <c r="C481" s="3" t="s">
        <v>41</v>
      </c>
      <c r="D481" s="3" t="s">
        <v>14</v>
      </c>
      <c r="E481" s="3">
        <v>11182</v>
      </c>
      <c r="F481" s="3">
        <v>4</v>
      </c>
      <c r="G481" s="3">
        <v>93553</v>
      </c>
      <c r="H481" s="3" t="s">
        <v>15</v>
      </c>
      <c r="I481" s="3">
        <v>2248</v>
      </c>
      <c r="J481" s="3">
        <v>70</v>
      </c>
      <c r="K481" s="4">
        <v>45415</v>
      </c>
      <c r="L481" s="10">
        <v>312187.79629999999</v>
      </c>
    </row>
    <row r="482" spans="1:12" x14ac:dyDescent="0.3">
      <c r="A482" s="2">
        <v>480</v>
      </c>
      <c r="B482" s="3" t="s">
        <v>12</v>
      </c>
      <c r="C482" s="3" t="s">
        <v>95</v>
      </c>
      <c r="D482" s="3" t="s">
        <v>14</v>
      </c>
      <c r="E482" s="3">
        <v>15465</v>
      </c>
      <c r="F482" s="3">
        <v>6</v>
      </c>
      <c r="G482" s="3">
        <v>93485</v>
      </c>
      <c r="H482" s="3" t="s">
        <v>15</v>
      </c>
      <c r="I482" s="3">
        <v>1832</v>
      </c>
      <c r="J482" s="3">
        <v>75</v>
      </c>
      <c r="K482" s="4">
        <v>44460</v>
      </c>
      <c r="L482" s="10">
        <v>343159.61430000002</v>
      </c>
    </row>
    <row r="483" spans="1:12" x14ac:dyDescent="0.3">
      <c r="A483" s="2">
        <v>481</v>
      </c>
      <c r="B483" s="3" t="s">
        <v>26</v>
      </c>
      <c r="C483" s="3" t="s">
        <v>27</v>
      </c>
      <c r="D483" s="3" t="s">
        <v>14</v>
      </c>
      <c r="E483" s="3">
        <v>3005</v>
      </c>
      <c r="F483" s="3">
        <v>8</v>
      </c>
      <c r="G483" s="3">
        <v>58012</v>
      </c>
      <c r="H483" s="3" t="s">
        <v>23</v>
      </c>
      <c r="I483" s="3">
        <v>1297</v>
      </c>
      <c r="J483" s="3">
        <v>43</v>
      </c>
      <c r="K483" s="4">
        <v>45220</v>
      </c>
      <c r="L483" s="10">
        <v>298527.45730000001</v>
      </c>
    </row>
    <row r="484" spans="1:12" x14ac:dyDescent="0.3">
      <c r="A484" s="2">
        <v>482</v>
      </c>
      <c r="B484" s="3" t="s">
        <v>72</v>
      </c>
      <c r="C484" s="3" t="s">
        <v>167</v>
      </c>
      <c r="D484" s="3" t="s">
        <v>18</v>
      </c>
      <c r="E484" s="3">
        <v>14503</v>
      </c>
      <c r="F484" s="3">
        <v>3</v>
      </c>
      <c r="G484" s="3">
        <v>64521</v>
      </c>
      <c r="H484" s="3" t="s">
        <v>21</v>
      </c>
      <c r="I484" s="3">
        <v>2780</v>
      </c>
      <c r="J484" s="3">
        <v>36</v>
      </c>
      <c r="K484" s="4">
        <v>43981</v>
      </c>
      <c r="L484" s="10">
        <v>376543.93050000002</v>
      </c>
    </row>
    <row r="485" spans="1:12" x14ac:dyDescent="0.3">
      <c r="A485" s="2">
        <v>483</v>
      </c>
      <c r="B485" s="3" t="s">
        <v>55</v>
      </c>
      <c r="C485" s="3" t="s">
        <v>169</v>
      </c>
      <c r="D485" s="3" t="s">
        <v>14</v>
      </c>
      <c r="E485" s="3">
        <v>8536</v>
      </c>
      <c r="F485" s="3">
        <v>5</v>
      </c>
      <c r="G485" s="3">
        <v>76030</v>
      </c>
      <c r="H485" s="3" t="s">
        <v>21</v>
      </c>
      <c r="I485" s="3">
        <v>2644</v>
      </c>
      <c r="J485" s="3">
        <v>56</v>
      </c>
      <c r="K485" s="4">
        <v>45296</v>
      </c>
      <c r="L485" s="10">
        <v>364840.82150000002</v>
      </c>
    </row>
    <row r="486" spans="1:12" x14ac:dyDescent="0.3">
      <c r="A486" s="2">
        <v>484</v>
      </c>
      <c r="B486" s="3" t="s">
        <v>35</v>
      </c>
      <c r="C486" s="3" t="s">
        <v>119</v>
      </c>
      <c r="D486" s="3" t="s">
        <v>18</v>
      </c>
      <c r="E486" s="3">
        <v>16616</v>
      </c>
      <c r="F486" s="3">
        <v>8</v>
      </c>
      <c r="G486" s="3">
        <v>79350</v>
      </c>
      <c r="H486" s="3" t="s">
        <v>23</v>
      </c>
      <c r="I486" s="3">
        <v>1915</v>
      </c>
      <c r="J486" s="3">
        <v>22</v>
      </c>
      <c r="K486" s="4">
        <v>45156</v>
      </c>
      <c r="L486" s="10">
        <v>353236.72779999999</v>
      </c>
    </row>
    <row r="487" spans="1:12" x14ac:dyDescent="0.3">
      <c r="A487" s="2">
        <v>485</v>
      </c>
      <c r="B487" s="3" t="s">
        <v>29</v>
      </c>
      <c r="C487" s="3" t="s">
        <v>104</v>
      </c>
      <c r="D487" s="3" t="s">
        <v>18</v>
      </c>
      <c r="E487" s="3">
        <v>701</v>
      </c>
      <c r="F487" s="3">
        <v>4</v>
      </c>
      <c r="G487" s="3">
        <v>94516</v>
      </c>
      <c r="H487" s="3" t="s">
        <v>21</v>
      </c>
      <c r="I487" s="3">
        <v>2710</v>
      </c>
      <c r="J487" s="3">
        <v>35</v>
      </c>
      <c r="K487" s="4">
        <v>44166</v>
      </c>
      <c r="L487" s="10">
        <v>378013.2648</v>
      </c>
    </row>
    <row r="488" spans="1:12" x14ac:dyDescent="0.3">
      <c r="A488" s="2">
        <v>486</v>
      </c>
      <c r="B488" s="3" t="s">
        <v>29</v>
      </c>
      <c r="C488" s="3" t="s">
        <v>110</v>
      </c>
      <c r="D488" s="3" t="s">
        <v>14</v>
      </c>
      <c r="E488" s="3">
        <v>14305</v>
      </c>
      <c r="F488" s="3">
        <v>8</v>
      </c>
      <c r="G488" s="3">
        <v>61872</v>
      </c>
      <c r="H488" s="3" t="s">
        <v>21</v>
      </c>
      <c r="I488" s="3">
        <v>1206</v>
      </c>
      <c r="J488" s="3">
        <v>86</v>
      </c>
      <c r="K488" s="4">
        <v>45080</v>
      </c>
      <c r="L488" s="10">
        <v>324075.9901</v>
      </c>
    </row>
    <row r="489" spans="1:12" x14ac:dyDescent="0.3">
      <c r="A489" s="2">
        <v>487</v>
      </c>
      <c r="B489" s="3" t="s">
        <v>28</v>
      </c>
      <c r="C489" s="3" t="s">
        <v>112</v>
      </c>
      <c r="D489" s="3" t="s">
        <v>14</v>
      </c>
      <c r="E489" s="3">
        <v>14555</v>
      </c>
      <c r="F489" s="3">
        <v>0</v>
      </c>
      <c r="G489" s="3">
        <v>97789</v>
      </c>
      <c r="H489" s="3" t="s">
        <v>21</v>
      </c>
      <c r="I489" s="3">
        <v>1238</v>
      </c>
      <c r="J489" s="3">
        <v>88</v>
      </c>
      <c r="K489" s="4">
        <v>43936</v>
      </c>
      <c r="L489" s="10">
        <v>348047.98800000001</v>
      </c>
    </row>
    <row r="490" spans="1:12" x14ac:dyDescent="0.3">
      <c r="A490" s="2">
        <v>488</v>
      </c>
      <c r="B490" s="3" t="s">
        <v>28</v>
      </c>
      <c r="C490" s="3" t="s">
        <v>112</v>
      </c>
      <c r="D490" s="3" t="s">
        <v>14</v>
      </c>
      <c r="E490" s="3">
        <v>10131</v>
      </c>
      <c r="F490" s="3">
        <v>1</v>
      </c>
      <c r="G490" s="3">
        <v>53508</v>
      </c>
      <c r="H490" s="3" t="s">
        <v>21</v>
      </c>
      <c r="I490" s="3">
        <v>2761</v>
      </c>
      <c r="J490" s="3">
        <v>44</v>
      </c>
      <c r="K490" s="4">
        <v>45007</v>
      </c>
      <c r="L490" s="10">
        <v>340263.62270000001</v>
      </c>
    </row>
    <row r="491" spans="1:12" x14ac:dyDescent="0.3">
      <c r="A491" s="2">
        <v>489</v>
      </c>
      <c r="B491" s="3" t="s">
        <v>26</v>
      </c>
      <c r="C491" s="3" t="s">
        <v>27</v>
      </c>
      <c r="D491" s="3" t="s">
        <v>18</v>
      </c>
      <c r="E491" s="3">
        <v>10791</v>
      </c>
      <c r="F491" s="3">
        <v>8</v>
      </c>
      <c r="G491" s="3">
        <v>64564</v>
      </c>
      <c r="H491" s="3" t="s">
        <v>23</v>
      </c>
      <c r="I491" s="3">
        <v>2197</v>
      </c>
      <c r="J491" s="3">
        <v>70</v>
      </c>
      <c r="K491" s="4">
        <v>44105</v>
      </c>
      <c r="L491" s="10">
        <v>398828.73379999999</v>
      </c>
    </row>
    <row r="492" spans="1:12" x14ac:dyDescent="0.3">
      <c r="A492" s="2">
        <v>490</v>
      </c>
      <c r="B492" s="3" t="s">
        <v>37</v>
      </c>
      <c r="C492" s="3" t="s">
        <v>114</v>
      </c>
      <c r="D492" s="3" t="s">
        <v>14</v>
      </c>
      <c r="E492" s="3">
        <v>10605</v>
      </c>
      <c r="F492" s="3">
        <v>5</v>
      </c>
      <c r="G492" s="3">
        <v>78380</v>
      </c>
      <c r="H492" s="3" t="s">
        <v>23</v>
      </c>
      <c r="I492" s="3">
        <v>2521</v>
      </c>
      <c r="J492" s="3">
        <v>97</v>
      </c>
      <c r="K492" s="4">
        <v>44408</v>
      </c>
      <c r="L492" s="10">
        <v>357440.88540000003</v>
      </c>
    </row>
    <row r="493" spans="1:12" x14ac:dyDescent="0.3">
      <c r="A493" s="2">
        <v>491</v>
      </c>
      <c r="B493" s="3" t="s">
        <v>35</v>
      </c>
      <c r="C493" s="3" t="s">
        <v>177</v>
      </c>
      <c r="D493" s="3" t="s">
        <v>14</v>
      </c>
      <c r="E493" s="3">
        <v>1850</v>
      </c>
      <c r="F493" s="3">
        <v>6</v>
      </c>
      <c r="G493" s="3">
        <v>71037</v>
      </c>
      <c r="H493" s="3" t="s">
        <v>23</v>
      </c>
      <c r="I493" s="3">
        <v>1682</v>
      </c>
      <c r="J493" s="3">
        <v>80</v>
      </c>
      <c r="K493" s="4">
        <v>45136</v>
      </c>
      <c r="L493" s="10">
        <v>318895.70390000002</v>
      </c>
    </row>
    <row r="494" spans="1:12" x14ac:dyDescent="0.3">
      <c r="A494" s="2">
        <v>492</v>
      </c>
      <c r="B494" s="3" t="s">
        <v>12</v>
      </c>
      <c r="C494" s="3" t="s">
        <v>140</v>
      </c>
      <c r="D494" s="3" t="s">
        <v>14</v>
      </c>
      <c r="E494" s="3">
        <v>3713</v>
      </c>
      <c r="F494" s="3">
        <v>4</v>
      </c>
      <c r="G494" s="3">
        <v>72452</v>
      </c>
      <c r="H494" s="3" t="s">
        <v>15</v>
      </c>
      <c r="I494" s="3">
        <v>2393</v>
      </c>
      <c r="J494" s="3">
        <v>45</v>
      </c>
      <c r="K494" s="4">
        <v>44318</v>
      </c>
      <c r="L494" s="10">
        <v>288892.98940000002</v>
      </c>
    </row>
    <row r="495" spans="1:12" x14ac:dyDescent="0.3">
      <c r="A495" s="2">
        <v>493</v>
      </c>
      <c r="B495" s="3" t="s">
        <v>108</v>
      </c>
      <c r="C495" s="3" t="s">
        <v>205</v>
      </c>
      <c r="D495" s="3" t="s">
        <v>18</v>
      </c>
      <c r="E495" s="3">
        <v>19317</v>
      </c>
      <c r="F495" s="3">
        <v>6</v>
      </c>
      <c r="G495" s="3">
        <v>60263</v>
      </c>
      <c r="H495" s="3" t="s">
        <v>21</v>
      </c>
      <c r="I495" s="3">
        <v>1305</v>
      </c>
      <c r="J495" s="3">
        <v>87</v>
      </c>
      <c r="K495" s="4">
        <v>45512</v>
      </c>
      <c r="L495" s="10">
        <v>386496.89069999999</v>
      </c>
    </row>
    <row r="496" spans="1:12" x14ac:dyDescent="0.3">
      <c r="A496" s="2">
        <v>494</v>
      </c>
      <c r="B496" s="3" t="s">
        <v>19</v>
      </c>
      <c r="C496" s="3" t="s">
        <v>199</v>
      </c>
      <c r="D496" s="3" t="s">
        <v>14</v>
      </c>
      <c r="E496" s="3">
        <v>12824</v>
      </c>
      <c r="F496" s="3">
        <v>9</v>
      </c>
      <c r="G496" s="3">
        <v>51291</v>
      </c>
      <c r="H496" s="3" t="s">
        <v>21</v>
      </c>
      <c r="I496" s="3">
        <v>2282</v>
      </c>
      <c r="J496" s="3">
        <v>56</v>
      </c>
      <c r="K496" s="4">
        <v>44741</v>
      </c>
      <c r="L496" s="10">
        <v>337918.01980000001</v>
      </c>
    </row>
    <row r="497" spans="1:12" x14ac:dyDescent="0.3">
      <c r="A497" s="2">
        <v>495</v>
      </c>
      <c r="B497" s="3" t="s">
        <v>72</v>
      </c>
      <c r="C497" s="3" t="s">
        <v>160</v>
      </c>
      <c r="D497" s="3" t="s">
        <v>14</v>
      </c>
      <c r="E497" s="3">
        <v>10009</v>
      </c>
      <c r="F497" s="3">
        <v>1</v>
      </c>
      <c r="G497" s="3">
        <v>63790</v>
      </c>
      <c r="H497" s="3" t="s">
        <v>21</v>
      </c>
      <c r="I497" s="3">
        <v>2203</v>
      </c>
      <c r="J497" s="3">
        <v>67</v>
      </c>
      <c r="K497" s="4">
        <v>44916</v>
      </c>
      <c r="L497" s="10">
        <v>334562.88219999999</v>
      </c>
    </row>
    <row r="498" spans="1:12" x14ac:dyDescent="0.3">
      <c r="A498" s="2">
        <v>496</v>
      </c>
      <c r="B498" s="3" t="s">
        <v>57</v>
      </c>
      <c r="C498" s="3" t="s">
        <v>206</v>
      </c>
      <c r="D498" s="3" t="s">
        <v>14</v>
      </c>
      <c r="E498" s="3">
        <v>22784</v>
      </c>
      <c r="F498" s="3">
        <v>3</v>
      </c>
      <c r="G498" s="3">
        <v>65242</v>
      </c>
      <c r="H498" s="3" t="s">
        <v>15</v>
      </c>
      <c r="I498" s="3">
        <v>1387</v>
      </c>
      <c r="J498" s="3">
        <v>60</v>
      </c>
      <c r="K498" s="4">
        <v>45504</v>
      </c>
      <c r="L498" s="10">
        <v>312294.21490000002</v>
      </c>
    </row>
    <row r="499" spans="1:12" x14ac:dyDescent="0.3">
      <c r="A499" s="2">
        <v>497</v>
      </c>
      <c r="B499" s="3" t="s">
        <v>12</v>
      </c>
      <c r="C499" s="3" t="s">
        <v>47</v>
      </c>
      <c r="D499" s="3" t="s">
        <v>18</v>
      </c>
      <c r="E499" s="3">
        <v>20563</v>
      </c>
      <c r="F499" s="3">
        <v>8</v>
      </c>
      <c r="G499" s="3">
        <v>65487</v>
      </c>
      <c r="H499" s="3" t="s">
        <v>21</v>
      </c>
      <c r="I499" s="3">
        <v>1331</v>
      </c>
      <c r="J499" s="3">
        <v>92</v>
      </c>
      <c r="K499" s="4">
        <v>44188</v>
      </c>
      <c r="L499" s="10">
        <v>366731.73440000002</v>
      </c>
    </row>
    <row r="500" spans="1:12" x14ac:dyDescent="0.3">
      <c r="A500" s="2">
        <v>498</v>
      </c>
      <c r="B500" s="3" t="s">
        <v>29</v>
      </c>
      <c r="C500" s="3" t="s">
        <v>83</v>
      </c>
      <c r="D500" s="3" t="s">
        <v>14</v>
      </c>
      <c r="E500" s="3">
        <v>9361</v>
      </c>
      <c r="F500" s="3">
        <v>6</v>
      </c>
      <c r="G500" s="3">
        <v>90381</v>
      </c>
      <c r="H500" s="3" t="s">
        <v>21</v>
      </c>
      <c r="I500" s="3">
        <v>2587</v>
      </c>
      <c r="J500" s="3">
        <v>65</v>
      </c>
      <c r="K500" s="4">
        <v>44474</v>
      </c>
      <c r="L500" s="10">
        <v>346696.5295</v>
      </c>
    </row>
    <row r="501" spans="1:12" x14ac:dyDescent="0.3">
      <c r="A501" s="2">
        <v>499</v>
      </c>
      <c r="B501" s="3" t="s">
        <v>57</v>
      </c>
      <c r="C501" s="3" t="s">
        <v>86</v>
      </c>
      <c r="D501" s="3" t="s">
        <v>18</v>
      </c>
      <c r="E501" s="3">
        <v>8712</v>
      </c>
      <c r="F501" s="3">
        <v>6</v>
      </c>
      <c r="G501" s="3">
        <v>79024</v>
      </c>
      <c r="H501" s="3" t="s">
        <v>21</v>
      </c>
      <c r="I501" s="3">
        <v>2148</v>
      </c>
      <c r="J501" s="3">
        <v>96</v>
      </c>
      <c r="K501" s="4">
        <v>44621</v>
      </c>
      <c r="L501" s="10">
        <v>378048.31770000001</v>
      </c>
    </row>
    <row r="502" spans="1:12" x14ac:dyDescent="0.3">
      <c r="A502" s="2">
        <v>500</v>
      </c>
      <c r="B502" s="3" t="s">
        <v>57</v>
      </c>
      <c r="C502" s="3" t="s">
        <v>168</v>
      </c>
      <c r="D502" s="3" t="s">
        <v>14</v>
      </c>
      <c r="E502" s="3">
        <v>26027</v>
      </c>
      <c r="F502" s="3">
        <v>0</v>
      </c>
      <c r="G502" s="3">
        <v>80487</v>
      </c>
      <c r="H502" s="3" t="s">
        <v>21</v>
      </c>
      <c r="I502" s="3">
        <v>2632</v>
      </c>
      <c r="J502" s="3">
        <v>65</v>
      </c>
      <c r="K502" s="4">
        <v>45346</v>
      </c>
      <c r="L502" s="10">
        <v>376089.33140000002</v>
      </c>
    </row>
    <row r="503" spans="1:12" x14ac:dyDescent="0.3">
      <c r="A503" s="2">
        <v>501</v>
      </c>
      <c r="B503" s="3" t="s">
        <v>55</v>
      </c>
      <c r="C503" s="3" t="s">
        <v>169</v>
      </c>
      <c r="D503" s="3" t="s">
        <v>18</v>
      </c>
      <c r="E503" s="3">
        <v>29103</v>
      </c>
      <c r="F503" s="3">
        <v>1</v>
      </c>
      <c r="G503" s="3">
        <v>65943</v>
      </c>
      <c r="H503" s="3" t="s">
        <v>23</v>
      </c>
      <c r="I503" s="3">
        <v>2236</v>
      </c>
      <c r="J503" s="3">
        <v>49</v>
      </c>
      <c r="K503" s="4">
        <v>45231</v>
      </c>
      <c r="L503" s="10">
        <v>382107.08390000003</v>
      </c>
    </row>
    <row r="504" spans="1:12" x14ac:dyDescent="0.3">
      <c r="A504" s="2">
        <v>502</v>
      </c>
      <c r="B504" s="3" t="s">
        <v>72</v>
      </c>
      <c r="C504" s="3" t="s">
        <v>147</v>
      </c>
      <c r="D504" s="3" t="s">
        <v>14</v>
      </c>
      <c r="E504" s="3">
        <v>16792</v>
      </c>
      <c r="F504" s="3">
        <v>1</v>
      </c>
      <c r="G504" s="3">
        <v>94335</v>
      </c>
      <c r="H504" s="3" t="s">
        <v>21</v>
      </c>
      <c r="I504" s="3">
        <v>2570</v>
      </c>
      <c r="J504" s="3">
        <v>81</v>
      </c>
      <c r="K504" s="4">
        <v>43906</v>
      </c>
      <c r="L504" s="10">
        <v>370798.17709999997</v>
      </c>
    </row>
    <row r="505" spans="1:12" x14ac:dyDescent="0.3">
      <c r="A505" s="2">
        <v>503</v>
      </c>
      <c r="B505" s="3" t="s">
        <v>55</v>
      </c>
      <c r="C505" s="3" t="s">
        <v>98</v>
      </c>
      <c r="D505" s="3" t="s">
        <v>14</v>
      </c>
      <c r="E505" s="3">
        <v>5128</v>
      </c>
      <c r="F505" s="3">
        <v>0</v>
      </c>
      <c r="G505" s="3">
        <v>82487</v>
      </c>
      <c r="H505" s="3" t="s">
        <v>15</v>
      </c>
      <c r="I505" s="3">
        <v>2244</v>
      </c>
      <c r="J505" s="3">
        <v>44</v>
      </c>
      <c r="K505" s="4">
        <v>44304</v>
      </c>
      <c r="L505" s="10">
        <v>316638.92660000001</v>
      </c>
    </row>
    <row r="506" spans="1:12" x14ac:dyDescent="0.3">
      <c r="A506" s="2">
        <v>504</v>
      </c>
      <c r="B506" s="3" t="s">
        <v>31</v>
      </c>
      <c r="C506" s="3" t="s">
        <v>32</v>
      </c>
      <c r="D506" s="3" t="s">
        <v>14</v>
      </c>
      <c r="E506" s="3">
        <v>25876</v>
      </c>
      <c r="F506" s="3">
        <v>3</v>
      </c>
      <c r="G506" s="3">
        <v>65947</v>
      </c>
      <c r="H506" s="3" t="s">
        <v>15</v>
      </c>
      <c r="I506" s="3">
        <v>2186</v>
      </c>
      <c r="J506" s="3">
        <v>85</v>
      </c>
      <c r="K506" s="4">
        <v>44670</v>
      </c>
      <c r="L506" s="10">
        <v>325824.5393</v>
      </c>
    </row>
    <row r="507" spans="1:12" x14ac:dyDescent="0.3">
      <c r="A507" s="2">
        <v>505</v>
      </c>
      <c r="B507" s="3" t="s">
        <v>33</v>
      </c>
      <c r="C507" s="3" t="s">
        <v>68</v>
      </c>
      <c r="D507" s="3" t="s">
        <v>18</v>
      </c>
      <c r="E507" s="3">
        <v>25160</v>
      </c>
      <c r="F507" s="3">
        <v>6</v>
      </c>
      <c r="G507" s="3">
        <v>50570</v>
      </c>
      <c r="H507" s="3" t="s">
        <v>23</v>
      </c>
      <c r="I507" s="3">
        <v>1090</v>
      </c>
      <c r="J507" s="3">
        <v>50</v>
      </c>
      <c r="K507" s="4">
        <v>45397</v>
      </c>
      <c r="L507" s="10">
        <v>351189.69170000002</v>
      </c>
    </row>
    <row r="508" spans="1:12" x14ac:dyDescent="0.3">
      <c r="A508" s="2">
        <v>506</v>
      </c>
      <c r="B508" s="3" t="s">
        <v>16</v>
      </c>
      <c r="C508" s="3" t="s">
        <v>183</v>
      </c>
      <c r="D508" s="3" t="s">
        <v>18</v>
      </c>
      <c r="E508" s="3">
        <v>25045</v>
      </c>
      <c r="F508" s="3">
        <v>5</v>
      </c>
      <c r="G508" s="3">
        <v>68805</v>
      </c>
      <c r="H508" s="3" t="s">
        <v>15</v>
      </c>
      <c r="I508" s="3">
        <v>1739</v>
      </c>
      <c r="J508" s="3">
        <v>79</v>
      </c>
      <c r="K508" s="4">
        <v>43885</v>
      </c>
      <c r="L508" s="10">
        <v>345686.15409999999</v>
      </c>
    </row>
    <row r="509" spans="1:12" x14ac:dyDescent="0.3">
      <c r="A509" s="2">
        <v>507</v>
      </c>
      <c r="B509" s="3" t="s">
        <v>33</v>
      </c>
      <c r="C509" s="3" t="s">
        <v>80</v>
      </c>
      <c r="D509" s="3" t="s">
        <v>14</v>
      </c>
      <c r="E509" s="3">
        <v>4645</v>
      </c>
      <c r="F509" s="3">
        <v>6</v>
      </c>
      <c r="G509" s="3">
        <v>79767</v>
      </c>
      <c r="H509" s="3" t="s">
        <v>15</v>
      </c>
      <c r="I509" s="3">
        <v>1859</v>
      </c>
      <c r="J509" s="3">
        <v>89</v>
      </c>
      <c r="K509" s="4">
        <v>43883</v>
      </c>
      <c r="L509" s="10">
        <v>317337.00060000003</v>
      </c>
    </row>
    <row r="510" spans="1:12" x14ac:dyDescent="0.3">
      <c r="A510" s="2">
        <v>508</v>
      </c>
      <c r="B510" s="3" t="s">
        <v>55</v>
      </c>
      <c r="C510" s="3" t="s">
        <v>98</v>
      </c>
      <c r="D510" s="3" t="s">
        <v>14</v>
      </c>
      <c r="E510" s="3">
        <v>11990</v>
      </c>
      <c r="F510" s="3">
        <v>0</v>
      </c>
      <c r="G510" s="3">
        <v>77054</v>
      </c>
      <c r="H510" s="3" t="s">
        <v>21</v>
      </c>
      <c r="I510" s="3">
        <v>1071</v>
      </c>
      <c r="J510" s="3">
        <v>70</v>
      </c>
      <c r="K510" s="4">
        <v>44571</v>
      </c>
      <c r="L510" s="10">
        <v>335669.31640000001</v>
      </c>
    </row>
    <row r="511" spans="1:12" x14ac:dyDescent="0.3">
      <c r="A511" s="2">
        <v>509</v>
      </c>
      <c r="B511" s="3" t="s">
        <v>72</v>
      </c>
      <c r="C511" s="3" t="s">
        <v>180</v>
      </c>
      <c r="D511" s="3" t="s">
        <v>18</v>
      </c>
      <c r="E511" s="3">
        <v>29464</v>
      </c>
      <c r="F511" s="3">
        <v>7</v>
      </c>
      <c r="G511" s="3">
        <v>69145</v>
      </c>
      <c r="H511" s="3" t="s">
        <v>15</v>
      </c>
      <c r="I511" s="3">
        <v>2700</v>
      </c>
      <c r="J511" s="3">
        <v>77</v>
      </c>
      <c r="K511" s="4">
        <v>45132</v>
      </c>
      <c r="L511" s="10">
        <v>391057.99190000002</v>
      </c>
    </row>
    <row r="512" spans="1:12" x14ac:dyDescent="0.3">
      <c r="A512" s="2">
        <v>510</v>
      </c>
      <c r="B512" s="3" t="s">
        <v>44</v>
      </c>
      <c r="C512" s="3" t="s">
        <v>82</v>
      </c>
      <c r="D512" s="3" t="s">
        <v>18</v>
      </c>
      <c r="E512" s="3">
        <v>25250</v>
      </c>
      <c r="F512" s="3">
        <v>7</v>
      </c>
      <c r="G512" s="3">
        <v>74815</v>
      </c>
      <c r="H512" s="3" t="s">
        <v>23</v>
      </c>
      <c r="I512" s="3">
        <v>2720</v>
      </c>
      <c r="J512" s="3">
        <v>44</v>
      </c>
      <c r="K512" s="4">
        <v>45430</v>
      </c>
      <c r="L512" s="10">
        <v>405872.91249999998</v>
      </c>
    </row>
    <row r="513" spans="1:12" x14ac:dyDescent="0.3">
      <c r="A513" s="2">
        <v>511</v>
      </c>
      <c r="B513" s="3" t="s">
        <v>16</v>
      </c>
      <c r="C513" s="3" t="s">
        <v>207</v>
      </c>
      <c r="D513" s="3" t="s">
        <v>18</v>
      </c>
      <c r="E513" s="3">
        <v>23962</v>
      </c>
      <c r="F513" s="3">
        <v>0</v>
      </c>
      <c r="G513" s="3">
        <v>78680</v>
      </c>
      <c r="H513" s="3" t="s">
        <v>21</v>
      </c>
      <c r="I513" s="3">
        <v>2526</v>
      </c>
      <c r="J513" s="3">
        <v>54</v>
      </c>
      <c r="K513" s="4">
        <v>44454</v>
      </c>
      <c r="L513" s="10">
        <v>413318.65029999998</v>
      </c>
    </row>
    <row r="514" spans="1:12" x14ac:dyDescent="0.3">
      <c r="A514" s="2">
        <v>512</v>
      </c>
      <c r="B514" s="3" t="s">
        <v>35</v>
      </c>
      <c r="C514" s="3" t="s">
        <v>62</v>
      </c>
      <c r="D514" s="3" t="s">
        <v>18</v>
      </c>
      <c r="E514" s="3">
        <v>19083</v>
      </c>
      <c r="F514" s="3">
        <v>2</v>
      </c>
      <c r="G514" s="3">
        <v>57739</v>
      </c>
      <c r="H514" s="3" t="s">
        <v>21</v>
      </c>
      <c r="I514" s="3">
        <v>2437</v>
      </c>
      <c r="J514" s="3">
        <v>46</v>
      </c>
      <c r="K514" s="4">
        <v>45169</v>
      </c>
      <c r="L514" s="10">
        <v>387422.22610000003</v>
      </c>
    </row>
    <row r="515" spans="1:12" x14ac:dyDescent="0.3">
      <c r="A515" s="2">
        <v>513</v>
      </c>
      <c r="B515" s="3" t="s">
        <v>24</v>
      </c>
      <c r="C515" s="3" t="s">
        <v>97</v>
      </c>
      <c r="D515" s="3" t="s">
        <v>18</v>
      </c>
      <c r="E515" s="3">
        <v>24978</v>
      </c>
      <c r="F515" s="3">
        <v>2</v>
      </c>
      <c r="G515" s="3">
        <v>80543</v>
      </c>
      <c r="H515" s="3" t="s">
        <v>21</v>
      </c>
      <c r="I515" s="3">
        <v>2009</v>
      </c>
      <c r="J515" s="3">
        <v>32</v>
      </c>
      <c r="K515" s="4">
        <v>44758</v>
      </c>
      <c r="L515" s="10">
        <v>337807.98879999999</v>
      </c>
    </row>
    <row r="516" spans="1:12" x14ac:dyDescent="0.3">
      <c r="A516" s="2">
        <v>514</v>
      </c>
      <c r="B516" s="3" t="s">
        <v>122</v>
      </c>
      <c r="C516" s="3" t="s">
        <v>208</v>
      </c>
      <c r="D516" s="3" t="s">
        <v>14</v>
      </c>
      <c r="E516" s="3">
        <v>1210</v>
      </c>
      <c r="F516" s="3">
        <v>8</v>
      </c>
      <c r="G516" s="3">
        <v>52337</v>
      </c>
      <c r="H516" s="3" t="s">
        <v>15</v>
      </c>
      <c r="I516" s="3">
        <v>1627</v>
      </c>
      <c r="J516" s="3">
        <v>34</v>
      </c>
      <c r="K516" s="4">
        <v>44528</v>
      </c>
      <c r="L516" s="10">
        <v>287039.56069999997</v>
      </c>
    </row>
    <row r="517" spans="1:12" x14ac:dyDescent="0.3">
      <c r="A517" s="2">
        <v>515</v>
      </c>
      <c r="B517" s="3" t="s">
        <v>74</v>
      </c>
      <c r="C517" s="3" t="s">
        <v>209</v>
      </c>
      <c r="D517" s="3" t="s">
        <v>14</v>
      </c>
      <c r="E517" s="3">
        <v>14140</v>
      </c>
      <c r="F517" s="3">
        <v>5</v>
      </c>
      <c r="G517" s="3">
        <v>72310</v>
      </c>
      <c r="H517" s="3" t="s">
        <v>23</v>
      </c>
      <c r="I517" s="3">
        <v>1221</v>
      </c>
      <c r="J517" s="3">
        <v>22</v>
      </c>
      <c r="K517" s="4">
        <v>43977</v>
      </c>
      <c r="L517" s="10">
        <v>307448.1531</v>
      </c>
    </row>
    <row r="518" spans="1:12" x14ac:dyDescent="0.3">
      <c r="A518" s="2">
        <v>516</v>
      </c>
      <c r="B518" s="3" t="s">
        <v>122</v>
      </c>
      <c r="C518" s="3" t="s">
        <v>189</v>
      </c>
      <c r="D518" s="3" t="s">
        <v>14</v>
      </c>
      <c r="E518" s="3">
        <v>7115</v>
      </c>
      <c r="F518" s="3">
        <v>6</v>
      </c>
      <c r="G518" s="3">
        <v>98622</v>
      </c>
      <c r="H518" s="3" t="s">
        <v>23</v>
      </c>
      <c r="I518" s="3">
        <v>2233</v>
      </c>
      <c r="J518" s="3">
        <v>44</v>
      </c>
      <c r="K518" s="4">
        <v>45420</v>
      </c>
      <c r="L518" s="10">
        <v>345167.5269</v>
      </c>
    </row>
    <row r="519" spans="1:12" x14ac:dyDescent="0.3">
      <c r="A519" s="2">
        <v>517</v>
      </c>
      <c r="B519" s="3" t="s">
        <v>12</v>
      </c>
      <c r="C519" s="3" t="s">
        <v>95</v>
      </c>
      <c r="D519" s="3" t="s">
        <v>18</v>
      </c>
      <c r="E519" s="3">
        <v>11804</v>
      </c>
      <c r="F519" s="3">
        <v>2</v>
      </c>
      <c r="G519" s="3">
        <v>81531</v>
      </c>
      <c r="H519" s="3" t="s">
        <v>21</v>
      </c>
      <c r="I519" s="3">
        <v>1852</v>
      </c>
      <c r="J519" s="3">
        <v>79</v>
      </c>
      <c r="K519" s="4">
        <v>45448</v>
      </c>
      <c r="L519" s="10">
        <v>390163.86820000003</v>
      </c>
    </row>
    <row r="520" spans="1:12" x14ac:dyDescent="0.3">
      <c r="A520" s="2">
        <v>518</v>
      </c>
      <c r="B520" s="3" t="s">
        <v>29</v>
      </c>
      <c r="C520" s="3" t="s">
        <v>132</v>
      </c>
      <c r="D520" s="3" t="s">
        <v>18</v>
      </c>
      <c r="E520" s="3">
        <v>19516</v>
      </c>
      <c r="F520" s="3">
        <v>3</v>
      </c>
      <c r="G520" s="3">
        <v>60070</v>
      </c>
      <c r="H520" s="3" t="s">
        <v>21</v>
      </c>
      <c r="I520" s="3">
        <v>1056</v>
      </c>
      <c r="J520" s="3">
        <v>21</v>
      </c>
      <c r="K520" s="4">
        <v>44004</v>
      </c>
      <c r="L520" s="10">
        <v>337503.06060000003</v>
      </c>
    </row>
    <row r="521" spans="1:12" x14ac:dyDescent="0.3">
      <c r="A521" s="2">
        <v>519</v>
      </c>
      <c r="B521" s="3" t="s">
        <v>29</v>
      </c>
      <c r="C521" s="3" t="s">
        <v>188</v>
      </c>
      <c r="D521" s="3" t="s">
        <v>14</v>
      </c>
      <c r="E521" s="3">
        <v>21194</v>
      </c>
      <c r="F521" s="3">
        <v>5</v>
      </c>
      <c r="G521" s="3">
        <v>90611</v>
      </c>
      <c r="H521" s="3" t="s">
        <v>23</v>
      </c>
      <c r="I521" s="3">
        <v>1124</v>
      </c>
      <c r="J521" s="3">
        <v>44</v>
      </c>
      <c r="K521" s="4">
        <v>45369</v>
      </c>
      <c r="L521" s="10">
        <v>300752.59419999999</v>
      </c>
    </row>
    <row r="522" spans="1:12" x14ac:dyDescent="0.3">
      <c r="A522" s="2">
        <v>520</v>
      </c>
      <c r="B522" s="3" t="s">
        <v>35</v>
      </c>
      <c r="C522" s="3" t="s">
        <v>191</v>
      </c>
      <c r="D522" s="3" t="s">
        <v>14</v>
      </c>
      <c r="E522" s="3">
        <v>13900</v>
      </c>
      <c r="F522" s="3">
        <v>7</v>
      </c>
      <c r="G522" s="3">
        <v>95540</v>
      </c>
      <c r="H522" s="3" t="s">
        <v>15</v>
      </c>
      <c r="I522" s="3">
        <v>2182</v>
      </c>
      <c r="J522" s="3">
        <v>54</v>
      </c>
      <c r="K522" s="4">
        <v>44775</v>
      </c>
      <c r="L522" s="10">
        <v>314182.70169999998</v>
      </c>
    </row>
    <row r="523" spans="1:12" x14ac:dyDescent="0.3">
      <c r="A523" s="2">
        <v>521</v>
      </c>
      <c r="B523" s="3" t="s">
        <v>12</v>
      </c>
      <c r="C523" s="3" t="s">
        <v>76</v>
      </c>
      <c r="D523" s="3" t="s">
        <v>14</v>
      </c>
      <c r="E523" s="3">
        <v>24122</v>
      </c>
      <c r="F523" s="3">
        <v>1</v>
      </c>
      <c r="G523" s="3">
        <v>79180</v>
      </c>
      <c r="H523" s="3" t="s">
        <v>15</v>
      </c>
      <c r="I523" s="3">
        <v>1868</v>
      </c>
      <c r="J523" s="3">
        <v>98</v>
      </c>
      <c r="K523" s="4">
        <v>44629</v>
      </c>
      <c r="L523" s="10">
        <v>335352.63179999997</v>
      </c>
    </row>
    <row r="524" spans="1:12" x14ac:dyDescent="0.3">
      <c r="A524" s="2">
        <v>522</v>
      </c>
      <c r="B524" s="3" t="s">
        <v>72</v>
      </c>
      <c r="C524" s="3" t="s">
        <v>96</v>
      </c>
      <c r="D524" s="3" t="s">
        <v>14</v>
      </c>
      <c r="E524" s="3">
        <v>3286</v>
      </c>
      <c r="F524" s="3">
        <v>9</v>
      </c>
      <c r="G524" s="3">
        <v>54525</v>
      </c>
      <c r="H524" s="3" t="s">
        <v>21</v>
      </c>
      <c r="I524" s="3">
        <v>1866</v>
      </c>
      <c r="J524" s="3">
        <v>21</v>
      </c>
      <c r="K524" s="4">
        <v>44812</v>
      </c>
      <c r="L524" s="10">
        <v>293241.13919999998</v>
      </c>
    </row>
    <row r="525" spans="1:12" x14ac:dyDescent="0.3">
      <c r="A525" s="2">
        <v>523</v>
      </c>
      <c r="B525" s="3" t="s">
        <v>19</v>
      </c>
      <c r="C525" s="3" t="s">
        <v>179</v>
      </c>
      <c r="D525" s="3" t="s">
        <v>14</v>
      </c>
      <c r="E525" s="3">
        <v>19890</v>
      </c>
      <c r="F525" s="3">
        <v>9</v>
      </c>
      <c r="G525" s="3">
        <v>65670</v>
      </c>
      <c r="H525" s="3" t="s">
        <v>21</v>
      </c>
      <c r="I525" s="3">
        <v>2475</v>
      </c>
      <c r="J525" s="3">
        <v>36</v>
      </c>
      <c r="K525" s="4">
        <v>44499</v>
      </c>
      <c r="L525" s="10">
        <v>345732.07030000002</v>
      </c>
    </row>
    <row r="526" spans="1:12" x14ac:dyDescent="0.3">
      <c r="A526" s="2">
        <v>524</v>
      </c>
      <c r="B526" s="3" t="s">
        <v>72</v>
      </c>
      <c r="C526" s="3" t="s">
        <v>180</v>
      </c>
      <c r="D526" s="3" t="s">
        <v>14</v>
      </c>
      <c r="E526" s="3">
        <v>14490</v>
      </c>
      <c r="F526" s="3">
        <v>8</v>
      </c>
      <c r="G526" s="3">
        <v>81200</v>
      </c>
      <c r="H526" s="3" t="s">
        <v>21</v>
      </c>
      <c r="I526" s="3">
        <v>2258</v>
      </c>
      <c r="J526" s="3">
        <v>26</v>
      </c>
      <c r="K526" s="4">
        <v>45159</v>
      </c>
      <c r="L526" s="10">
        <v>322566.61099999998</v>
      </c>
    </row>
    <row r="527" spans="1:12" x14ac:dyDescent="0.3">
      <c r="A527" s="2">
        <v>525</v>
      </c>
      <c r="B527" s="3" t="s">
        <v>26</v>
      </c>
      <c r="C527" s="3" t="s">
        <v>69</v>
      </c>
      <c r="D527" s="3" t="s">
        <v>14</v>
      </c>
      <c r="E527" s="3">
        <v>13425</v>
      </c>
      <c r="F527" s="3">
        <v>3</v>
      </c>
      <c r="G527" s="3">
        <v>91907</v>
      </c>
      <c r="H527" s="3" t="s">
        <v>21</v>
      </c>
      <c r="I527" s="3">
        <v>2759</v>
      </c>
      <c r="J527" s="3">
        <v>33</v>
      </c>
      <c r="K527" s="4">
        <v>44379</v>
      </c>
      <c r="L527" s="10">
        <v>350049.7782</v>
      </c>
    </row>
    <row r="528" spans="1:12" x14ac:dyDescent="0.3">
      <c r="A528" s="2">
        <v>526</v>
      </c>
      <c r="B528" s="3" t="s">
        <v>74</v>
      </c>
      <c r="C528" s="3" t="s">
        <v>113</v>
      </c>
      <c r="D528" s="3" t="s">
        <v>14</v>
      </c>
      <c r="E528" s="3">
        <v>12250</v>
      </c>
      <c r="F528" s="3">
        <v>3</v>
      </c>
      <c r="G528" s="3">
        <v>83255</v>
      </c>
      <c r="H528" s="3" t="s">
        <v>15</v>
      </c>
      <c r="I528" s="3">
        <v>2179</v>
      </c>
      <c r="J528" s="3">
        <v>79</v>
      </c>
      <c r="K528" s="4">
        <v>45407</v>
      </c>
      <c r="L528" s="10">
        <v>332096.28850000002</v>
      </c>
    </row>
    <row r="529" spans="1:12" x14ac:dyDescent="0.3">
      <c r="A529" s="2">
        <v>527</v>
      </c>
      <c r="B529" s="3" t="s">
        <v>57</v>
      </c>
      <c r="C529" s="3" t="s">
        <v>162</v>
      </c>
      <c r="D529" s="3" t="s">
        <v>18</v>
      </c>
      <c r="E529" s="3">
        <v>14937</v>
      </c>
      <c r="F529" s="3">
        <v>9</v>
      </c>
      <c r="G529" s="3">
        <v>56260</v>
      </c>
      <c r="H529" s="3" t="s">
        <v>21</v>
      </c>
      <c r="I529" s="3">
        <v>2245</v>
      </c>
      <c r="J529" s="3">
        <v>56</v>
      </c>
      <c r="K529" s="4">
        <v>44407</v>
      </c>
      <c r="L529" s="10">
        <v>402737.68420000002</v>
      </c>
    </row>
    <row r="530" spans="1:12" x14ac:dyDescent="0.3">
      <c r="A530" s="2">
        <v>528</v>
      </c>
      <c r="B530" s="3" t="s">
        <v>122</v>
      </c>
      <c r="C530" s="3" t="s">
        <v>195</v>
      </c>
      <c r="D530" s="3" t="s">
        <v>18</v>
      </c>
      <c r="E530" s="3">
        <v>6212</v>
      </c>
      <c r="F530" s="3">
        <v>8</v>
      </c>
      <c r="G530" s="3">
        <v>82853</v>
      </c>
      <c r="H530" s="3" t="s">
        <v>15</v>
      </c>
      <c r="I530" s="3">
        <v>2266</v>
      </c>
      <c r="J530" s="3">
        <v>70</v>
      </c>
      <c r="K530" s="4">
        <v>45097</v>
      </c>
      <c r="L530" s="10">
        <v>400290.10969999997</v>
      </c>
    </row>
    <row r="531" spans="1:12" x14ac:dyDescent="0.3">
      <c r="A531" s="2">
        <v>529</v>
      </c>
      <c r="B531" s="3" t="s">
        <v>28</v>
      </c>
      <c r="C531" s="3" t="s">
        <v>181</v>
      </c>
      <c r="D531" s="3" t="s">
        <v>14</v>
      </c>
      <c r="E531" s="3">
        <v>17953</v>
      </c>
      <c r="F531" s="3">
        <v>4</v>
      </c>
      <c r="G531" s="3">
        <v>79795</v>
      </c>
      <c r="H531" s="3" t="s">
        <v>21</v>
      </c>
      <c r="I531" s="3">
        <v>1418</v>
      </c>
      <c r="J531" s="3">
        <v>56</v>
      </c>
      <c r="K531" s="4">
        <v>43897</v>
      </c>
      <c r="L531" s="10">
        <v>331401.9559</v>
      </c>
    </row>
    <row r="532" spans="1:12" x14ac:dyDescent="0.3">
      <c r="A532" s="2">
        <v>530</v>
      </c>
      <c r="B532" s="3" t="s">
        <v>28</v>
      </c>
      <c r="C532" s="3" t="s">
        <v>43</v>
      </c>
      <c r="D532" s="3" t="s">
        <v>14</v>
      </c>
      <c r="E532" s="3">
        <v>8935</v>
      </c>
      <c r="F532" s="3">
        <v>6</v>
      </c>
      <c r="G532" s="3">
        <v>58111</v>
      </c>
      <c r="H532" s="3" t="s">
        <v>21</v>
      </c>
      <c r="I532" s="3">
        <v>1063</v>
      </c>
      <c r="J532" s="3">
        <v>56</v>
      </c>
      <c r="K532" s="4">
        <v>44909</v>
      </c>
      <c r="L532" s="10">
        <v>308916.13909999997</v>
      </c>
    </row>
    <row r="533" spans="1:12" x14ac:dyDescent="0.3">
      <c r="A533" s="2">
        <v>531</v>
      </c>
      <c r="B533" s="3" t="s">
        <v>40</v>
      </c>
      <c r="C533" s="3" t="s">
        <v>210</v>
      </c>
      <c r="D533" s="3" t="s">
        <v>14</v>
      </c>
      <c r="E533" s="3">
        <v>16050</v>
      </c>
      <c r="F533" s="3">
        <v>1</v>
      </c>
      <c r="G533" s="3">
        <v>97828</v>
      </c>
      <c r="H533" s="3" t="s">
        <v>21</v>
      </c>
      <c r="I533" s="3">
        <v>2327</v>
      </c>
      <c r="J533" s="3">
        <v>95</v>
      </c>
      <c r="K533" s="4">
        <v>44158</v>
      </c>
      <c r="L533" s="10">
        <v>355417.31880000001</v>
      </c>
    </row>
    <row r="534" spans="1:12" x14ac:dyDescent="0.3">
      <c r="A534" s="2">
        <v>532</v>
      </c>
      <c r="B534" s="3" t="s">
        <v>16</v>
      </c>
      <c r="C534" s="3" t="s">
        <v>211</v>
      </c>
      <c r="D534" s="3" t="s">
        <v>18</v>
      </c>
      <c r="E534" s="3">
        <v>15068</v>
      </c>
      <c r="F534" s="3">
        <v>6</v>
      </c>
      <c r="G534" s="3">
        <v>86477</v>
      </c>
      <c r="H534" s="3" t="s">
        <v>23</v>
      </c>
      <c r="I534" s="3">
        <v>1943</v>
      </c>
      <c r="J534" s="3">
        <v>24</v>
      </c>
      <c r="K534" s="4">
        <v>44687</v>
      </c>
      <c r="L534" s="10">
        <v>367255.04489999998</v>
      </c>
    </row>
    <row r="535" spans="1:12" x14ac:dyDescent="0.3">
      <c r="A535" s="2">
        <v>533</v>
      </c>
      <c r="B535" s="3" t="s">
        <v>35</v>
      </c>
      <c r="C535" s="3" t="s">
        <v>200</v>
      </c>
      <c r="D535" s="3" t="s">
        <v>18</v>
      </c>
      <c r="E535" s="3">
        <v>9868</v>
      </c>
      <c r="F535" s="3">
        <v>3</v>
      </c>
      <c r="G535" s="3">
        <v>97967</v>
      </c>
      <c r="H535" s="3" t="s">
        <v>21</v>
      </c>
      <c r="I535" s="3">
        <v>1350</v>
      </c>
      <c r="J535" s="3">
        <v>75</v>
      </c>
      <c r="K535" s="4">
        <v>44088</v>
      </c>
      <c r="L535" s="10">
        <v>350839.82049999997</v>
      </c>
    </row>
    <row r="536" spans="1:12" x14ac:dyDescent="0.3">
      <c r="A536" s="2">
        <v>534</v>
      </c>
      <c r="B536" s="3" t="s">
        <v>37</v>
      </c>
      <c r="C536" s="3" t="s">
        <v>128</v>
      </c>
      <c r="D536" s="3" t="s">
        <v>14</v>
      </c>
      <c r="E536" s="3">
        <v>28137</v>
      </c>
      <c r="F536" s="3">
        <v>1</v>
      </c>
      <c r="G536" s="3">
        <v>84806</v>
      </c>
      <c r="H536" s="3" t="s">
        <v>15</v>
      </c>
      <c r="I536" s="3">
        <v>1109</v>
      </c>
      <c r="J536" s="3">
        <v>24</v>
      </c>
      <c r="K536" s="4">
        <v>45016</v>
      </c>
      <c r="L536" s="10">
        <v>292172.04029999999</v>
      </c>
    </row>
    <row r="537" spans="1:12" x14ac:dyDescent="0.3">
      <c r="A537" s="2">
        <v>535</v>
      </c>
      <c r="B537" s="3" t="s">
        <v>26</v>
      </c>
      <c r="C537" s="3" t="s">
        <v>93</v>
      </c>
      <c r="D537" s="3" t="s">
        <v>14</v>
      </c>
      <c r="E537" s="3">
        <v>1349</v>
      </c>
      <c r="F537" s="3">
        <v>5</v>
      </c>
      <c r="G537" s="3">
        <v>66250</v>
      </c>
      <c r="H537" s="3" t="s">
        <v>23</v>
      </c>
      <c r="I537" s="3">
        <v>2541</v>
      </c>
      <c r="J537" s="3">
        <v>47</v>
      </c>
      <c r="K537" s="4">
        <v>45362</v>
      </c>
      <c r="L537" s="10">
        <v>339163.53330000001</v>
      </c>
    </row>
    <row r="538" spans="1:12" x14ac:dyDescent="0.3">
      <c r="A538" s="2">
        <v>536</v>
      </c>
      <c r="B538" s="3" t="s">
        <v>74</v>
      </c>
      <c r="C538" s="3" t="s">
        <v>106</v>
      </c>
      <c r="D538" s="3" t="s">
        <v>18</v>
      </c>
      <c r="E538" s="3">
        <v>7032</v>
      </c>
      <c r="F538" s="3">
        <v>0</v>
      </c>
      <c r="G538" s="3">
        <v>85272</v>
      </c>
      <c r="H538" s="3" t="s">
        <v>23</v>
      </c>
      <c r="I538" s="3">
        <v>2795</v>
      </c>
      <c r="J538" s="3">
        <v>46</v>
      </c>
      <c r="K538" s="4">
        <v>44472</v>
      </c>
      <c r="L538" s="10">
        <v>407596.4375</v>
      </c>
    </row>
    <row r="539" spans="1:12" x14ac:dyDescent="0.3">
      <c r="A539" s="2">
        <v>537</v>
      </c>
      <c r="B539" s="3" t="s">
        <v>35</v>
      </c>
      <c r="C539" s="3" t="s">
        <v>139</v>
      </c>
      <c r="D539" s="3" t="s">
        <v>18</v>
      </c>
      <c r="E539" s="3">
        <v>14937</v>
      </c>
      <c r="F539" s="3">
        <v>0</v>
      </c>
      <c r="G539" s="3">
        <v>69228</v>
      </c>
      <c r="H539" s="3" t="s">
        <v>15</v>
      </c>
      <c r="I539" s="3">
        <v>1662</v>
      </c>
      <c r="J539" s="3">
        <v>40</v>
      </c>
      <c r="K539" s="4">
        <v>45016</v>
      </c>
      <c r="L539" s="10">
        <v>359593.04810000001</v>
      </c>
    </row>
    <row r="540" spans="1:12" x14ac:dyDescent="0.3">
      <c r="A540" s="2">
        <v>538</v>
      </c>
      <c r="B540" s="3" t="s">
        <v>57</v>
      </c>
      <c r="C540" s="3" t="s">
        <v>206</v>
      </c>
      <c r="D540" s="3" t="s">
        <v>14</v>
      </c>
      <c r="E540" s="3">
        <v>9841</v>
      </c>
      <c r="F540" s="3">
        <v>9</v>
      </c>
      <c r="G540" s="3">
        <v>91693</v>
      </c>
      <c r="H540" s="3" t="s">
        <v>15</v>
      </c>
      <c r="I540" s="3">
        <v>2920</v>
      </c>
      <c r="J540" s="3">
        <v>60</v>
      </c>
      <c r="K540" s="4">
        <v>44588</v>
      </c>
      <c r="L540" s="10">
        <v>330672.10769999999</v>
      </c>
    </row>
    <row r="541" spans="1:12" x14ac:dyDescent="0.3">
      <c r="A541" s="2">
        <v>539</v>
      </c>
      <c r="B541" s="3" t="s">
        <v>33</v>
      </c>
      <c r="C541" s="3" t="s">
        <v>184</v>
      </c>
      <c r="D541" s="3" t="s">
        <v>14</v>
      </c>
      <c r="E541" s="3">
        <v>16390</v>
      </c>
      <c r="F541" s="3">
        <v>9</v>
      </c>
      <c r="G541" s="3">
        <v>74594</v>
      </c>
      <c r="H541" s="3" t="s">
        <v>15</v>
      </c>
      <c r="I541" s="3">
        <v>2554</v>
      </c>
      <c r="J541" s="3">
        <v>99</v>
      </c>
      <c r="K541" s="4">
        <v>44107</v>
      </c>
      <c r="L541" s="10">
        <v>340403.27169999998</v>
      </c>
    </row>
    <row r="542" spans="1:12" x14ac:dyDescent="0.3">
      <c r="A542" s="2">
        <v>540</v>
      </c>
      <c r="B542" s="3" t="s">
        <v>28</v>
      </c>
      <c r="C542" s="3" t="s">
        <v>187</v>
      </c>
      <c r="D542" s="3" t="s">
        <v>18</v>
      </c>
      <c r="E542" s="3">
        <v>15918</v>
      </c>
      <c r="F542" s="3">
        <v>4</v>
      </c>
      <c r="G542" s="3">
        <v>77404</v>
      </c>
      <c r="H542" s="3" t="s">
        <v>15</v>
      </c>
      <c r="I542" s="3">
        <v>1497</v>
      </c>
      <c r="J542" s="3">
        <v>21</v>
      </c>
      <c r="K542" s="4">
        <v>44933</v>
      </c>
      <c r="L542" s="10">
        <v>311936.0171</v>
      </c>
    </row>
    <row r="543" spans="1:12" x14ac:dyDescent="0.3">
      <c r="A543" s="2">
        <v>541</v>
      </c>
      <c r="B543" s="3" t="s">
        <v>33</v>
      </c>
      <c r="C543" s="3" t="s">
        <v>91</v>
      </c>
      <c r="D543" s="3" t="s">
        <v>14</v>
      </c>
      <c r="E543" s="3">
        <v>26957</v>
      </c>
      <c r="F543" s="3">
        <v>6</v>
      </c>
      <c r="G543" s="3">
        <v>90802</v>
      </c>
      <c r="H543" s="3" t="s">
        <v>23</v>
      </c>
      <c r="I543" s="3">
        <v>1725</v>
      </c>
      <c r="J543" s="3">
        <v>55</v>
      </c>
      <c r="K543" s="4">
        <v>45210</v>
      </c>
      <c r="L543" s="10">
        <v>341399.71399999998</v>
      </c>
    </row>
    <row r="544" spans="1:12" x14ac:dyDescent="0.3">
      <c r="A544" s="2">
        <v>542</v>
      </c>
      <c r="B544" s="3" t="s">
        <v>31</v>
      </c>
      <c r="C544" s="3" t="s">
        <v>146</v>
      </c>
      <c r="D544" s="3" t="s">
        <v>18</v>
      </c>
      <c r="E544" s="3">
        <v>21843</v>
      </c>
      <c r="F544" s="3">
        <v>0</v>
      </c>
      <c r="G544" s="3">
        <v>87146</v>
      </c>
      <c r="H544" s="3" t="s">
        <v>15</v>
      </c>
      <c r="I544" s="3">
        <v>2328</v>
      </c>
      <c r="J544" s="3">
        <v>51</v>
      </c>
      <c r="K544" s="4">
        <v>45171</v>
      </c>
      <c r="L544" s="10">
        <v>346603.33630000002</v>
      </c>
    </row>
    <row r="545" spans="1:12" x14ac:dyDescent="0.3">
      <c r="A545" s="2">
        <v>543</v>
      </c>
      <c r="B545" s="3" t="s">
        <v>72</v>
      </c>
      <c r="C545" s="3" t="s">
        <v>151</v>
      </c>
      <c r="D545" s="3" t="s">
        <v>18</v>
      </c>
      <c r="E545" s="3">
        <v>16942</v>
      </c>
      <c r="F545" s="3">
        <v>7</v>
      </c>
      <c r="G545" s="3">
        <v>68324</v>
      </c>
      <c r="H545" s="3" t="s">
        <v>21</v>
      </c>
      <c r="I545" s="3">
        <v>2928</v>
      </c>
      <c r="J545" s="3">
        <v>63</v>
      </c>
      <c r="K545" s="4">
        <v>43871</v>
      </c>
      <c r="L545" s="10">
        <v>400666.90960000001</v>
      </c>
    </row>
    <row r="546" spans="1:12" x14ac:dyDescent="0.3">
      <c r="A546" s="2">
        <v>544</v>
      </c>
      <c r="B546" s="3" t="s">
        <v>29</v>
      </c>
      <c r="C546" s="3" t="s">
        <v>83</v>
      </c>
      <c r="D546" s="3" t="s">
        <v>14</v>
      </c>
      <c r="E546" s="3">
        <v>9787</v>
      </c>
      <c r="F546" s="3">
        <v>9</v>
      </c>
      <c r="G546" s="3">
        <v>70703</v>
      </c>
      <c r="H546" s="3" t="s">
        <v>15</v>
      </c>
      <c r="I546" s="3">
        <v>1121</v>
      </c>
      <c r="J546" s="3">
        <v>30</v>
      </c>
      <c r="K546" s="4">
        <v>44977</v>
      </c>
      <c r="L546" s="10">
        <v>282177.29070000001</v>
      </c>
    </row>
    <row r="547" spans="1:12" x14ac:dyDescent="0.3">
      <c r="A547" s="2">
        <v>545</v>
      </c>
      <c r="B547" s="3" t="s">
        <v>28</v>
      </c>
      <c r="C547" s="3" t="s">
        <v>187</v>
      </c>
      <c r="D547" s="3" t="s">
        <v>14</v>
      </c>
      <c r="E547" s="3">
        <v>7329</v>
      </c>
      <c r="F547" s="3">
        <v>1</v>
      </c>
      <c r="G547" s="3">
        <v>90957</v>
      </c>
      <c r="H547" s="3" t="s">
        <v>23</v>
      </c>
      <c r="I547" s="3">
        <v>1832</v>
      </c>
      <c r="J547" s="3">
        <v>55</v>
      </c>
      <c r="K547" s="4">
        <v>45477</v>
      </c>
      <c r="L547" s="10">
        <v>347689.6017</v>
      </c>
    </row>
    <row r="548" spans="1:12" x14ac:dyDescent="0.3">
      <c r="A548" s="2">
        <v>546</v>
      </c>
      <c r="B548" s="3" t="s">
        <v>33</v>
      </c>
      <c r="C548" s="3" t="s">
        <v>91</v>
      </c>
      <c r="D548" s="3" t="s">
        <v>18</v>
      </c>
      <c r="E548" s="3">
        <v>23958</v>
      </c>
      <c r="F548" s="3">
        <v>3</v>
      </c>
      <c r="G548" s="3">
        <v>75394</v>
      </c>
      <c r="H548" s="3" t="s">
        <v>23</v>
      </c>
      <c r="I548" s="3">
        <v>2587</v>
      </c>
      <c r="J548" s="3">
        <v>81</v>
      </c>
      <c r="K548" s="4">
        <v>44729</v>
      </c>
      <c r="L548" s="10">
        <v>405137.35239999997</v>
      </c>
    </row>
    <row r="549" spans="1:12" x14ac:dyDescent="0.3">
      <c r="A549" s="2">
        <v>547</v>
      </c>
      <c r="B549" s="3" t="s">
        <v>55</v>
      </c>
      <c r="C549" s="3" t="s">
        <v>67</v>
      </c>
      <c r="D549" s="3" t="s">
        <v>14</v>
      </c>
      <c r="E549" s="3">
        <v>2687</v>
      </c>
      <c r="F549" s="3">
        <v>7</v>
      </c>
      <c r="G549" s="3">
        <v>69171</v>
      </c>
      <c r="H549" s="3" t="s">
        <v>23</v>
      </c>
      <c r="I549" s="3">
        <v>1466</v>
      </c>
      <c r="J549" s="3">
        <v>38</v>
      </c>
      <c r="K549" s="4">
        <v>44854</v>
      </c>
      <c r="L549" s="10">
        <v>318452.8628</v>
      </c>
    </row>
    <row r="550" spans="1:12" x14ac:dyDescent="0.3">
      <c r="A550" s="2">
        <v>548</v>
      </c>
      <c r="B550" s="3" t="s">
        <v>19</v>
      </c>
      <c r="C550" s="3" t="s">
        <v>179</v>
      </c>
      <c r="D550" s="3" t="s">
        <v>14</v>
      </c>
      <c r="E550" s="3">
        <v>27325</v>
      </c>
      <c r="F550" s="3">
        <v>8</v>
      </c>
      <c r="G550" s="3">
        <v>82681</v>
      </c>
      <c r="H550" s="3" t="s">
        <v>21</v>
      </c>
      <c r="I550" s="3">
        <v>2577</v>
      </c>
      <c r="J550" s="3">
        <v>80</v>
      </c>
      <c r="K550" s="4">
        <v>45327</v>
      </c>
      <c r="L550" s="10">
        <v>344585.40769999998</v>
      </c>
    </row>
    <row r="551" spans="1:12" x14ac:dyDescent="0.3">
      <c r="A551" s="2">
        <v>549</v>
      </c>
      <c r="B551" s="3" t="s">
        <v>12</v>
      </c>
      <c r="C551" s="3" t="s">
        <v>76</v>
      </c>
      <c r="D551" s="3" t="s">
        <v>18</v>
      </c>
      <c r="E551" s="3">
        <v>7873</v>
      </c>
      <c r="F551" s="3">
        <v>0</v>
      </c>
      <c r="G551" s="3">
        <v>91494</v>
      </c>
      <c r="H551" s="3" t="s">
        <v>15</v>
      </c>
      <c r="I551" s="3">
        <v>2908</v>
      </c>
      <c r="J551" s="3">
        <v>96</v>
      </c>
      <c r="K551" s="4">
        <v>44271</v>
      </c>
      <c r="L551" s="10">
        <v>394543.54639999999</v>
      </c>
    </row>
    <row r="552" spans="1:12" x14ac:dyDescent="0.3">
      <c r="A552" s="2">
        <v>550</v>
      </c>
      <c r="B552" s="3" t="s">
        <v>44</v>
      </c>
      <c r="C552" s="3" t="s">
        <v>82</v>
      </c>
      <c r="D552" s="3" t="s">
        <v>14</v>
      </c>
      <c r="E552" s="3">
        <v>21310</v>
      </c>
      <c r="F552" s="3">
        <v>4</v>
      </c>
      <c r="G552" s="3">
        <v>64682</v>
      </c>
      <c r="H552" s="3" t="s">
        <v>15</v>
      </c>
      <c r="I552" s="3">
        <v>2218</v>
      </c>
      <c r="J552" s="3">
        <v>45</v>
      </c>
      <c r="K552" s="4">
        <v>45397</v>
      </c>
      <c r="L552" s="10">
        <v>307350.14179999998</v>
      </c>
    </row>
    <row r="553" spans="1:12" x14ac:dyDescent="0.3">
      <c r="A553" s="2">
        <v>551</v>
      </c>
      <c r="B553" s="3" t="s">
        <v>37</v>
      </c>
      <c r="C553" s="3" t="s">
        <v>127</v>
      </c>
      <c r="D553" s="3" t="s">
        <v>18</v>
      </c>
      <c r="E553" s="3">
        <v>27584</v>
      </c>
      <c r="F553" s="3">
        <v>9</v>
      </c>
      <c r="G553" s="3">
        <v>88044</v>
      </c>
      <c r="H553" s="3" t="s">
        <v>23</v>
      </c>
      <c r="I553" s="3">
        <v>2895</v>
      </c>
      <c r="J553" s="3">
        <v>61</v>
      </c>
      <c r="K553" s="4">
        <v>45058</v>
      </c>
      <c r="L553" s="10">
        <v>416331.26750000002</v>
      </c>
    </row>
    <row r="554" spans="1:12" x14ac:dyDescent="0.3">
      <c r="A554" s="2">
        <v>552</v>
      </c>
      <c r="B554" s="3" t="s">
        <v>16</v>
      </c>
      <c r="C554" s="3" t="s">
        <v>22</v>
      </c>
      <c r="D554" s="3" t="s">
        <v>18</v>
      </c>
      <c r="E554" s="3">
        <v>4457</v>
      </c>
      <c r="F554" s="3">
        <v>5</v>
      </c>
      <c r="G554" s="3">
        <v>96968</v>
      </c>
      <c r="H554" s="3" t="s">
        <v>15</v>
      </c>
      <c r="I554" s="3">
        <v>2608</v>
      </c>
      <c r="J554" s="3">
        <v>89</v>
      </c>
      <c r="K554" s="4">
        <v>45047</v>
      </c>
      <c r="L554" s="10">
        <v>388285.85119999998</v>
      </c>
    </row>
    <row r="555" spans="1:12" x14ac:dyDescent="0.3">
      <c r="A555" s="2">
        <v>553</v>
      </c>
      <c r="B555" s="3" t="s">
        <v>53</v>
      </c>
      <c r="C555" s="3" t="s">
        <v>157</v>
      </c>
      <c r="D555" s="3" t="s">
        <v>14</v>
      </c>
      <c r="E555" s="3">
        <v>5407</v>
      </c>
      <c r="F555" s="3">
        <v>2</v>
      </c>
      <c r="G555" s="3">
        <v>97679</v>
      </c>
      <c r="H555" s="3" t="s">
        <v>21</v>
      </c>
      <c r="I555" s="3">
        <v>1899</v>
      </c>
      <c r="J555" s="3">
        <v>47</v>
      </c>
      <c r="K555" s="4">
        <v>44841</v>
      </c>
      <c r="L555" s="10">
        <v>343747.86249999999</v>
      </c>
    </row>
    <row r="556" spans="1:12" x14ac:dyDescent="0.3">
      <c r="A556" s="2">
        <v>554</v>
      </c>
      <c r="B556" s="3" t="s">
        <v>31</v>
      </c>
      <c r="C556" s="3" t="s">
        <v>146</v>
      </c>
      <c r="D556" s="3" t="s">
        <v>14</v>
      </c>
      <c r="E556" s="3">
        <v>12618</v>
      </c>
      <c r="F556" s="3">
        <v>6</v>
      </c>
      <c r="G556" s="3">
        <v>90350</v>
      </c>
      <c r="H556" s="3" t="s">
        <v>21</v>
      </c>
      <c r="I556" s="3">
        <v>2318</v>
      </c>
      <c r="J556" s="3">
        <v>33</v>
      </c>
      <c r="K556" s="4">
        <v>44809</v>
      </c>
      <c r="L556" s="10">
        <v>331388.69900000002</v>
      </c>
    </row>
    <row r="557" spans="1:12" x14ac:dyDescent="0.3">
      <c r="A557" s="2">
        <v>555</v>
      </c>
      <c r="B557" s="3" t="s">
        <v>40</v>
      </c>
      <c r="C557" s="3" t="s">
        <v>103</v>
      </c>
      <c r="D557" s="3" t="s">
        <v>14</v>
      </c>
      <c r="E557" s="3">
        <v>18256</v>
      </c>
      <c r="F557" s="3">
        <v>6</v>
      </c>
      <c r="G557" s="3">
        <v>98459</v>
      </c>
      <c r="H557" s="3" t="s">
        <v>21</v>
      </c>
      <c r="I557" s="3">
        <v>2696</v>
      </c>
      <c r="J557" s="3">
        <v>83</v>
      </c>
      <c r="K557" s="4">
        <v>45171</v>
      </c>
      <c r="L557" s="10">
        <v>364265.04710000003</v>
      </c>
    </row>
    <row r="558" spans="1:12" x14ac:dyDescent="0.3">
      <c r="A558" s="2">
        <v>556</v>
      </c>
      <c r="B558" s="3" t="s">
        <v>44</v>
      </c>
      <c r="C558" s="3" t="s">
        <v>201</v>
      </c>
      <c r="D558" s="3" t="s">
        <v>14</v>
      </c>
      <c r="E558" s="3">
        <v>16219</v>
      </c>
      <c r="F558" s="3">
        <v>8</v>
      </c>
      <c r="G558" s="3">
        <v>94559</v>
      </c>
      <c r="H558" s="3" t="s">
        <v>23</v>
      </c>
      <c r="I558" s="3">
        <v>2042</v>
      </c>
      <c r="J558" s="3">
        <v>33</v>
      </c>
      <c r="K558" s="4">
        <v>44466</v>
      </c>
      <c r="L558" s="10">
        <v>345101.16979999997</v>
      </c>
    </row>
    <row r="559" spans="1:12" x14ac:dyDescent="0.3">
      <c r="A559" s="2">
        <v>557</v>
      </c>
      <c r="B559" s="3" t="s">
        <v>53</v>
      </c>
      <c r="C559" s="3" t="s">
        <v>212</v>
      </c>
      <c r="D559" s="3" t="s">
        <v>18</v>
      </c>
      <c r="E559" s="3">
        <v>16975</v>
      </c>
      <c r="F559" s="3">
        <v>1</v>
      </c>
      <c r="G559" s="3">
        <v>75436</v>
      </c>
      <c r="H559" s="3" t="s">
        <v>21</v>
      </c>
      <c r="I559" s="3">
        <v>2933</v>
      </c>
      <c r="J559" s="3">
        <v>52</v>
      </c>
      <c r="K559" s="4">
        <v>44002</v>
      </c>
      <c r="L559" s="10">
        <v>401214.09820000001</v>
      </c>
    </row>
    <row r="560" spans="1:12" x14ac:dyDescent="0.3">
      <c r="A560" s="2">
        <v>558</v>
      </c>
      <c r="B560" s="3" t="s">
        <v>40</v>
      </c>
      <c r="C560" s="3" t="s">
        <v>41</v>
      </c>
      <c r="D560" s="3" t="s">
        <v>14</v>
      </c>
      <c r="E560" s="3">
        <v>14600</v>
      </c>
      <c r="F560" s="3">
        <v>3</v>
      </c>
      <c r="G560" s="3">
        <v>94640</v>
      </c>
      <c r="H560" s="3" t="s">
        <v>23</v>
      </c>
      <c r="I560" s="3">
        <v>2583</v>
      </c>
      <c r="J560" s="3">
        <v>40</v>
      </c>
      <c r="K560" s="4">
        <v>44944</v>
      </c>
      <c r="L560" s="10">
        <v>320211.62400000001</v>
      </c>
    </row>
    <row r="561" spans="1:12" x14ac:dyDescent="0.3">
      <c r="A561" s="2">
        <v>559</v>
      </c>
      <c r="B561" s="3" t="s">
        <v>122</v>
      </c>
      <c r="C561" s="3" t="s">
        <v>208</v>
      </c>
      <c r="D561" s="3" t="s">
        <v>18</v>
      </c>
      <c r="E561" s="3">
        <v>858</v>
      </c>
      <c r="F561" s="3">
        <v>8</v>
      </c>
      <c r="G561" s="3">
        <v>72803</v>
      </c>
      <c r="H561" s="3" t="s">
        <v>23</v>
      </c>
      <c r="I561" s="3">
        <v>2378</v>
      </c>
      <c r="J561" s="3">
        <v>39</v>
      </c>
      <c r="K561" s="4">
        <v>43902</v>
      </c>
      <c r="L561" s="10">
        <v>369657.04950000002</v>
      </c>
    </row>
    <row r="562" spans="1:12" x14ac:dyDescent="0.3">
      <c r="A562" s="2">
        <v>560</v>
      </c>
      <c r="B562" s="3" t="s">
        <v>55</v>
      </c>
      <c r="C562" s="3" t="s">
        <v>67</v>
      </c>
      <c r="D562" s="3" t="s">
        <v>18</v>
      </c>
      <c r="E562" s="3">
        <v>8410</v>
      </c>
      <c r="F562" s="3">
        <v>8</v>
      </c>
      <c r="G562" s="3">
        <v>52488</v>
      </c>
      <c r="H562" s="3" t="s">
        <v>21</v>
      </c>
      <c r="I562" s="3">
        <v>1281</v>
      </c>
      <c r="J562" s="3">
        <v>90</v>
      </c>
      <c r="K562" s="4">
        <v>44810</v>
      </c>
      <c r="L562" s="10">
        <v>356611.73710000003</v>
      </c>
    </row>
    <row r="563" spans="1:12" x14ac:dyDescent="0.3">
      <c r="A563" s="2">
        <v>561</v>
      </c>
      <c r="B563" s="3" t="s">
        <v>72</v>
      </c>
      <c r="C563" s="3" t="s">
        <v>213</v>
      </c>
      <c r="D563" s="3" t="s">
        <v>18</v>
      </c>
      <c r="E563" s="3">
        <v>13140</v>
      </c>
      <c r="F563" s="3">
        <v>4</v>
      </c>
      <c r="G563" s="3">
        <v>74228</v>
      </c>
      <c r="H563" s="3" t="s">
        <v>21</v>
      </c>
      <c r="I563" s="3">
        <v>2631</v>
      </c>
      <c r="J563" s="3">
        <v>37</v>
      </c>
      <c r="K563" s="4">
        <v>43943</v>
      </c>
      <c r="L563" s="10">
        <v>369568.05379999999</v>
      </c>
    </row>
    <row r="564" spans="1:12" x14ac:dyDescent="0.3">
      <c r="A564" s="2">
        <v>562</v>
      </c>
      <c r="B564" s="3" t="s">
        <v>28</v>
      </c>
      <c r="C564" s="3" t="s">
        <v>46</v>
      </c>
      <c r="D564" s="3" t="s">
        <v>14</v>
      </c>
      <c r="E564" s="3">
        <v>2364</v>
      </c>
      <c r="F564" s="3">
        <v>3</v>
      </c>
      <c r="G564" s="3">
        <v>84700</v>
      </c>
      <c r="H564" s="3" t="s">
        <v>15</v>
      </c>
      <c r="I564" s="3">
        <v>2416</v>
      </c>
      <c r="J564" s="3">
        <v>61</v>
      </c>
      <c r="K564" s="4">
        <v>45275</v>
      </c>
      <c r="L564" s="10">
        <v>329368.89549999998</v>
      </c>
    </row>
    <row r="565" spans="1:12" x14ac:dyDescent="0.3">
      <c r="A565" s="2">
        <v>563</v>
      </c>
      <c r="B565" s="3" t="s">
        <v>35</v>
      </c>
      <c r="C565" s="3" t="s">
        <v>200</v>
      </c>
      <c r="D565" s="3" t="s">
        <v>18</v>
      </c>
      <c r="E565" s="3">
        <v>23936</v>
      </c>
      <c r="F565" s="3">
        <v>2</v>
      </c>
      <c r="G565" s="3">
        <v>87630</v>
      </c>
      <c r="H565" s="3" t="s">
        <v>21</v>
      </c>
      <c r="I565" s="3">
        <v>2796</v>
      </c>
      <c r="J565" s="3">
        <v>90</v>
      </c>
      <c r="K565" s="4">
        <v>44817</v>
      </c>
      <c r="L565" s="10">
        <v>421427.30229999998</v>
      </c>
    </row>
    <row r="566" spans="1:12" x14ac:dyDescent="0.3">
      <c r="A566" s="2">
        <v>564</v>
      </c>
      <c r="B566" s="3" t="s">
        <v>16</v>
      </c>
      <c r="C566" s="3" t="s">
        <v>211</v>
      </c>
      <c r="D566" s="3" t="s">
        <v>18</v>
      </c>
      <c r="E566" s="3">
        <v>12369</v>
      </c>
      <c r="F566" s="3">
        <v>0</v>
      </c>
      <c r="G566" s="3">
        <v>92599</v>
      </c>
      <c r="H566" s="3" t="s">
        <v>23</v>
      </c>
      <c r="I566" s="3">
        <v>2899</v>
      </c>
      <c r="J566" s="3">
        <v>80</v>
      </c>
      <c r="K566" s="4">
        <v>45264</v>
      </c>
      <c r="L566" s="10">
        <v>414938.94280000002</v>
      </c>
    </row>
    <row r="567" spans="1:12" x14ac:dyDescent="0.3">
      <c r="A567" s="2">
        <v>565</v>
      </c>
      <c r="B567" s="3" t="s">
        <v>31</v>
      </c>
      <c r="C567" s="3" t="s">
        <v>165</v>
      </c>
      <c r="D567" s="3" t="s">
        <v>18</v>
      </c>
      <c r="E567" s="3">
        <v>20391</v>
      </c>
      <c r="F567" s="3">
        <v>9</v>
      </c>
      <c r="G567" s="3">
        <v>65221</v>
      </c>
      <c r="H567" s="3" t="s">
        <v>21</v>
      </c>
      <c r="I567" s="3">
        <v>1634</v>
      </c>
      <c r="J567" s="3">
        <v>26</v>
      </c>
      <c r="K567" s="4">
        <v>44899</v>
      </c>
      <c r="L567" s="10">
        <v>329599.66090000002</v>
      </c>
    </row>
    <row r="568" spans="1:12" x14ac:dyDescent="0.3">
      <c r="A568" s="2">
        <v>566</v>
      </c>
      <c r="B568" s="3" t="s">
        <v>24</v>
      </c>
      <c r="C568" s="3" t="s">
        <v>94</v>
      </c>
      <c r="D568" s="3" t="s">
        <v>18</v>
      </c>
      <c r="E568" s="3">
        <v>20343</v>
      </c>
      <c r="F568" s="3">
        <v>5</v>
      </c>
      <c r="G568" s="3">
        <v>63824</v>
      </c>
      <c r="H568" s="3" t="s">
        <v>21</v>
      </c>
      <c r="I568" s="3">
        <v>1977</v>
      </c>
      <c r="J568" s="3">
        <v>35</v>
      </c>
      <c r="K568" s="4">
        <v>45505</v>
      </c>
      <c r="L568" s="10">
        <v>383612.8407</v>
      </c>
    </row>
    <row r="569" spans="1:12" x14ac:dyDescent="0.3">
      <c r="A569" s="2">
        <v>567</v>
      </c>
      <c r="B569" s="3" t="s">
        <v>12</v>
      </c>
      <c r="C569" s="3" t="s">
        <v>13</v>
      </c>
      <c r="D569" s="3" t="s">
        <v>14</v>
      </c>
      <c r="E569" s="3">
        <v>25113</v>
      </c>
      <c r="F569" s="3">
        <v>1</v>
      </c>
      <c r="G569" s="3">
        <v>92655</v>
      </c>
      <c r="H569" s="3" t="s">
        <v>15</v>
      </c>
      <c r="I569" s="3">
        <v>1014</v>
      </c>
      <c r="J569" s="3">
        <v>72</v>
      </c>
      <c r="K569" s="4">
        <v>43976</v>
      </c>
      <c r="L569" s="10">
        <v>327230.51750000002</v>
      </c>
    </row>
    <row r="570" spans="1:12" x14ac:dyDescent="0.3">
      <c r="A570" s="2">
        <v>568</v>
      </c>
      <c r="B570" s="3" t="s">
        <v>16</v>
      </c>
      <c r="C570" s="3" t="s">
        <v>176</v>
      </c>
      <c r="D570" s="3" t="s">
        <v>14</v>
      </c>
      <c r="E570" s="3">
        <v>20547</v>
      </c>
      <c r="F570" s="3">
        <v>6</v>
      </c>
      <c r="G570" s="3">
        <v>59695</v>
      </c>
      <c r="H570" s="3" t="s">
        <v>21</v>
      </c>
      <c r="I570" s="3">
        <v>2954</v>
      </c>
      <c r="J570" s="3">
        <v>43</v>
      </c>
      <c r="K570" s="4">
        <v>44136</v>
      </c>
      <c r="L570" s="10">
        <v>345537.48180000001</v>
      </c>
    </row>
    <row r="571" spans="1:12" x14ac:dyDescent="0.3">
      <c r="A571" s="2">
        <v>569</v>
      </c>
      <c r="B571" s="3" t="s">
        <v>40</v>
      </c>
      <c r="C571" s="3" t="s">
        <v>121</v>
      </c>
      <c r="D571" s="3" t="s">
        <v>14</v>
      </c>
      <c r="E571" s="3">
        <v>3554</v>
      </c>
      <c r="F571" s="3">
        <v>6</v>
      </c>
      <c r="G571" s="3">
        <v>64576</v>
      </c>
      <c r="H571" s="3" t="s">
        <v>15</v>
      </c>
      <c r="I571" s="3">
        <v>2160</v>
      </c>
      <c r="J571" s="3">
        <v>90</v>
      </c>
      <c r="K571" s="4">
        <v>44448</v>
      </c>
      <c r="L571" s="10">
        <v>315737.91850000003</v>
      </c>
    </row>
    <row r="572" spans="1:12" x14ac:dyDescent="0.3">
      <c r="A572" s="2">
        <v>570</v>
      </c>
      <c r="B572" s="3" t="s">
        <v>16</v>
      </c>
      <c r="C572" s="3" t="s">
        <v>87</v>
      </c>
      <c r="D572" s="3" t="s">
        <v>18</v>
      </c>
      <c r="E572" s="3">
        <v>4797</v>
      </c>
      <c r="F572" s="3">
        <v>0</v>
      </c>
      <c r="G572" s="3">
        <v>52257</v>
      </c>
      <c r="H572" s="3" t="s">
        <v>23</v>
      </c>
      <c r="I572" s="3">
        <v>2512</v>
      </c>
      <c r="J572" s="3">
        <v>35</v>
      </c>
      <c r="K572" s="4">
        <v>44115</v>
      </c>
      <c r="L572" s="10">
        <v>377262.38329999999</v>
      </c>
    </row>
    <row r="573" spans="1:12" x14ac:dyDescent="0.3">
      <c r="A573" s="2">
        <v>571</v>
      </c>
      <c r="B573" s="3" t="s">
        <v>35</v>
      </c>
      <c r="C573" s="3" t="s">
        <v>150</v>
      </c>
      <c r="D573" s="3" t="s">
        <v>14</v>
      </c>
      <c r="E573" s="3">
        <v>25974</v>
      </c>
      <c r="F573" s="3">
        <v>8</v>
      </c>
      <c r="G573" s="3">
        <v>69317</v>
      </c>
      <c r="H573" s="3" t="s">
        <v>21</v>
      </c>
      <c r="I573" s="3">
        <v>1783</v>
      </c>
      <c r="J573" s="3">
        <v>96</v>
      </c>
      <c r="K573" s="4">
        <v>44872</v>
      </c>
      <c r="L573" s="10">
        <v>358738.15350000001</v>
      </c>
    </row>
    <row r="574" spans="1:12" x14ac:dyDescent="0.3">
      <c r="A574" s="2">
        <v>572</v>
      </c>
      <c r="B574" s="3" t="s">
        <v>33</v>
      </c>
      <c r="C574" s="3" t="s">
        <v>88</v>
      </c>
      <c r="D574" s="3" t="s">
        <v>14</v>
      </c>
      <c r="E574" s="3">
        <v>8761</v>
      </c>
      <c r="F574" s="3">
        <v>0</v>
      </c>
      <c r="G574" s="3">
        <v>77075</v>
      </c>
      <c r="H574" s="3" t="s">
        <v>15</v>
      </c>
      <c r="I574" s="3">
        <v>2764</v>
      </c>
      <c r="J574" s="3">
        <v>53</v>
      </c>
      <c r="K574" s="4">
        <v>44812</v>
      </c>
      <c r="L574" s="10">
        <v>322905.32809999998</v>
      </c>
    </row>
    <row r="575" spans="1:12" x14ac:dyDescent="0.3">
      <c r="A575" s="2">
        <v>573</v>
      </c>
      <c r="B575" s="3" t="s">
        <v>12</v>
      </c>
      <c r="C575" s="3" t="s">
        <v>50</v>
      </c>
      <c r="D575" s="3" t="s">
        <v>18</v>
      </c>
      <c r="E575" s="3">
        <v>7031</v>
      </c>
      <c r="F575" s="3">
        <v>0</v>
      </c>
      <c r="G575" s="3">
        <v>82244</v>
      </c>
      <c r="H575" s="3" t="s">
        <v>15</v>
      </c>
      <c r="I575" s="3">
        <v>2705</v>
      </c>
      <c r="J575" s="3">
        <v>54</v>
      </c>
      <c r="K575" s="4">
        <v>44232</v>
      </c>
      <c r="L575" s="10">
        <v>363113.43359999999</v>
      </c>
    </row>
    <row r="576" spans="1:12" x14ac:dyDescent="0.3">
      <c r="A576" s="2">
        <v>574</v>
      </c>
      <c r="B576" s="3" t="s">
        <v>108</v>
      </c>
      <c r="C576" s="3" t="s">
        <v>214</v>
      </c>
      <c r="D576" s="3" t="s">
        <v>18</v>
      </c>
      <c r="E576" s="3">
        <v>4150</v>
      </c>
      <c r="F576" s="3">
        <v>5</v>
      </c>
      <c r="G576" s="3">
        <v>81827</v>
      </c>
      <c r="H576" s="3" t="s">
        <v>23</v>
      </c>
      <c r="I576" s="3">
        <v>1172</v>
      </c>
      <c r="J576" s="3">
        <v>31</v>
      </c>
      <c r="K576" s="4">
        <v>45477</v>
      </c>
      <c r="L576" s="10">
        <v>336605.24770000001</v>
      </c>
    </row>
    <row r="577" spans="1:12" x14ac:dyDescent="0.3">
      <c r="A577" s="2">
        <v>575</v>
      </c>
      <c r="B577" s="3" t="s">
        <v>74</v>
      </c>
      <c r="C577" s="3" t="s">
        <v>89</v>
      </c>
      <c r="D577" s="3" t="s">
        <v>14</v>
      </c>
      <c r="E577" s="3">
        <v>26863</v>
      </c>
      <c r="F577" s="3">
        <v>7</v>
      </c>
      <c r="G577" s="3">
        <v>63405</v>
      </c>
      <c r="H577" s="3" t="s">
        <v>23</v>
      </c>
      <c r="I577" s="3">
        <v>2155</v>
      </c>
      <c r="J577" s="3">
        <v>93</v>
      </c>
      <c r="K577" s="4">
        <v>44903</v>
      </c>
      <c r="L577" s="10">
        <v>345800.5564</v>
      </c>
    </row>
    <row r="578" spans="1:12" x14ac:dyDescent="0.3">
      <c r="A578" s="2">
        <v>576</v>
      </c>
      <c r="B578" s="3" t="s">
        <v>74</v>
      </c>
      <c r="C578" s="3" t="s">
        <v>75</v>
      </c>
      <c r="D578" s="3" t="s">
        <v>18</v>
      </c>
      <c r="E578" s="3">
        <v>6181</v>
      </c>
      <c r="F578" s="3">
        <v>3</v>
      </c>
      <c r="G578" s="3">
        <v>80379</v>
      </c>
      <c r="H578" s="3" t="s">
        <v>23</v>
      </c>
      <c r="I578" s="3">
        <v>1371</v>
      </c>
      <c r="J578" s="3">
        <v>95</v>
      </c>
      <c r="K578" s="4">
        <v>45095</v>
      </c>
      <c r="L578" s="10">
        <v>343825.72269999998</v>
      </c>
    </row>
    <row r="579" spans="1:12" x14ac:dyDescent="0.3">
      <c r="A579" s="2">
        <v>577</v>
      </c>
      <c r="B579" s="3" t="s">
        <v>122</v>
      </c>
      <c r="C579" s="3" t="s">
        <v>98</v>
      </c>
      <c r="D579" s="3" t="s">
        <v>18</v>
      </c>
      <c r="E579" s="3">
        <v>932</v>
      </c>
      <c r="F579" s="3">
        <v>0</v>
      </c>
      <c r="G579" s="3">
        <v>87509</v>
      </c>
      <c r="H579" s="3" t="s">
        <v>21</v>
      </c>
      <c r="I579" s="3">
        <v>1347</v>
      </c>
      <c r="J579" s="3">
        <v>73</v>
      </c>
      <c r="K579" s="4">
        <v>44023</v>
      </c>
      <c r="L579" s="10">
        <v>396993.4535</v>
      </c>
    </row>
    <row r="580" spans="1:12" x14ac:dyDescent="0.3">
      <c r="A580" s="2">
        <v>578</v>
      </c>
      <c r="B580" s="3" t="s">
        <v>28</v>
      </c>
      <c r="C580" s="3" t="s">
        <v>43</v>
      </c>
      <c r="D580" s="3" t="s">
        <v>14</v>
      </c>
      <c r="E580" s="3">
        <v>7274</v>
      </c>
      <c r="F580" s="3">
        <v>6</v>
      </c>
      <c r="G580" s="3">
        <v>72476</v>
      </c>
      <c r="H580" s="3" t="s">
        <v>23</v>
      </c>
      <c r="I580" s="3">
        <v>2953</v>
      </c>
      <c r="J580" s="3">
        <v>26</v>
      </c>
      <c r="K580" s="4">
        <v>44194</v>
      </c>
      <c r="L580" s="10">
        <v>351744.62540000002</v>
      </c>
    </row>
    <row r="581" spans="1:12" x14ac:dyDescent="0.3">
      <c r="A581" s="2">
        <v>579</v>
      </c>
      <c r="B581" s="3" t="s">
        <v>29</v>
      </c>
      <c r="C581" s="3" t="s">
        <v>110</v>
      </c>
      <c r="D581" s="3" t="s">
        <v>18</v>
      </c>
      <c r="E581" s="3">
        <v>21906</v>
      </c>
      <c r="F581" s="3">
        <v>3</v>
      </c>
      <c r="G581" s="3">
        <v>94364</v>
      </c>
      <c r="H581" s="3" t="s">
        <v>15</v>
      </c>
      <c r="I581" s="3">
        <v>1017</v>
      </c>
      <c r="J581" s="3">
        <v>95</v>
      </c>
      <c r="K581" s="4">
        <v>44668</v>
      </c>
      <c r="L581" s="10">
        <v>368324.03230000002</v>
      </c>
    </row>
    <row r="582" spans="1:12" x14ac:dyDescent="0.3">
      <c r="A582" s="2">
        <v>580</v>
      </c>
      <c r="B582" s="3" t="s">
        <v>35</v>
      </c>
      <c r="C582" s="3" t="s">
        <v>148</v>
      </c>
      <c r="D582" s="3" t="s">
        <v>14</v>
      </c>
      <c r="E582" s="3">
        <v>19792</v>
      </c>
      <c r="F582" s="3">
        <v>0</v>
      </c>
      <c r="G582" s="3">
        <v>95054</v>
      </c>
      <c r="H582" s="3" t="s">
        <v>21</v>
      </c>
      <c r="I582" s="3">
        <v>1600</v>
      </c>
      <c r="J582" s="3">
        <v>86</v>
      </c>
      <c r="K582" s="4">
        <v>45018</v>
      </c>
      <c r="L582" s="10">
        <v>350392.89529999997</v>
      </c>
    </row>
    <row r="583" spans="1:12" x14ac:dyDescent="0.3">
      <c r="A583" s="2">
        <v>581</v>
      </c>
      <c r="B583" s="3" t="s">
        <v>122</v>
      </c>
      <c r="C583" s="3" t="s">
        <v>189</v>
      </c>
      <c r="D583" s="3" t="s">
        <v>14</v>
      </c>
      <c r="E583" s="3">
        <v>3902</v>
      </c>
      <c r="F583" s="3">
        <v>8</v>
      </c>
      <c r="G583" s="3">
        <v>82760</v>
      </c>
      <c r="H583" s="3" t="s">
        <v>21</v>
      </c>
      <c r="I583" s="3">
        <v>2000</v>
      </c>
      <c r="J583" s="3">
        <v>38</v>
      </c>
      <c r="K583" s="4">
        <v>45195</v>
      </c>
      <c r="L583" s="10">
        <v>338835.5428</v>
      </c>
    </row>
    <row r="584" spans="1:12" x14ac:dyDescent="0.3">
      <c r="A584" s="2">
        <v>582</v>
      </c>
      <c r="B584" s="3" t="s">
        <v>53</v>
      </c>
      <c r="C584" s="3" t="s">
        <v>157</v>
      </c>
      <c r="D584" s="3" t="s">
        <v>14</v>
      </c>
      <c r="E584" s="3">
        <v>6815</v>
      </c>
      <c r="F584" s="3">
        <v>1</v>
      </c>
      <c r="G584" s="3">
        <v>80350</v>
      </c>
      <c r="H584" s="3" t="s">
        <v>15</v>
      </c>
      <c r="I584" s="3">
        <v>1664</v>
      </c>
      <c r="J584" s="3">
        <v>43</v>
      </c>
      <c r="K584" s="4">
        <v>43860</v>
      </c>
      <c r="L584" s="10">
        <v>296554.2672</v>
      </c>
    </row>
    <row r="585" spans="1:12" x14ac:dyDescent="0.3">
      <c r="A585" s="2">
        <v>583</v>
      </c>
      <c r="B585" s="3" t="s">
        <v>40</v>
      </c>
      <c r="C585" s="3" t="s">
        <v>103</v>
      </c>
      <c r="D585" s="3" t="s">
        <v>14</v>
      </c>
      <c r="E585" s="3">
        <v>10434</v>
      </c>
      <c r="F585" s="3">
        <v>5</v>
      </c>
      <c r="G585" s="3">
        <v>65661</v>
      </c>
      <c r="H585" s="3" t="s">
        <v>15</v>
      </c>
      <c r="I585" s="3">
        <v>1240</v>
      </c>
      <c r="J585" s="3">
        <v>41</v>
      </c>
      <c r="K585" s="4">
        <v>43869</v>
      </c>
      <c r="L585" s="10">
        <v>304815.63290000003</v>
      </c>
    </row>
    <row r="586" spans="1:12" x14ac:dyDescent="0.3">
      <c r="A586" s="2">
        <v>584</v>
      </c>
      <c r="B586" s="3" t="s">
        <v>44</v>
      </c>
      <c r="C586" s="3" t="s">
        <v>201</v>
      </c>
      <c r="D586" s="3" t="s">
        <v>18</v>
      </c>
      <c r="E586" s="3">
        <v>13535</v>
      </c>
      <c r="F586" s="3">
        <v>0</v>
      </c>
      <c r="G586" s="3">
        <v>69786</v>
      </c>
      <c r="H586" s="3" t="s">
        <v>21</v>
      </c>
      <c r="I586" s="3">
        <v>1132</v>
      </c>
      <c r="J586" s="3">
        <v>46</v>
      </c>
      <c r="K586" s="4">
        <v>43884</v>
      </c>
      <c r="L586" s="10">
        <v>357312.641</v>
      </c>
    </row>
    <row r="587" spans="1:12" x14ac:dyDescent="0.3">
      <c r="A587" s="2">
        <v>585</v>
      </c>
      <c r="B587" s="3" t="s">
        <v>74</v>
      </c>
      <c r="C587" s="3" t="s">
        <v>89</v>
      </c>
      <c r="D587" s="3" t="s">
        <v>14</v>
      </c>
      <c r="E587" s="3">
        <v>3245</v>
      </c>
      <c r="F587" s="3">
        <v>5</v>
      </c>
      <c r="G587" s="3">
        <v>93819</v>
      </c>
      <c r="H587" s="3" t="s">
        <v>21</v>
      </c>
      <c r="I587" s="3">
        <v>2168</v>
      </c>
      <c r="J587" s="3">
        <v>90</v>
      </c>
      <c r="K587" s="4">
        <v>44129</v>
      </c>
      <c r="L587" s="10">
        <v>372708.09529999999</v>
      </c>
    </row>
    <row r="588" spans="1:12" x14ac:dyDescent="0.3">
      <c r="A588" s="2">
        <v>586</v>
      </c>
      <c r="B588" s="3" t="s">
        <v>12</v>
      </c>
      <c r="C588" s="3" t="s">
        <v>95</v>
      </c>
      <c r="D588" s="3" t="s">
        <v>18</v>
      </c>
      <c r="E588" s="3">
        <v>18913</v>
      </c>
      <c r="F588" s="3">
        <v>7</v>
      </c>
      <c r="G588" s="3">
        <v>50927</v>
      </c>
      <c r="H588" s="3" t="s">
        <v>15</v>
      </c>
      <c r="I588" s="3">
        <v>2717</v>
      </c>
      <c r="J588" s="3">
        <v>57</v>
      </c>
      <c r="K588" s="4">
        <v>45540</v>
      </c>
      <c r="L588" s="10">
        <v>364979.36229999998</v>
      </c>
    </row>
    <row r="589" spans="1:12" x14ac:dyDescent="0.3">
      <c r="A589" s="2">
        <v>587</v>
      </c>
      <c r="B589" s="3" t="s">
        <v>19</v>
      </c>
      <c r="C589" s="3" t="s">
        <v>20</v>
      </c>
      <c r="D589" s="3" t="s">
        <v>14</v>
      </c>
      <c r="E589" s="3">
        <v>6779</v>
      </c>
      <c r="F589" s="3">
        <v>8</v>
      </c>
      <c r="G589" s="3">
        <v>95280</v>
      </c>
      <c r="H589" s="3" t="s">
        <v>21</v>
      </c>
      <c r="I589" s="3">
        <v>1454</v>
      </c>
      <c r="J589" s="3">
        <v>64</v>
      </c>
      <c r="K589" s="4">
        <v>43918</v>
      </c>
      <c r="L589" s="10">
        <v>327567.52669999999</v>
      </c>
    </row>
    <row r="590" spans="1:12" x14ac:dyDescent="0.3">
      <c r="A590" s="2">
        <v>588</v>
      </c>
      <c r="B590" s="3" t="s">
        <v>122</v>
      </c>
      <c r="C590" s="3" t="s">
        <v>208</v>
      </c>
      <c r="D590" s="3" t="s">
        <v>18</v>
      </c>
      <c r="E590" s="3">
        <v>8900</v>
      </c>
      <c r="F590" s="3">
        <v>4</v>
      </c>
      <c r="G590" s="3">
        <v>93706</v>
      </c>
      <c r="H590" s="3" t="s">
        <v>21</v>
      </c>
      <c r="I590" s="3">
        <v>1529</v>
      </c>
      <c r="J590" s="3">
        <v>39</v>
      </c>
      <c r="K590" s="4">
        <v>45047</v>
      </c>
      <c r="L590" s="10">
        <v>378125.33750000002</v>
      </c>
    </row>
    <row r="591" spans="1:12" x14ac:dyDescent="0.3">
      <c r="A591" s="2">
        <v>589</v>
      </c>
      <c r="B591" s="3" t="s">
        <v>24</v>
      </c>
      <c r="C591" s="3" t="s">
        <v>25</v>
      </c>
      <c r="D591" s="3" t="s">
        <v>18</v>
      </c>
      <c r="E591" s="3">
        <v>25042</v>
      </c>
      <c r="F591" s="3">
        <v>1</v>
      </c>
      <c r="G591" s="3">
        <v>61218</v>
      </c>
      <c r="H591" s="3" t="s">
        <v>15</v>
      </c>
      <c r="I591" s="3">
        <v>1404</v>
      </c>
      <c r="J591" s="3">
        <v>98</v>
      </c>
      <c r="K591" s="4">
        <v>44966</v>
      </c>
      <c r="L591" s="10">
        <v>364337.67599999998</v>
      </c>
    </row>
    <row r="592" spans="1:12" x14ac:dyDescent="0.3">
      <c r="A592" s="2">
        <v>590</v>
      </c>
      <c r="B592" s="3" t="s">
        <v>57</v>
      </c>
      <c r="C592" s="3" t="s">
        <v>58</v>
      </c>
      <c r="D592" s="3" t="s">
        <v>18</v>
      </c>
      <c r="E592" s="3">
        <v>3889</v>
      </c>
      <c r="F592" s="3">
        <v>5</v>
      </c>
      <c r="G592" s="3">
        <v>97970</v>
      </c>
      <c r="H592" s="3" t="s">
        <v>21</v>
      </c>
      <c r="I592" s="3">
        <v>1989</v>
      </c>
      <c r="J592" s="3">
        <v>42</v>
      </c>
      <c r="K592" s="4">
        <v>45294</v>
      </c>
      <c r="L592" s="10">
        <v>384101.56459999998</v>
      </c>
    </row>
    <row r="593" spans="1:12" x14ac:dyDescent="0.3">
      <c r="A593" s="2">
        <v>591</v>
      </c>
      <c r="B593" s="3" t="s">
        <v>35</v>
      </c>
      <c r="C593" s="3" t="s">
        <v>177</v>
      </c>
      <c r="D593" s="3" t="s">
        <v>14</v>
      </c>
      <c r="E593" s="3">
        <v>12218</v>
      </c>
      <c r="F593" s="3">
        <v>4</v>
      </c>
      <c r="G593" s="3">
        <v>83997</v>
      </c>
      <c r="H593" s="3" t="s">
        <v>23</v>
      </c>
      <c r="I593" s="3">
        <v>1005</v>
      </c>
      <c r="J593" s="3">
        <v>37</v>
      </c>
      <c r="K593" s="4">
        <v>44573</v>
      </c>
      <c r="L593" s="10">
        <v>298909.61259999999</v>
      </c>
    </row>
    <row r="594" spans="1:12" x14ac:dyDescent="0.3">
      <c r="A594" s="2">
        <v>592</v>
      </c>
      <c r="B594" s="3" t="s">
        <v>29</v>
      </c>
      <c r="C594" s="3" t="s">
        <v>132</v>
      </c>
      <c r="D594" s="3" t="s">
        <v>18</v>
      </c>
      <c r="E594" s="3">
        <v>20171</v>
      </c>
      <c r="F594" s="3">
        <v>7</v>
      </c>
      <c r="G594" s="3">
        <v>71887</v>
      </c>
      <c r="H594" s="3" t="s">
        <v>21</v>
      </c>
      <c r="I594" s="3">
        <v>1900</v>
      </c>
      <c r="J594" s="3">
        <v>69</v>
      </c>
      <c r="K594" s="4">
        <v>43986</v>
      </c>
      <c r="L594" s="10">
        <v>369286.23599999998</v>
      </c>
    </row>
    <row r="595" spans="1:12" x14ac:dyDescent="0.3">
      <c r="A595" s="2">
        <v>593</v>
      </c>
      <c r="B595" s="3" t="s">
        <v>26</v>
      </c>
      <c r="C595" s="3" t="s">
        <v>27</v>
      </c>
      <c r="D595" s="3" t="s">
        <v>18</v>
      </c>
      <c r="E595" s="3">
        <v>11479</v>
      </c>
      <c r="F595" s="3">
        <v>1</v>
      </c>
      <c r="G595" s="3">
        <v>63550</v>
      </c>
      <c r="H595" s="3" t="s">
        <v>21</v>
      </c>
      <c r="I595" s="3">
        <v>2303</v>
      </c>
      <c r="J595" s="3">
        <v>89</v>
      </c>
      <c r="K595" s="4">
        <v>45328</v>
      </c>
      <c r="L595" s="10">
        <v>413437.21779999998</v>
      </c>
    </row>
    <row r="596" spans="1:12" x14ac:dyDescent="0.3">
      <c r="A596" s="2">
        <v>594</v>
      </c>
      <c r="B596" s="3" t="s">
        <v>33</v>
      </c>
      <c r="C596" s="3" t="s">
        <v>88</v>
      </c>
      <c r="D596" s="3" t="s">
        <v>18</v>
      </c>
      <c r="E596" s="3">
        <v>19243</v>
      </c>
      <c r="F596" s="3">
        <v>3</v>
      </c>
      <c r="G596" s="3">
        <v>50948</v>
      </c>
      <c r="H596" s="3" t="s">
        <v>15</v>
      </c>
      <c r="I596" s="3">
        <v>2687</v>
      </c>
      <c r="J596" s="3">
        <v>28</v>
      </c>
      <c r="K596" s="4">
        <v>44338</v>
      </c>
      <c r="L596" s="10">
        <v>369238.00540000002</v>
      </c>
    </row>
    <row r="597" spans="1:12" x14ac:dyDescent="0.3">
      <c r="A597" s="2">
        <v>595</v>
      </c>
      <c r="B597" s="3" t="s">
        <v>57</v>
      </c>
      <c r="C597" s="3" t="s">
        <v>215</v>
      </c>
      <c r="D597" s="3" t="s">
        <v>18</v>
      </c>
      <c r="E597" s="3">
        <v>18270</v>
      </c>
      <c r="F597" s="3">
        <v>4</v>
      </c>
      <c r="G597" s="3">
        <v>60706</v>
      </c>
      <c r="H597" s="3" t="s">
        <v>15</v>
      </c>
      <c r="I597" s="3">
        <v>1479</v>
      </c>
      <c r="J597" s="3">
        <v>39</v>
      </c>
      <c r="K597" s="4">
        <v>44878</v>
      </c>
      <c r="L597" s="10">
        <v>359818.28769999999</v>
      </c>
    </row>
    <row r="598" spans="1:12" x14ac:dyDescent="0.3">
      <c r="A598" s="2">
        <v>596</v>
      </c>
      <c r="B598" s="3" t="s">
        <v>72</v>
      </c>
      <c r="C598" s="3" t="s">
        <v>145</v>
      </c>
      <c r="D598" s="3" t="s">
        <v>14</v>
      </c>
      <c r="E598" s="3">
        <v>18330</v>
      </c>
      <c r="F598" s="3">
        <v>5</v>
      </c>
      <c r="G598" s="3">
        <v>55916</v>
      </c>
      <c r="H598" s="3" t="s">
        <v>15</v>
      </c>
      <c r="I598" s="3">
        <v>2512</v>
      </c>
      <c r="J598" s="3">
        <v>80</v>
      </c>
      <c r="K598" s="4">
        <v>45049</v>
      </c>
      <c r="L598" s="10">
        <v>329091.8504</v>
      </c>
    </row>
    <row r="599" spans="1:12" x14ac:dyDescent="0.3">
      <c r="A599" s="2">
        <v>597</v>
      </c>
      <c r="B599" s="3" t="s">
        <v>55</v>
      </c>
      <c r="C599" s="3" t="s">
        <v>169</v>
      </c>
      <c r="D599" s="3" t="s">
        <v>14</v>
      </c>
      <c r="E599" s="3">
        <v>13596</v>
      </c>
      <c r="F599" s="3">
        <v>6</v>
      </c>
      <c r="G599" s="3">
        <v>82431</v>
      </c>
      <c r="H599" s="3" t="s">
        <v>21</v>
      </c>
      <c r="I599" s="3">
        <v>2956</v>
      </c>
      <c r="J599" s="3">
        <v>40</v>
      </c>
      <c r="K599" s="4">
        <v>44992</v>
      </c>
      <c r="L599" s="10">
        <v>352439.05859999999</v>
      </c>
    </row>
    <row r="600" spans="1:12" x14ac:dyDescent="0.3">
      <c r="A600" s="2">
        <v>598</v>
      </c>
      <c r="B600" s="3" t="s">
        <v>37</v>
      </c>
      <c r="C600" s="3" t="s">
        <v>90</v>
      </c>
      <c r="D600" s="3" t="s">
        <v>18</v>
      </c>
      <c r="E600" s="3">
        <v>11980</v>
      </c>
      <c r="F600" s="3">
        <v>1</v>
      </c>
      <c r="G600" s="3">
        <v>61020</v>
      </c>
      <c r="H600" s="3" t="s">
        <v>15</v>
      </c>
      <c r="I600" s="3">
        <v>1932</v>
      </c>
      <c r="J600" s="3">
        <v>91</v>
      </c>
      <c r="K600" s="4">
        <v>44440</v>
      </c>
      <c r="L600" s="10">
        <v>365759.80190000002</v>
      </c>
    </row>
    <row r="601" spans="1:12" x14ac:dyDescent="0.3">
      <c r="A601" s="2">
        <v>599</v>
      </c>
      <c r="B601" s="3" t="s">
        <v>122</v>
      </c>
      <c r="C601" s="3" t="s">
        <v>208</v>
      </c>
      <c r="D601" s="3" t="s">
        <v>18</v>
      </c>
      <c r="E601" s="3">
        <v>9946</v>
      </c>
      <c r="F601" s="3">
        <v>1</v>
      </c>
      <c r="G601" s="3">
        <v>81265</v>
      </c>
      <c r="H601" s="3" t="s">
        <v>21</v>
      </c>
      <c r="I601" s="3">
        <v>1245</v>
      </c>
      <c r="J601" s="3">
        <v>38</v>
      </c>
      <c r="K601" s="4">
        <v>44972</v>
      </c>
      <c r="L601" s="10">
        <v>374117.48220000003</v>
      </c>
    </row>
    <row r="602" spans="1:12" x14ac:dyDescent="0.3">
      <c r="A602" s="2">
        <v>600</v>
      </c>
      <c r="B602" s="3" t="s">
        <v>16</v>
      </c>
      <c r="C602" s="3" t="s">
        <v>171</v>
      </c>
      <c r="D602" s="3" t="s">
        <v>18</v>
      </c>
      <c r="E602" s="3">
        <v>8460</v>
      </c>
      <c r="F602" s="3">
        <v>4</v>
      </c>
      <c r="G602" s="3">
        <v>89727</v>
      </c>
      <c r="H602" s="3" t="s">
        <v>23</v>
      </c>
      <c r="I602" s="3">
        <v>2059</v>
      </c>
      <c r="J602" s="3">
        <v>81</v>
      </c>
      <c r="K602" s="4">
        <v>44081</v>
      </c>
      <c r="L602" s="10">
        <v>406361.98499999999</v>
      </c>
    </row>
    <row r="603" spans="1:12" x14ac:dyDescent="0.3">
      <c r="A603" s="2">
        <v>601</v>
      </c>
      <c r="B603" s="3" t="s">
        <v>12</v>
      </c>
      <c r="C603" s="3" t="s">
        <v>47</v>
      </c>
      <c r="D603" s="3" t="s">
        <v>14</v>
      </c>
      <c r="E603" s="3">
        <v>27777</v>
      </c>
      <c r="F603" s="3">
        <v>6</v>
      </c>
      <c r="G603" s="3">
        <v>77035</v>
      </c>
      <c r="H603" s="3" t="s">
        <v>21</v>
      </c>
      <c r="I603" s="3">
        <v>1138</v>
      </c>
      <c r="J603" s="3">
        <v>53</v>
      </c>
      <c r="K603" s="4">
        <v>44266</v>
      </c>
      <c r="L603" s="10">
        <v>315296.03409999999</v>
      </c>
    </row>
    <row r="604" spans="1:12" x14ac:dyDescent="0.3">
      <c r="A604" s="2">
        <v>602</v>
      </c>
      <c r="B604" s="3" t="s">
        <v>12</v>
      </c>
      <c r="C604" s="3" t="s">
        <v>85</v>
      </c>
      <c r="D604" s="3" t="s">
        <v>18</v>
      </c>
      <c r="E604" s="3">
        <v>18980</v>
      </c>
      <c r="F604" s="3">
        <v>7</v>
      </c>
      <c r="G604" s="3">
        <v>85429</v>
      </c>
      <c r="H604" s="3" t="s">
        <v>15</v>
      </c>
      <c r="I604" s="3">
        <v>1261</v>
      </c>
      <c r="J604" s="3">
        <v>96</v>
      </c>
      <c r="K604" s="4">
        <v>45081</v>
      </c>
      <c r="L604" s="10">
        <v>342775.30820000003</v>
      </c>
    </row>
    <row r="605" spans="1:12" x14ac:dyDescent="0.3">
      <c r="A605" s="2">
        <v>603</v>
      </c>
      <c r="B605" s="3" t="s">
        <v>33</v>
      </c>
      <c r="C605" s="3" t="s">
        <v>91</v>
      </c>
      <c r="D605" s="3" t="s">
        <v>18</v>
      </c>
      <c r="E605" s="3">
        <v>10985</v>
      </c>
      <c r="F605" s="3">
        <v>2</v>
      </c>
      <c r="G605" s="3">
        <v>50699</v>
      </c>
      <c r="H605" s="3" t="s">
        <v>23</v>
      </c>
      <c r="I605" s="3">
        <v>2454</v>
      </c>
      <c r="J605" s="3">
        <v>66</v>
      </c>
      <c r="K605" s="4">
        <v>44319</v>
      </c>
      <c r="L605" s="10">
        <v>395830.51770000003</v>
      </c>
    </row>
    <row r="606" spans="1:12" x14ac:dyDescent="0.3">
      <c r="A606" s="2">
        <v>604</v>
      </c>
      <c r="B606" s="3" t="s">
        <v>19</v>
      </c>
      <c r="C606" s="3" t="s">
        <v>216</v>
      </c>
      <c r="D606" s="3" t="s">
        <v>14</v>
      </c>
      <c r="E606" s="3">
        <v>13172</v>
      </c>
      <c r="F606" s="3">
        <v>5</v>
      </c>
      <c r="G606" s="3">
        <v>84388</v>
      </c>
      <c r="H606" s="3" t="s">
        <v>23</v>
      </c>
      <c r="I606" s="3">
        <v>2813</v>
      </c>
      <c r="J606" s="3">
        <v>39</v>
      </c>
      <c r="K606" s="4">
        <v>44489</v>
      </c>
      <c r="L606" s="10">
        <v>340137.73940000002</v>
      </c>
    </row>
    <row r="607" spans="1:12" x14ac:dyDescent="0.3">
      <c r="A607" s="2">
        <v>605</v>
      </c>
      <c r="B607" s="3" t="s">
        <v>12</v>
      </c>
      <c r="C607" s="3" t="s">
        <v>95</v>
      </c>
      <c r="D607" s="3" t="s">
        <v>14</v>
      </c>
      <c r="E607" s="3">
        <v>6296</v>
      </c>
      <c r="F607" s="3">
        <v>9</v>
      </c>
      <c r="G607" s="3">
        <v>70383</v>
      </c>
      <c r="H607" s="3" t="s">
        <v>15</v>
      </c>
      <c r="I607" s="3">
        <v>2998</v>
      </c>
      <c r="J607" s="3">
        <v>91</v>
      </c>
      <c r="K607" s="4">
        <v>44277</v>
      </c>
      <c r="L607" s="10">
        <v>346377.58880000003</v>
      </c>
    </row>
    <row r="608" spans="1:12" x14ac:dyDescent="0.3">
      <c r="A608" s="2">
        <v>606</v>
      </c>
      <c r="B608" s="3" t="s">
        <v>29</v>
      </c>
      <c r="C608" s="3" t="s">
        <v>164</v>
      </c>
      <c r="D608" s="3" t="s">
        <v>14</v>
      </c>
      <c r="E608" s="3">
        <v>7787</v>
      </c>
      <c r="F608" s="3">
        <v>4</v>
      </c>
      <c r="G608" s="3">
        <v>68095</v>
      </c>
      <c r="H608" s="3" t="s">
        <v>23</v>
      </c>
      <c r="I608" s="3">
        <v>2110</v>
      </c>
      <c r="J608" s="3">
        <v>38</v>
      </c>
      <c r="K608" s="4">
        <v>44827</v>
      </c>
      <c r="L608" s="10">
        <v>335521.45990000002</v>
      </c>
    </row>
    <row r="609" spans="1:12" x14ac:dyDescent="0.3">
      <c r="A609" s="2">
        <v>607</v>
      </c>
      <c r="B609" s="3" t="s">
        <v>44</v>
      </c>
      <c r="C609" s="3" t="s">
        <v>217</v>
      </c>
      <c r="D609" s="3" t="s">
        <v>14</v>
      </c>
      <c r="E609" s="3">
        <v>15738</v>
      </c>
      <c r="F609" s="3">
        <v>8</v>
      </c>
      <c r="G609" s="3">
        <v>65814</v>
      </c>
      <c r="H609" s="3" t="s">
        <v>23</v>
      </c>
      <c r="I609" s="3">
        <v>2224</v>
      </c>
      <c r="J609" s="3">
        <v>83</v>
      </c>
      <c r="K609" s="4">
        <v>44335</v>
      </c>
      <c r="L609" s="10">
        <v>344776.2328</v>
      </c>
    </row>
    <row r="610" spans="1:12" x14ac:dyDescent="0.3">
      <c r="A610" s="2">
        <v>608</v>
      </c>
      <c r="B610" s="3" t="s">
        <v>57</v>
      </c>
      <c r="C610" s="3" t="s">
        <v>162</v>
      </c>
      <c r="D610" s="3" t="s">
        <v>14</v>
      </c>
      <c r="E610" s="3">
        <v>23790</v>
      </c>
      <c r="F610" s="3">
        <v>4</v>
      </c>
      <c r="G610" s="3">
        <v>58375</v>
      </c>
      <c r="H610" s="3" t="s">
        <v>15</v>
      </c>
      <c r="I610" s="3">
        <v>1547</v>
      </c>
      <c r="J610" s="3">
        <v>52</v>
      </c>
      <c r="K610" s="4">
        <v>44068</v>
      </c>
      <c r="L610" s="10">
        <v>325735.23690000002</v>
      </c>
    </row>
    <row r="611" spans="1:12" x14ac:dyDescent="0.3">
      <c r="A611" s="2">
        <v>609</v>
      </c>
      <c r="B611" s="3" t="s">
        <v>35</v>
      </c>
      <c r="C611" s="3" t="s">
        <v>62</v>
      </c>
      <c r="D611" s="3" t="s">
        <v>14</v>
      </c>
      <c r="E611" s="3">
        <v>6594</v>
      </c>
      <c r="F611" s="3">
        <v>9</v>
      </c>
      <c r="G611" s="3">
        <v>82983</v>
      </c>
      <c r="H611" s="3" t="s">
        <v>23</v>
      </c>
      <c r="I611" s="3">
        <v>1597</v>
      </c>
      <c r="J611" s="3">
        <v>31</v>
      </c>
      <c r="K611" s="4">
        <v>45261</v>
      </c>
      <c r="L611" s="10">
        <v>326080.71100000001</v>
      </c>
    </row>
    <row r="612" spans="1:12" x14ac:dyDescent="0.3">
      <c r="A612" s="2">
        <v>610</v>
      </c>
      <c r="B612" s="3" t="s">
        <v>28</v>
      </c>
      <c r="C612" s="3" t="s">
        <v>112</v>
      </c>
      <c r="D612" s="3" t="s">
        <v>14</v>
      </c>
      <c r="E612" s="3">
        <v>13939</v>
      </c>
      <c r="F612" s="3">
        <v>0</v>
      </c>
      <c r="G612" s="3">
        <v>54537</v>
      </c>
      <c r="H612" s="3" t="s">
        <v>15</v>
      </c>
      <c r="I612" s="3">
        <v>1700</v>
      </c>
      <c r="J612" s="3">
        <v>30</v>
      </c>
      <c r="K612" s="4">
        <v>44589</v>
      </c>
      <c r="L612" s="10">
        <v>313754.76120000001</v>
      </c>
    </row>
    <row r="613" spans="1:12" x14ac:dyDescent="0.3">
      <c r="A613" s="2">
        <v>611</v>
      </c>
      <c r="B613" s="3" t="s">
        <v>108</v>
      </c>
      <c r="C613" s="3" t="s">
        <v>161</v>
      </c>
      <c r="D613" s="3" t="s">
        <v>18</v>
      </c>
      <c r="E613" s="3">
        <v>7589</v>
      </c>
      <c r="F613" s="3">
        <v>7</v>
      </c>
      <c r="G613" s="3">
        <v>89316</v>
      </c>
      <c r="H613" s="3" t="s">
        <v>21</v>
      </c>
      <c r="I613" s="3">
        <v>1272</v>
      </c>
      <c r="J613" s="3">
        <v>50</v>
      </c>
      <c r="K613" s="4">
        <v>44343</v>
      </c>
      <c r="L613" s="10">
        <v>365720.09389999998</v>
      </c>
    </row>
    <row r="614" spans="1:12" x14ac:dyDescent="0.3">
      <c r="A614" s="2">
        <v>612</v>
      </c>
      <c r="B614" s="3" t="s">
        <v>57</v>
      </c>
      <c r="C614" s="3" t="s">
        <v>67</v>
      </c>
      <c r="D614" s="3" t="s">
        <v>18</v>
      </c>
      <c r="E614" s="3">
        <v>628</v>
      </c>
      <c r="F614" s="3">
        <v>7</v>
      </c>
      <c r="G614" s="3">
        <v>86141</v>
      </c>
      <c r="H614" s="3" t="s">
        <v>21</v>
      </c>
      <c r="I614" s="3">
        <v>2310</v>
      </c>
      <c r="J614" s="3">
        <v>66</v>
      </c>
      <c r="K614" s="4">
        <v>45439</v>
      </c>
      <c r="L614" s="10">
        <v>381958.13620000001</v>
      </c>
    </row>
    <row r="615" spans="1:12" x14ac:dyDescent="0.3">
      <c r="A615" s="2">
        <v>613</v>
      </c>
      <c r="B615" s="3" t="s">
        <v>122</v>
      </c>
      <c r="C615" s="3" t="s">
        <v>194</v>
      </c>
      <c r="D615" s="3" t="s">
        <v>14</v>
      </c>
      <c r="E615" s="3">
        <v>7264</v>
      </c>
      <c r="F615" s="3">
        <v>1</v>
      </c>
      <c r="G615" s="3">
        <v>80928</v>
      </c>
      <c r="H615" s="3" t="s">
        <v>21</v>
      </c>
      <c r="I615" s="3">
        <v>2080</v>
      </c>
      <c r="J615" s="3">
        <v>85</v>
      </c>
      <c r="K615" s="4">
        <v>44957</v>
      </c>
      <c r="L615" s="10">
        <v>337975.65110000002</v>
      </c>
    </row>
    <row r="616" spans="1:12" x14ac:dyDescent="0.3">
      <c r="A616" s="2">
        <v>614</v>
      </c>
      <c r="B616" s="3" t="s">
        <v>24</v>
      </c>
      <c r="C616" s="3" t="s">
        <v>134</v>
      </c>
      <c r="D616" s="3" t="s">
        <v>14</v>
      </c>
      <c r="E616" s="3">
        <v>11523</v>
      </c>
      <c r="F616" s="3">
        <v>2</v>
      </c>
      <c r="G616" s="3">
        <v>65792</v>
      </c>
      <c r="H616" s="3" t="s">
        <v>21</v>
      </c>
      <c r="I616" s="3">
        <v>1417</v>
      </c>
      <c r="J616" s="3">
        <v>60</v>
      </c>
      <c r="K616" s="4">
        <v>45281</v>
      </c>
      <c r="L616" s="10">
        <v>321160.0245</v>
      </c>
    </row>
    <row r="617" spans="1:12" x14ac:dyDescent="0.3">
      <c r="A617" s="2">
        <v>615</v>
      </c>
      <c r="B617" s="3" t="s">
        <v>28</v>
      </c>
      <c r="C617" s="3" t="s">
        <v>49</v>
      </c>
      <c r="D617" s="3" t="s">
        <v>18</v>
      </c>
      <c r="E617" s="3">
        <v>19079</v>
      </c>
      <c r="F617" s="3">
        <v>6</v>
      </c>
      <c r="G617" s="3">
        <v>86331</v>
      </c>
      <c r="H617" s="3" t="s">
        <v>21</v>
      </c>
      <c r="I617" s="3">
        <v>1175</v>
      </c>
      <c r="J617" s="3">
        <v>21</v>
      </c>
      <c r="K617" s="4">
        <v>43835</v>
      </c>
      <c r="L617" s="10">
        <v>362958.50630000001</v>
      </c>
    </row>
    <row r="618" spans="1:12" x14ac:dyDescent="0.3">
      <c r="A618" s="2">
        <v>616</v>
      </c>
      <c r="B618" s="3" t="s">
        <v>44</v>
      </c>
      <c r="C618" s="3" t="s">
        <v>143</v>
      </c>
      <c r="D618" s="3" t="s">
        <v>14</v>
      </c>
      <c r="E618" s="3">
        <v>1001</v>
      </c>
      <c r="F618" s="3">
        <v>9</v>
      </c>
      <c r="G618" s="3">
        <v>54581</v>
      </c>
      <c r="H618" s="3" t="s">
        <v>23</v>
      </c>
      <c r="I618" s="3">
        <v>2560</v>
      </c>
      <c r="J618" s="3">
        <v>74</v>
      </c>
      <c r="K618" s="4">
        <v>44608</v>
      </c>
      <c r="L618" s="10">
        <v>338163.47210000001</v>
      </c>
    </row>
    <row r="619" spans="1:12" x14ac:dyDescent="0.3">
      <c r="A619" s="2">
        <v>617</v>
      </c>
      <c r="B619" s="3" t="s">
        <v>40</v>
      </c>
      <c r="C619" s="3" t="s">
        <v>182</v>
      </c>
      <c r="D619" s="3" t="s">
        <v>14</v>
      </c>
      <c r="E619" s="3">
        <v>27533</v>
      </c>
      <c r="F619" s="3">
        <v>0</v>
      </c>
      <c r="G619" s="3">
        <v>85259</v>
      </c>
      <c r="H619" s="3" t="s">
        <v>21</v>
      </c>
      <c r="I619" s="3">
        <v>1362</v>
      </c>
      <c r="J619" s="3">
        <v>69</v>
      </c>
      <c r="K619" s="4">
        <v>45531</v>
      </c>
      <c r="L619" s="10">
        <v>335942.56060000003</v>
      </c>
    </row>
    <row r="620" spans="1:12" x14ac:dyDescent="0.3">
      <c r="A620" s="2">
        <v>618</v>
      </c>
      <c r="B620" s="3" t="s">
        <v>33</v>
      </c>
      <c r="C620" s="3" t="s">
        <v>184</v>
      </c>
      <c r="D620" s="3" t="s">
        <v>18</v>
      </c>
      <c r="E620" s="3">
        <v>6176</v>
      </c>
      <c r="F620" s="3">
        <v>1</v>
      </c>
      <c r="G620" s="3">
        <v>91582</v>
      </c>
      <c r="H620" s="3" t="s">
        <v>23</v>
      </c>
      <c r="I620" s="3">
        <v>2699</v>
      </c>
      <c r="J620" s="3">
        <v>48</v>
      </c>
      <c r="K620" s="4">
        <v>43902</v>
      </c>
      <c r="L620" s="10">
        <v>383839.63030000002</v>
      </c>
    </row>
    <row r="621" spans="1:12" x14ac:dyDescent="0.3">
      <c r="A621" s="2">
        <v>619</v>
      </c>
      <c r="B621" s="3" t="s">
        <v>24</v>
      </c>
      <c r="C621" s="3" t="s">
        <v>94</v>
      </c>
      <c r="D621" s="3" t="s">
        <v>14</v>
      </c>
      <c r="E621" s="3">
        <v>6194</v>
      </c>
      <c r="F621" s="3">
        <v>7</v>
      </c>
      <c r="G621" s="3">
        <v>95556</v>
      </c>
      <c r="H621" s="3" t="s">
        <v>15</v>
      </c>
      <c r="I621" s="3">
        <v>1563</v>
      </c>
      <c r="J621" s="3">
        <v>97</v>
      </c>
      <c r="K621" s="4">
        <v>44120</v>
      </c>
      <c r="L621" s="10">
        <v>341950.94900000002</v>
      </c>
    </row>
    <row r="622" spans="1:12" x14ac:dyDescent="0.3">
      <c r="A622" s="2">
        <v>620</v>
      </c>
      <c r="B622" s="3" t="s">
        <v>122</v>
      </c>
      <c r="C622" s="3" t="s">
        <v>138</v>
      </c>
      <c r="D622" s="3" t="s">
        <v>14</v>
      </c>
      <c r="E622" s="3">
        <v>20241</v>
      </c>
      <c r="F622" s="3">
        <v>6</v>
      </c>
      <c r="G622" s="3">
        <v>99072</v>
      </c>
      <c r="H622" s="3" t="s">
        <v>23</v>
      </c>
      <c r="I622" s="3">
        <v>2069</v>
      </c>
      <c r="J622" s="3">
        <v>49</v>
      </c>
      <c r="K622" s="4">
        <v>44743</v>
      </c>
      <c r="L622" s="10">
        <v>337505.6765</v>
      </c>
    </row>
    <row r="623" spans="1:12" x14ac:dyDescent="0.3">
      <c r="A623" s="2">
        <v>621</v>
      </c>
      <c r="B623" s="3" t="s">
        <v>40</v>
      </c>
      <c r="C623" s="3" t="s">
        <v>71</v>
      </c>
      <c r="D623" s="3" t="s">
        <v>18</v>
      </c>
      <c r="E623" s="3">
        <v>11002</v>
      </c>
      <c r="F623" s="3">
        <v>1</v>
      </c>
      <c r="G623" s="3">
        <v>74431</v>
      </c>
      <c r="H623" s="3" t="s">
        <v>23</v>
      </c>
      <c r="I623" s="3">
        <v>2439</v>
      </c>
      <c r="J623" s="3">
        <v>44</v>
      </c>
      <c r="K623" s="4">
        <v>44475</v>
      </c>
      <c r="L623" s="10">
        <v>357276.97220000002</v>
      </c>
    </row>
    <row r="624" spans="1:12" x14ac:dyDescent="0.3">
      <c r="A624" s="2">
        <v>622</v>
      </c>
      <c r="B624" s="3" t="s">
        <v>57</v>
      </c>
      <c r="C624" s="3" t="s">
        <v>78</v>
      </c>
      <c r="D624" s="3" t="s">
        <v>18</v>
      </c>
      <c r="E624" s="3">
        <v>21571</v>
      </c>
      <c r="F624" s="3">
        <v>6</v>
      </c>
      <c r="G624" s="3">
        <v>65328</v>
      </c>
      <c r="H624" s="3" t="s">
        <v>15</v>
      </c>
      <c r="I624" s="3">
        <v>2704</v>
      </c>
      <c r="J624" s="3">
        <v>72</v>
      </c>
      <c r="K624" s="4">
        <v>44665</v>
      </c>
      <c r="L624" s="10">
        <v>377324.26760000002</v>
      </c>
    </row>
    <row r="625" spans="1:12" x14ac:dyDescent="0.3">
      <c r="A625" s="2">
        <v>623</v>
      </c>
      <c r="B625" s="3" t="s">
        <v>35</v>
      </c>
      <c r="C625" s="3" t="s">
        <v>177</v>
      </c>
      <c r="D625" s="3" t="s">
        <v>18</v>
      </c>
      <c r="E625" s="3">
        <v>13029</v>
      </c>
      <c r="F625" s="3">
        <v>1</v>
      </c>
      <c r="G625" s="3">
        <v>74021</v>
      </c>
      <c r="H625" s="3" t="s">
        <v>23</v>
      </c>
      <c r="I625" s="3">
        <v>1483</v>
      </c>
      <c r="J625" s="3">
        <v>96</v>
      </c>
      <c r="K625" s="4">
        <v>44597</v>
      </c>
      <c r="L625" s="10">
        <v>381964.64370000002</v>
      </c>
    </row>
    <row r="626" spans="1:12" x14ac:dyDescent="0.3">
      <c r="A626" s="2">
        <v>624</v>
      </c>
      <c r="B626" s="3" t="s">
        <v>55</v>
      </c>
      <c r="C626" s="3" t="s">
        <v>169</v>
      </c>
      <c r="D626" s="3" t="s">
        <v>18</v>
      </c>
      <c r="E626" s="3">
        <v>22930</v>
      </c>
      <c r="F626" s="3">
        <v>1</v>
      </c>
      <c r="G626" s="3">
        <v>96458</v>
      </c>
      <c r="H626" s="3" t="s">
        <v>21</v>
      </c>
      <c r="I626" s="3">
        <v>1620</v>
      </c>
      <c r="J626" s="3">
        <v>65</v>
      </c>
      <c r="K626" s="4">
        <v>44202</v>
      </c>
      <c r="L626" s="10">
        <v>385737.78629999998</v>
      </c>
    </row>
    <row r="627" spans="1:12" x14ac:dyDescent="0.3">
      <c r="A627" s="2">
        <v>625</v>
      </c>
      <c r="B627" s="3" t="s">
        <v>31</v>
      </c>
      <c r="C627" s="3" t="s">
        <v>125</v>
      </c>
      <c r="D627" s="3" t="s">
        <v>14</v>
      </c>
      <c r="E627" s="3">
        <v>26330</v>
      </c>
      <c r="F627" s="3">
        <v>4</v>
      </c>
      <c r="G627" s="3">
        <v>65750</v>
      </c>
      <c r="H627" s="3" t="s">
        <v>23</v>
      </c>
      <c r="I627" s="3">
        <v>2062</v>
      </c>
      <c r="J627" s="3">
        <v>88</v>
      </c>
      <c r="K627" s="4">
        <v>45490</v>
      </c>
      <c r="L627" s="10">
        <v>359521.72989999998</v>
      </c>
    </row>
    <row r="628" spans="1:12" x14ac:dyDescent="0.3">
      <c r="A628" s="2">
        <v>626</v>
      </c>
      <c r="B628" s="3" t="s">
        <v>55</v>
      </c>
      <c r="C628" s="3" t="s">
        <v>105</v>
      </c>
      <c r="D628" s="3" t="s">
        <v>14</v>
      </c>
      <c r="E628" s="3">
        <v>22672</v>
      </c>
      <c r="F628" s="3">
        <v>6</v>
      </c>
      <c r="G628" s="3">
        <v>64229</v>
      </c>
      <c r="H628" s="3" t="s">
        <v>21</v>
      </c>
      <c r="I628" s="3">
        <v>1858</v>
      </c>
      <c r="J628" s="3">
        <v>72</v>
      </c>
      <c r="K628" s="4">
        <v>44806</v>
      </c>
      <c r="L628" s="10">
        <v>357841.0269</v>
      </c>
    </row>
    <row r="629" spans="1:12" x14ac:dyDescent="0.3">
      <c r="A629" s="2">
        <v>627</v>
      </c>
      <c r="B629" s="3" t="s">
        <v>12</v>
      </c>
      <c r="C629" s="3" t="s">
        <v>173</v>
      </c>
      <c r="D629" s="3" t="s">
        <v>14</v>
      </c>
      <c r="E629" s="3">
        <v>19244</v>
      </c>
      <c r="F629" s="3">
        <v>3</v>
      </c>
      <c r="G629" s="3">
        <v>70308</v>
      </c>
      <c r="H629" s="3" t="s">
        <v>15</v>
      </c>
      <c r="I629" s="3">
        <v>1972</v>
      </c>
      <c r="J629" s="3">
        <v>38</v>
      </c>
      <c r="K629" s="4">
        <v>44858</v>
      </c>
      <c r="L629" s="10">
        <v>310288.24410000001</v>
      </c>
    </row>
    <row r="630" spans="1:12" x14ac:dyDescent="0.3">
      <c r="A630" s="2">
        <v>628</v>
      </c>
      <c r="B630" s="3" t="s">
        <v>57</v>
      </c>
      <c r="C630" s="3" t="s">
        <v>116</v>
      </c>
      <c r="D630" s="3" t="s">
        <v>14</v>
      </c>
      <c r="E630" s="3">
        <v>18062</v>
      </c>
      <c r="F630" s="3">
        <v>0</v>
      </c>
      <c r="G630" s="3">
        <v>87903</v>
      </c>
      <c r="H630" s="3" t="s">
        <v>21</v>
      </c>
      <c r="I630" s="3">
        <v>2640</v>
      </c>
      <c r="J630" s="3">
        <v>81</v>
      </c>
      <c r="K630" s="4">
        <v>44003</v>
      </c>
      <c r="L630" s="10">
        <v>375545.12910000002</v>
      </c>
    </row>
    <row r="631" spans="1:12" x14ac:dyDescent="0.3">
      <c r="A631" s="2">
        <v>629</v>
      </c>
      <c r="B631" s="3" t="s">
        <v>35</v>
      </c>
      <c r="C631" s="3" t="s">
        <v>200</v>
      </c>
      <c r="D631" s="3" t="s">
        <v>18</v>
      </c>
      <c r="E631" s="3">
        <v>16760</v>
      </c>
      <c r="F631" s="3">
        <v>4</v>
      </c>
      <c r="G631" s="3">
        <v>53471</v>
      </c>
      <c r="H631" s="3" t="s">
        <v>15</v>
      </c>
      <c r="I631" s="3">
        <v>1850</v>
      </c>
      <c r="J631" s="3">
        <v>26</v>
      </c>
      <c r="K631" s="4">
        <v>43962</v>
      </c>
      <c r="L631" s="10">
        <v>342119.54430000001</v>
      </c>
    </row>
    <row r="632" spans="1:12" x14ac:dyDescent="0.3">
      <c r="A632" s="2">
        <v>630</v>
      </c>
      <c r="B632" s="3" t="s">
        <v>19</v>
      </c>
      <c r="C632" s="3" t="s">
        <v>218</v>
      </c>
      <c r="D632" s="3" t="s">
        <v>14</v>
      </c>
      <c r="E632" s="3">
        <v>24663</v>
      </c>
      <c r="F632" s="3">
        <v>7</v>
      </c>
      <c r="G632" s="3">
        <v>60170</v>
      </c>
      <c r="H632" s="3" t="s">
        <v>21</v>
      </c>
      <c r="I632" s="3">
        <v>1765</v>
      </c>
      <c r="J632" s="3">
        <v>94</v>
      </c>
      <c r="K632" s="4">
        <v>44430</v>
      </c>
      <c r="L632" s="10">
        <v>355872.25469999999</v>
      </c>
    </row>
    <row r="633" spans="1:12" x14ac:dyDescent="0.3">
      <c r="A633" s="2">
        <v>631</v>
      </c>
      <c r="B633" s="3" t="s">
        <v>40</v>
      </c>
      <c r="C633" s="3" t="s">
        <v>70</v>
      </c>
      <c r="D633" s="3" t="s">
        <v>14</v>
      </c>
      <c r="E633" s="3">
        <v>24245</v>
      </c>
      <c r="F633" s="3">
        <v>3</v>
      </c>
      <c r="G633" s="3">
        <v>84205</v>
      </c>
      <c r="H633" s="3" t="s">
        <v>15</v>
      </c>
      <c r="I633" s="3">
        <v>2309</v>
      </c>
      <c r="J633" s="3">
        <v>82</v>
      </c>
      <c r="K633" s="4">
        <v>43884</v>
      </c>
      <c r="L633" s="10">
        <v>344976.81719999999</v>
      </c>
    </row>
    <row r="634" spans="1:12" x14ac:dyDescent="0.3">
      <c r="A634" s="2">
        <v>632</v>
      </c>
      <c r="B634" s="3" t="s">
        <v>57</v>
      </c>
      <c r="C634" s="3" t="s">
        <v>86</v>
      </c>
      <c r="D634" s="3" t="s">
        <v>18</v>
      </c>
      <c r="E634" s="3">
        <v>29655</v>
      </c>
      <c r="F634" s="3">
        <v>3</v>
      </c>
      <c r="G634" s="3">
        <v>76674</v>
      </c>
      <c r="H634" s="3" t="s">
        <v>21</v>
      </c>
      <c r="I634" s="3">
        <v>1379</v>
      </c>
      <c r="J634" s="3">
        <v>89</v>
      </c>
      <c r="K634" s="4">
        <v>44083</v>
      </c>
      <c r="L634" s="10">
        <v>373957.76439999999</v>
      </c>
    </row>
    <row r="635" spans="1:12" x14ac:dyDescent="0.3">
      <c r="A635" s="2">
        <v>633</v>
      </c>
      <c r="B635" s="3" t="s">
        <v>108</v>
      </c>
      <c r="C635" s="3" t="s">
        <v>142</v>
      </c>
      <c r="D635" s="3" t="s">
        <v>18</v>
      </c>
      <c r="E635" s="3">
        <v>7675</v>
      </c>
      <c r="F635" s="3">
        <v>3</v>
      </c>
      <c r="G635" s="3">
        <v>63344</v>
      </c>
      <c r="H635" s="3" t="s">
        <v>23</v>
      </c>
      <c r="I635" s="3">
        <v>2332</v>
      </c>
      <c r="J635" s="3">
        <v>43</v>
      </c>
      <c r="K635" s="4">
        <v>45496</v>
      </c>
      <c r="L635" s="10">
        <v>375148.05109999998</v>
      </c>
    </row>
    <row r="636" spans="1:12" x14ac:dyDescent="0.3">
      <c r="A636" s="2">
        <v>634</v>
      </c>
      <c r="B636" s="3" t="s">
        <v>29</v>
      </c>
      <c r="C636" s="3" t="s">
        <v>132</v>
      </c>
      <c r="D636" s="3" t="s">
        <v>14</v>
      </c>
      <c r="E636" s="3">
        <v>28838</v>
      </c>
      <c r="F636" s="3">
        <v>5</v>
      </c>
      <c r="G636" s="3">
        <v>54464</v>
      </c>
      <c r="H636" s="3" t="s">
        <v>23</v>
      </c>
      <c r="I636" s="3">
        <v>2231</v>
      </c>
      <c r="J636" s="3">
        <v>37</v>
      </c>
      <c r="K636" s="4">
        <v>44370</v>
      </c>
      <c r="L636" s="10">
        <v>335085.76160000003</v>
      </c>
    </row>
    <row r="637" spans="1:12" x14ac:dyDescent="0.3">
      <c r="A637" s="2">
        <v>635</v>
      </c>
      <c r="B637" s="3" t="s">
        <v>16</v>
      </c>
      <c r="C637" s="3" t="s">
        <v>51</v>
      </c>
      <c r="D637" s="3" t="s">
        <v>18</v>
      </c>
      <c r="E637" s="3">
        <v>14581</v>
      </c>
      <c r="F637" s="3">
        <v>5</v>
      </c>
      <c r="G637" s="3">
        <v>90981</v>
      </c>
      <c r="H637" s="3" t="s">
        <v>23</v>
      </c>
      <c r="I637" s="3">
        <v>2172</v>
      </c>
      <c r="J637" s="3">
        <v>94</v>
      </c>
      <c r="K637" s="4">
        <v>44079</v>
      </c>
      <c r="L637" s="10">
        <v>409610.95020000002</v>
      </c>
    </row>
    <row r="638" spans="1:12" x14ac:dyDescent="0.3">
      <c r="A638" s="2">
        <v>636</v>
      </c>
      <c r="B638" s="3" t="s">
        <v>31</v>
      </c>
      <c r="C638" s="3" t="s">
        <v>146</v>
      </c>
      <c r="D638" s="3" t="s">
        <v>18</v>
      </c>
      <c r="E638" s="3">
        <v>1580</v>
      </c>
      <c r="F638" s="3">
        <v>8</v>
      </c>
      <c r="G638" s="3">
        <v>90740</v>
      </c>
      <c r="H638" s="3" t="s">
        <v>21</v>
      </c>
      <c r="I638" s="3">
        <v>2612</v>
      </c>
      <c r="J638" s="3">
        <v>53</v>
      </c>
      <c r="K638" s="4">
        <v>44800</v>
      </c>
      <c r="L638" s="10">
        <v>373894.22940000001</v>
      </c>
    </row>
    <row r="639" spans="1:12" x14ac:dyDescent="0.3">
      <c r="A639" s="2">
        <v>637</v>
      </c>
      <c r="B639" s="3" t="s">
        <v>74</v>
      </c>
      <c r="C639" s="3" t="s">
        <v>120</v>
      </c>
      <c r="D639" s="3" t="s">
        <v>18</v>
      </c>
      <c r="E639" s="3">
        <v>18192</v>
      </c>
      <c r="F639" s="3">
        <v>7</v>
      </c>
      <c r="G639" s="3">
        <v>80675</v>
      </c>
      <c r="H639" s="3" t="s">
        <v>21</v>
      </c>
      <c r="I639" s="3">
        <v>1761</v>
      </c>
      <c r="J639" s="3">
        <v>29</v>
      </c>
      <c r="K639" s="4">
        <v>45502</v>
      </c>
      <c r="L639" s="10">
        <v>371502.9227</v>
      </c>
    </row>
    <row r="640" spans="1:12" x14ac:dyDescent="0.3">
      <c r="A640" s="2">
        <v>638</v>
      </c>
      <c r="B640" s="3" t="s">
        <v>28</v>
      </c>
      <c r="C640" s="3" t="s">
        <v>115</v>
      </c>
      <c r="D640" s="3" t="s">
        <v>18</v>
      </c>
      <c r="E640" s="3">
        <v>26645</v>
      </c>
      <c r="F640" s="3">
        <v>3</v>
      </c>
      <c r="G640" s="3">
        <v>51877</v>
      </c>
      <c r="H640" s="3" t="s">
        <v>23</v>
      </c>
      <c r="I640" s="3">
        <v>1579</v>
      </c>
      <c r="J640" s="3">
        <v>62</v>
      </c>
      <c r="K640" s="4">
        <v>44072</v>
      </c>
      <c r="L640" s="10">
        <v>379205.38439999998</v>
      </c>
    </row>
    <row r="641" spans="1:12" x14ac:dyDescent="0.3">
      <c r="A641" s="2">
        <v>639</v>
      </c>
      <c r="B641" s="3" t="s">
        <v>28</v>
      </c>
      <c r="C641" s="3" t="s">
        <v>181</v>
      </c>
      <c r="D641" s="3" t="s">
        <v>14</v>
      </c>
      <c r="E641" s="3">
        <v>27496</v>
      </c>
      <c r="F641" s="3">
        <v>0</v>
      </c>
      <c r="G641" s="3">
        <v>58355</v>
      </c>
      <c r="H641" s="3" t="s">
        <v>23</v>
      </c>
      <c r="I641" s="3">
        <v>1021</v>
      </c>
      <c r="J641" s="3">
        <v>70</v>
      </c>
      <c r="K641" s="4">
        <v>44560</v>
      </c>
      <c r="L641" s="10">
        <v>315709.93920000002</v>
      </c>
    </row>
    <row r="642" spans="1:12" x14ac:dyDescent="0.3">
      <c r="A642" s="2">
        <v>640</v>
      </c>
      <c r="B642" s="3" t="s">
        <v>74</v>
      </c>
      <c r="C642" s="3" t="s">
        <v>219</v>
      </c>
      <c r="D642" s="3" t="s">
        <v>18</v>
      </c>
      <c r="E642" s="3">
        <v>10752</v>
      </c>
      <c r="F642" s="3">
        <v>2</v>
      </c>
      <c r="G642" s="3">
        <v>97514</v>
      </c>
      <c r="H642" s="3" t="s">
        <v>21</v>
      </c>
      <c r="I642" s="3">
        <v>2060</v>
      </c>
      <c r="J642" s="3">
        <v>29</v>
      </c>
      <c r="K642" s="4">
        <v>45534</v>
      </c>
      <c r="L642" s="10">
        <v>358356.95390000002</v>
      </c>
    </row>
    <row r="643" spans="1:12" x14ac:dyDescent="0.3">
      <c r="A643" s="2">
        <v>641</v>
      </c>
      <c r="B643" s="3" t="s">
        <v>24</v>
      </c>
      <c r="C643" s="3" t="s">
        <v>154</v>
      </c>
      <c r="D643" s="3" t="s">
        <v>18</v>
      </c>
      <c r="E643" s="3">
        <v>21929</v>
      </c>
      <c r="F643" s="3">
        <v>4</v>
      </c>
      <c r="G643" s="3">
        <v>87160</v>
      </c>
      <c r="H643" s="3" t="s">
        <v>21</v>
      </c>
      <c r="I643" s="3">
        <v>2155</v>
      </c>
      <c r="J643" s="3">
        <v>29</v>
      </c>
      <c r="K643" s="4">
        <v>44890</v>
      </c>
      <c r="L643" s="10">
        <v>387075.59749999997</v>
      </c>
    </row>
    <row r="644" spans="1:12" x14ac:dyDescent="0.3">
      <c r="A644" s="2">
        <v>642</v>
      </c>
      <c r="B644" s="3" t="s">
        <v>74</v>
      </c>
      <c r="C644" s="3" t="s">
        <v>75</v>
      </c>
      <c r="D644" s="3" t="s">
        <v>18</v>
      </c>
      <c r="E644" s="3">
        <v>17920</v>
      </c>
      <c r="F644" s="3">
        <v>6</v>
      </c>
      <c r="G644" s="3">
        <v>97748</v>
      </c>
      <c r="H644" s="3" t="s">
        <v>15</v>
      </c>
      <c r="I644" s="3">
        <v>1090</v>
      </c>
      <c r="J644" s="3">
        <v>87</v>
      </c>
      <c r="K644" s="4">
        <v>45121</v>
      </c>
      <c r="L644" s="10">
        <v>359280.61969999998</v>
      </c>
    </row>
    <row r="645" spans="1:12" x14ac:dyDescent="0.3">
      <c r="A645" s="2">
        <v>643</v>
      </c>
      <c r="B645" s="3" t="s">
        <v>57</v>
      </c>
      <c r="C645" s="3" t="s">
        <v>78</v>
      </c>
      <c r="D645" s="3" t="s">
        <v>18</v>
      </c>
      <c r="E645" s="3">
        <v>7315</v>
      </c>
      <c r="F645" s="3">
        <v>0</v>
      </c>
      <c r="G645" s="3">
        <v>96871</v>
      </c>
      <c r="H645" s="3" t="s">
        <v>23</v>
      </c>
      <c r="I645" s="3">
        <v>1019</v>
      </c>
      <c r="J645" s="3">
        <v>78</v>
      </c>
      <c r="K645" s="4">
        <v>44396</v>
      </c>
      <c r="L645" s="10">
        <v>373723.22129999998</v>
      </c>
    </row>
    <row r="646" spans="1:12" x14ac:dyDescent="0.3">
      <c r="A646" s="2">
        <v>644</v>
      </c>
      <c r="B646" s="3" t="s">
        <v>28</v>
      </c>
      <c r="C646" s="3" t="s">
        <v>43</v>
      </c>
      <c r="D646" s="3" t="s">
        <v>14</v>
      </c>
      <c r="E646" s="3">
        <v>16711</v>
      </c>
      <c r="F646" s="3">
        <v>5</v>
      </c>
      <c r="G646" s="3">
        <v>88651</v>
      </c>
      <c r="H646" s="3" t="s">
        <v>21</v>
      </c>
      <c r="I646" s="3">
        <v>1531</v>
      </c>
      <c r="J646" s="3">
        <v>56</v>
      </c>
      <c r="K646" s="4">
        <v>44025</v>
      </c>
      <c r="L646" s="10">
        <v>317267.7574</v>
      </c>
    </row>
    <row r="647" spans="1:12" x14ac:dyDescent="0.3">
      <c r="A647" s="2">
        <v>645</v>
      </c>
      <c r="B647" s="3" t="s">
        <v>37</v>
      </c>
      <c r="C647" s="3" t="s">
        <v>114</v>
      </c>
      <c r="D647" s="3" t="s">
        <v>14</v>
      </c>
      <c r="E647" s="3">
        <v>2626</v>
      </c>
      <c r="F647" s="3">
        <v>9</v>
      </c>
      <c r="G647" s="3">
        <v>71175</v>
      </c>
      <c r="H647" s="3" t="s">
        <v>15</v>
      </c>
      <c r="I647" s="3">
        <v>2203</v>
      </c>
      <c r="J647" s="3">
        <v>33</v>
      </c>
      <c r="K647" s="4">
        <v>44680</v>
      </c>
      <c r="L647" s="10">
        <v>324022.46919999999</v>
      </c>
    </row>
    <row r="648" spans="1:12" x14ac:dyDescent="0.3">
      <c r="A648" s="2">
        <v>646</v>
      </c>
      <c r="B648" s="3" t="s">
        <v>35</v>
      </c>
      <c r="C648" s="3" t="s">
        <v>139</v>
      </c>
      <c r="D648" s="3" t="s">
        <v>18</v>
      </c>
      <c r="E648" s="3">
        <v>22558</v>
      </c>
      <c r="F648" s="3">
        <v>0</v>
      </c>
      <c r="G648" s="3">
        <v>97009</v>
      </c>
      <c r="H648" s="3" t="s">
        <v>15</v>
      </c>
      <c r="I648" s="3">
        <v>1176</v>
      </c>
      <c r="J648" s="3">
        <v>31</v>
      </c>
      <c r="K648" s="4">
        <v>44610</v>
      </c>
      <c r="L648" s="10">
        <v>349520.64740000002</v>
      </c>
    </row>
    <row r="649" spans="1:12" x14ac:dyDescent="0.3">
      <c r="A649" s="2">
        <v>647</v>
      </c>
      <c r="B649" s="3" t="s">
        <v>26</v>
      </c>
      <c r="C649" s="3" t="s">
        <v>99</v>
      </c>
      <c r="D649" s="3" t="s">
        <v>18</v>
      </c>
      <c r="E649" s="3">
        <v>28573</v>
      </c>
      <c r="F649" s="3">
        <v>9</v>
      </c>
      <c r="G649" s="3">
        <v>70913</v>
      </c>
      <c r="H649" s="3" t="s">
        <v>23</v>
      </c>
      <c r="I649" s="3">
        <v>1588</v>
      </c>
      <c r="J649" s="3">
        <v>54</v>
      </c>
      <c r="K649" s="4">
        <v>44435</v>
      </c>
      <c r="L649" s="10">
        <v>372345.67700000003</v>
      </c>
    </row>
    <row r="650" spans="1:12" x14ac:dyDescent="0.3">
      <c r="A650" s="2">
        <v>648</v>
      </c>
      <c r="B650" s="3" t="s">
        <v>31</v>
      </c>
      <c r="C650" s="3" t="s">
        <v>146</v>
      </c>
      <c r="D650" s="3" t="s">
        <v>14</v>
      </c>
      <c r="E650" s="3">
        <v>6039</v>
      </c>
      <c r="F650" s="3">
        <v>2</v>
      </c>
      <c r="G650" s="3">
        <v>54856</v>
      </c>
      <c r="H650" s="3" t="s">
        <v>15</v>
      </c>
      <c r="I650" s="3">
        <v>1999</v>
      </c>
      <c r="J650" s="3">
        <v>59</v>
      </c>
      <c r="K650" s="4">
        <v>45391</v>
      </c>
      <c r="L650" s="10">
        <v>328338.23420000001</v>
      </c>
    </row>
    <row r="651" spans="1:12" x14ac:dyDescent="0.3">
      <c r="A651" s="2">
        <v>649</v>
      </c>
      <c r="B651" s="3" t="s">
        <v>74</v>
      </c>
      <c r="C651" s="3" t="s">
        <v>89</v>
      </c>
      <c r="D651" s="3" t="s">
        <v>14</v>
      </c>
      <c r="E651" s="3">
        <v>21504</v>
      </c>
      <c r="F651" s="3">
        <v>8</v>
      </c>
      <c r="G651" s="3">
        <v>82398</v>
      </c>
      <c r="H651" s="3" t="s">
        <v>23</v>
      </c>
      <c r="I651" s="3">
        <v>1889</v>
      </c>
      <c r="J651" s="3">
        <v>60</v>
      </c>
      <c r="K651" s="4">
        <v>45370</v>
      </c>
      <c r="L651" s="10">
        <v>328340.9791</v>
      </c>
    </row>
    <row r="652" spans="1:12" x14ac:dyDescent="0.3">
      <c r="A652" s="2">
        <v>650</v>
      </c>
      <c r="B652" s="3" t="s">
        <v>12</v>
      </c>
      <c r="C652" s="3" t="s">
        <v>95</v>
      </c>
      <c r="D652" s="3" t="s">
        <v>14</v>
      </c>
      <c r="E652" s="3">
        <v>1016</v>
      </c>
      <c r="F652" s="3">
        <v>7</v>
      </c>
      <c r="G652" s="3">
        <v>62477</v>
      </c>
      <c r="H652" s="3" t="s">
        <v>23</v>
      </c>
      <c r="I652" s="3">
        <v>2590</v>
      </c>
      <c r="J652" s="3">
        <v>62</v>
      </c>
      <c r="K652" s="4">
        <v>44403</v>
      </c>
      <c r="L652" s="10">
        <v>329905.62479999999</v>
      </c>
    </row>
    <row r="653" spans="1:12" x14ac:dyDescent="0.3">
      <c r="A653" s="2">
        <v>651</v>
      </c>
      <c r="B653" s="3" t="s">
        <v>33</v>
      </c>
      <c r="C653" s="3" t="s">
        <v>198</v>
      </c>
      <c r="D653" s="3" t="s">
        <v>14</v>
      </c>
      <c r="E653" s="3">
        <v>2563</v>
      </c>
      <c r="F653" s="3">
        <v>0</v>
      </c>
      <c r="G653" s="3">
        <v>98901</v>
      </c>
      <c r="H653" s="3" t="s">
        <v>23</v>
      </c>
      <c r="I653" s="3">
        <v>2259</v>
      </c>
      <c r="J653" s="3">
        <v>26</v>
      </c>
      <c r="K653" s="4">
        <v>44702</v>
      </c>
      <c r="L653" s="10">
        <v>321173.03590000002</v>
      </c>
    </row>
    <row r="654" spans="1:12" x14ac:dyDescent="0.3">
      <c r="A654" s="2">
        <v>652</v>
      </c>
      <c r="B654" s="3" t="s">
        <v>28</v>
      </c>
      <c r="C654" s="3" t="s">
        <v>43</v>
      </c>
      <c r="D654" s="3" t="s">
        <v>14</v>
      </c>
      <c r="E654" s="3">
        <v>11403</v>
      </c>
      <c r="F654" s="3">
        <v>7</v>
      </c>
      <c r="G654" s="3">
        <v>78574</v>
      </c>
      <c r="H654" s="3" t="s">
        <v>23</v>
      </c>
      <c r="I654" s="3">
        <v>2786</v>
      </c>
      <c r="J654" s="3">
        <v>96</v>
      </c>
      <c r="K654" s="4">
        <v>43958</v>
      </c>
      <c r="L654" s="10">
        <v>364404.81520000001</v>
      </c>
    </row>
    <row r="655" spans="1:12" x14ac:dyDescent="0.3">
      <c r="A655" s="2">
        <v>653</v>
      </c>
      <c r="B655" s="3" t="s">
        <v>55</v>
      </c>
      <c r="C655" s="3" t="s">
        <v>169</v>
      </c>
      <c r="D655" s="3" t="s">
        <v>14</v>
      </c>
      <c r="E655" s="3">
        <v>3497</v>
      </c>
      <c r="F655" s="3">
        <v>2</v>
      </c>
      <c r="G655" s="3">
        <v>90219</v>
      </c>
      <c r="H655" s="3" t="s">
        <v>23</v>
      </c>
      <c r="I655" s="3">
        <v>2038</v>
      </c>
      <c r="J655" s="3">
        <v>31</v>
      </c>
      <c r="K655" s="4">
        <v>44496</v>
      </c>
      <c r="L655" s="10">
        <v>321230.71730000002</v>
      </c>
    </row>
    <row r="656" spans="1:12" x14ac:dyDescent="0.3">
      <c r="A656" s="2">
        <v>654</v>
      </c>
      <c r="B656" s="3" t="s">
        <v>44</v>
      </c>
      <c r="C656" s="3" t="s">
        <v>82</v>
      </c>
      <c r="D656" s="3" t="s">
        <v>18</v>
      </c>
      <c r="E656" s="3">
        <v>869</v>
      </c>
      <c r="F656" s="3">
        <v>3</v>
      </c>
      <c r="G656" s="3">
        <v>59686</v>
      </c>
      <c r="H656" s="3" t="s">
        <v>23</v>
      </c>
      <c r="I656" s="3">
        <v>1390</v>
      </c>
      <c r="J656" s="3">
        <v>21</v>
      </c>
      <c r="K656" s="4">
        <v>44888</v>
      </c>
      <c r="L656" s="10">
        <v>354597.81510000001</v>
      </c>
    </row>
    <row r="657" spans="1:12" x14ac:dyDescent="0.3">
      <c r="A657" s="2">
        <v>655</v>
      </c>
      <c r="B657" s="3" t="s">
        <v>24</v>
      </c>
      <c r="C657" s="3" t="s">
        <v>39</v>
      </c>
      <c r="D657" s="3" t="s">
        <v>14</v>
      </c>
      <c r="E657" s="3">
        <v>8411</v>
      </c>
      <c r="F657" s="3">
        <v>5</v>
      </c>
      <c r="G657" s="3">
        <v>53441</v>
      </c>
      <c r="H657" s="3" t="s">
        <v>21</v>
      </c>
      <c r="I657" s="3">
        <v>2476</v>
      </c>
      <c r="J657" s="3">
        <v>47</v>
      </c>
      <c r="K657" s="4">
        <v>45045</v>
      </c>
      <c r="L657" s="10">
        <v>337080.6128</v>
      </c>
    </row>
    <row r="658" spans="1:12" x14ac:dyDescent="0.3">
      <c r="A658" s="2">
        <v>656</v>
      </c>
      <c r="B658" s="3" t="s">
        <v>33</v>
      </c>
      <c r="C658" s="3" t="s">
        <v>92</v>
      </c>
      <c r="D658" s="3" t="s">
        <v>14</v>
      </c>
      <c r="E658" s="3">
        <v>18384</v>
      </c>
      <c r="F658" s="3">
        <v>2</v>
      </c>
      <c r="G658" s="3">
        <v>96331</v>
      </c>
      <c r="H658" s="3" t="s">
        <v>23</v>
      </c>
      <c r="I658" s="3">
        <v>2336</v>
      </c>
      <c r="J658" s="3">
        <v>98</v>
      </c>
      <c r="K658" s="4">
        <v>44091</v>
      </c>
      <c r="L658" s="10">
        <v>357872.44069999998</v>
      </c>
    </row>
    <row r="659" spans="1:12" x14ac:dyDescent="0.3">
      <c r="A659" s="2">
        <v>657</v>
      </c>
      <c r="B659" s="3" t="s">
        <v>74</v>
      </c>
      <c r="C659" s="3" t="s">
        <v>120</v>
      </c>
      <c r="D659" s="3" t="s">
        <v>14</v>
      </c>
      <c r="E659" s="3">
        <v>19756</v>
      </c>
      <c r="F659" s="3">
        <v>0</v>
      </c>
      <c r="G659" s="3">
        <v>84028</v>
      </c>
      <c r="H659" s="3" t="s">
        <v>21</v>
      </c>
      <c r="I659" s="3">
        <v>2681</v>
      </c>
      <c r="J659" s="3">
        <v>51</v>
      </c>
      <c r="K659" s="4">
        <v>44095</v>
      </c>
      <c r="L659" s="10">
        <v>359006.97560000001</v>
      </c>
    </row>
    <row r="660" spans="1:12" x14ac:dyDescent="0.3">
      <c r="A660" s="2">
        <v>658</v>
      </c>
      <c r="B660" s="3" t="s">
        <v>33</v>
      </c>
      <c r="C660" s="3" t="s">
        <v>34</v>
      </c>
      <c r="D660" s="3" t="s">
        <v>18</v>
      </c>
      <c r="E660" s="3">
        <v>18202</v>
      </c>
      <c r="F660" s="3">
        <v>6</v>
      </c>
      <c r="G660" s="3">
        <v>53485</v>
      </c>
      <c r="H660" s="3" t="s">
        <v>15</v>
      </c>
      <c r="I660" s="3">
        <v>2018</v>
      </c>
      <c r="J660" s="3">
        <v>79</v>
      </c>
      <c r="K660" s="4">
        <v>44191</v>
      </c>
      <c r="L660" s="10">
        <v>365709.40039999998</v>
      </c>
    </row>
    <row r="661" spans="1:12" x14ac:dyDescent="0.3">
      <c r="A661" s="2">
        <v>659</v>
      </c>
      <c r="B661" s="3" t="s">
        <v>33</v>
      </c>
      <c r="C661" s="3" t="s">
        <v>34</v>
      </c>
      <c r="D661" s="3" t="s">
        <v>14</v>
      </c>
      <c r="E661" s="3">
        <v>14795</v>
      </c>
      <c r="F661" s="3">
        <v>6</v>
      </c>
      <c r="G661" s="3">
        <v>50537</v>
      </c>
      <c r="H661" s="3" t="s">
        <v>15</v>
      </c>
      <c r="I661" s="3">
        <v>1684</v>
      </c>
      <c r="J661" s="3">
        <v>81</v>
      </c>
      <c r="K661" s="4">
        <v>44313</v>
      </c>
      <c r="L661" s="10">
        <v>319851.00699999998</v>
      </c>
    </row>
    <row r="662" spans="1:12" x14ac:dyDescent="0.3">
      <c r="A662" s="2">
        <v>660</v>
      </c>
      <c r="B662" s="3" t="s">
        <v>40</v>
      </c>
      <c r="C662" s="3" t="s">
        <v>103</v>
      </c>
      <c r="D662" s="3" t="s">
        <v>18</v>
      </c>
      <c r="E662" s="3">
        <v>5995</v>
      </c>
      <c r="F662" s="3">
        <v>3</v>
      </c>
      <c r="G662" s="3">
        <v>86960</v>
      </c>
      <c r="H662" s="3" t="s">
        <v>15</v>
      </c>
      <c r="I662" s="3">
        <v>1185</v>
      </c>
      <c r="J662" s="3">
        <v>70</v>
      </c>
      <c r="K662" s="4">
        <v>44817</v>
      </c>
      <c r="L662" s="10">
        <v>329739.65710000001</v>
      </c>
    </row>
    <row r="663" spans="1:12" x14ac:dyDescent="0.3">
      <c r="A663" s="2">
        <v>661</v>
      </c>
      <c r="B663" s="3" t="s">
        <v>29</v>
      </c>
      <c r="C663" s="3" t="s">
        <v>83</v>
      </c>
      <c r="D663" s="3" t="s">
        <v>18</v>
      </c>
      <c r="E663" s="3">
        <v>13632</v>
      </c>
      <c r="F663" s="3">
        <v>2</v>
      </c>
      <c r="G663" s="3">
        <v>87277</v>
      </c>
      <c r="H663" s="3" t="s">
        <v>15</v>
      </c>
      <c r="I663" s="3">
        <v>2280</v>
      </c>
      <c r="J663" s="3">
        <v>78</v>
      </c>
      <c r="K663" s="4">
        <v>44082</v>
      </c>
      <c r="L663" s="10">
        <v>369558.62079999998</v>
      </c>
    </row>
    <row r="664" spans="1:12" x14ac:dyDescent="0.3">
      <c r="A664" s="2">
        <v>662</v>
      </c>
      <c r="B664" s="3" t="s">
        <v>16</v>
      </c>
      <c r="C664" s="3" t="s">
        <v>22</v>
      </c>
      <c r="D664" s="3" t="s">
        <v>14</v>
      </c>
      <c r="E664" s="3">
        <v>26885</v>
      </c>
      <c r="F664" s="3">
        <v>0</v>
      </c>
      <c r="G664" s="3">
        <v>56518</v>
      </c>
      <c r="H664" s="3" t="s">
        <v>15</v>
      </c>
      <c r="I664" s="3">
        <v>2391</v>
      </c>
      <c r="J664" s="3">
        <v>76</v>
      </c>
      <c r="K664" s="4">
        <v>44103</v>
      </c>
      <c r="L664" s="10">
        <v>338384.29369999998</v>
      </c>
    </row>
    <row r="665" spans="1:12" x14ac:dyDescent="0.3">
      <c r="A665" s="2">
        <v>663</v>
      </c>
      <c r="B665" s="3" t="s">
        <v>122</v>
      </c>
      <c r="C665" s="3" t="s">
        <v>194</v>
      </c>
      <c r="D665" s="3" t="s">
        <v>18</v>
      </c>
      <c r="E665" s="3">
        <v>2874</v>
      </c>
      <c r="F665" s="3">
        <v>2</v>
      </c>
      <c r="G665" s="3">
        <v>51981</v>
      </c>
      <c r="H665" s="3" t="s">
        <v>23</v>
      </c>
      <c r="I665" s="3">
        <v>2280</v>
      </c>
      <c r="J665" s="3">
        <v>68</v>
      </c>
      <c r="K665" s="4">
        <v>43881</v>
      </c>
      <c r="L665" s="10">
        <v>370489.03649999999</v>
      </c>
    </row>
    <row r="666" spans="1:12" x14ac:dyDescent="0.3">
      <c r="A666" s="2">
        <v>664</v>
      </c>
      <c r="B666" s="3" t="s">
        <v>16</v>
      </c>
      <c r="C666" s="3" t="s">
        <v>51</v>
      </c>
      <c r="D666" s="3" t="s">
        <v>18</v>
      </c>
      <c r="E666" s="3">
        <v>8080</v>
      </c>
      <c r="F666" s="3">
        <v>9</v>
      </c>
      <c r="G666" s="3">
        <v>87482</v>
      </c>
      <c r="H666" s="3" t="s">
        <v>23</v>
      </c>
      <c r="I666" s="3">
        <v>2084</v>
      </c>
      <c r="J666" s="3">
        <v>63</v>
      </c>
      <c r="K666" s="4">
        <v>44151</v>
      </c>
      <c r="L666" s="10">
        <v>374370.53399999999</v>
      </c>
    </row>
    <row r="667" spans="1:12" x14ac:dyDescent="0.3">
      <c r="A667" s="2">
        <v>665</v>
      </c>
      <c r="B667" s="3" t="s">
        <v>31</v>
      </c>
      <c r="C667" s="3" t="s">
        <v>185</v>
      </c>
      <c r="D667" s="3" t="s">
        <v>14</v>
      </c>
      <c r="E667" s="3">
        <v>17227</v>
      </c>
      <c r="F667" s="3">
        <v>9</v>
      </c>
      <c r="G667" s="3">
        <v>74717</v>
      </c>
      <c r="H667" s="3" t="s">
        <v>21</v>
      </c>
      <c r="I667" s="3">
        <v>2721</v>
      </c>
      <c r="J667" s="3">
        <v>77</v>
      </c>
      <c r="K667" s="4">
        <v>44274</v>
      </c>
      <c r="L667" s="10">
        <v>373425.37199999997</v>
      </c>
    </row>
    <row r="668" spans="1:12" x14ac:dyDescent="0.3">
      <c r="A668" s="2">
        <v>666</v>
      </c>
      <c r="B668" s="3" t="s">
        <v>44</v>
      </c>
      <c r="C668" s="3" t="s">
        <v>201</v>
      </c>
      <c r="D668" s="3" t="s">
        <v>18</v>
      </c>
      <c r="E668" s="3">
        <v>29466</v>
      </c>
      <c r="F668" s="3">
        <v>6</v>
      </c>
      <c r="G668" s="3">
        <v>77212</v>
      </c>
      <c r="H668" s="3" t="s">
        <v>15</v>
      </c>
      <c r="I668" s="3">
        <v>2494</v>
      </c>
      <c r="J668" s="3">
        <v>43</v>
      </c>
      <c r="K668" s="4">
        <v>44193</v>
      </c>
      <c r="L668" s="10">
        <v>392439.79239999998</v>
      </c>
    </row>
    <row r="669" spans="1:12" x14ac:dyDescent="0.3">
      <c r="A669" s="2">
        <v>667</v>
      </c>
      <c r="B669" s="3" t="s">
        <v>16</v>
      </c>
      <c r="C669" s="3" t="s">
        <v>207</v>
      </c>
      <c r="D669" s="3" t="s">
        <v>18</v>
      </c>
      <c r="E669" s="3">
        <v>20976</v>
      </c>
      <c r="F669" s="3">
        <v>6</v>
      </c>
      <c r="G669" s="3">
        <v>78707</v>
      </c>
      <c r="H669" s="3" t="s">
        <v>23</v>
      </c>
      <c r="I669" s="3">
        <v>2821</v>
      </c>
      <c r="J669" s="3">
        <v>32</v>
      </c>
      <c r="K669" s="4">
        <v>45397</v>
      </c>
      <c r="L669" s="10">
        <v>396696.54100000003</v>
      </c>
    </row>
    <row r="670" spans="1:12" x14ac:dyDescent="0.3">
      <c r="A670" s="2">
        <v>668</v>
      </c>
      <c r="B670" s="3" t="s">
        <v>28</v>
      </c>
      <c r="C670" s="3" t="s">
        <v>112</v>
      </c>
      <c r="D670" s="3" t="s">
        <v>14</v>
      </c>
      <c r="E670" s="3">
        <v>11173</v>
      </c>
      <c r="F670" s="3">
        <v>0</v>
      </c>
      <c r="G670" s="3">
        <v>60781</v>
      </c>
      <c r="H670" s="3" t="s">
        <v>21</v>
      </c>
      <c r="I670" s="3">
        <v>2992</v>
      </c>
      <c r="J670" s="3">
        <v>71</v>
      </c>
      <c r="K670" s="4">
        <v>44145</v>
      </c>
      <c r="L670" s="10">
        <v>367689.85210000002</v>
      </c>
    </row>
    <row r="671" spans="1:12" x14ac:dyDescent="0.3">
      <c r="A671" s="2">
        <v>669</v>
      </c>
      <c r="B671" s="3" t="s">
        <v>35</v>
      </c>
      <c r="C671" s="3" t="s">
        <v>62</v>
      </c>
      <c r="D671" s="3" t="s">
        <v>18</v>
      </c>
      <c r="E671" s="3">
        <v>17034</v>
      </c>
      <c r="F671" s="3">
        <v>0</v>
      </c>
      <c r="G671" s="3">
        <v>58207</v>
      </c>
      <c r="H671" s="3" t="s">
        <v>21</v>
      </c>
      <c r="I671" s="3">
        <v>2757</v>
      </c>
      <c r="J671" s="3">
        <v>29</v>
      </c>
      <c r="K671" s="4">
        <v>44181</v>
      </c>
      <c r="L671" s="10">
        <v>402559.03370000003</v>
      </c>
    </row>
    <row r="672" spans="1:12" x14ac:dyDescent="0.3">
      <c r="A672" s="2">
        <v>670</v>
      </c>
      <c r="B672" s="3" t="s">
        <v>33</v>
      </c>
      <c r="C672" s="3" t="s">
        <v>220</v>
      </c>
      <c r="D672" s="3" t="s">
        <v>18</v>
      </c>
      <c r="E672" s="3">
        <v>28905</v>
      </c>
      <c r="F672" s="3">
        <v>7</v>
      </c>
      <c r="G672" s="3">
        <v>52932</v>
      </c>
      <c r="H672" s="3" t="s">
        <v>23</v>
      </c>
      <c r="I672" s="3">
        <v>1518</v>
      </c>
      <c r="J672" s="3">
        <v>28</v>
      </c>
      <c r="K672" s="4">
        <v>43844</v>
      </c>
      <c r="L672" s="10">
        <v>376405.69579999999</v>
      </c>
    </row>
    <row r="673" spans="1:12" x14ac:dyDescent="0.3">
      <c r="A673" s="2">
        <v>671</v>
      </c>
      <c r="B673" s="3" t="s">
        <v>74</v>
      </c>
      <c r="C673" s="3" t="s">
        <v>221</v>
      </c>
      <c r="D673" s="3" t="s">
        <v>14</v>
      </c>
      <c r="E673" s="3">
        <v>20522</v>
      </c>
      <c r="F673" s="3">
        <v>2</v>
      </c>
      <c r="G673" s="3">
        <v>84097</v>
      </c>
      <c r="H673" s="3" t="s">
        <v>23</v>
      </c>
      <c r="I673" s="3">
        <v>1623</v>
      </c>
      <c r="J673" s="3">
        <v>95</v>
      </c>
      <c r="K673" s="4">
        <v>45433</v>
      </c>
      <c r="L673" s="10">
        <v>360788.90429999999</v>
      </c>
    </row>
    <row r="674" spans="1:12" x14ac:dyDescent="0.3">
      <c r="A674" s="2">
        <v>672</v>
      </c>
      <c r="B674" s="3" t="s">
        <v>26</v>
      </c>
      <c r="C674" s="3" t="s">
        <v>93</v>
      </c>
      <c r="D674" s="3" t="s">
        <v>18</v>
      </c>
      <c r="E674" s="3">
        <v>22913</v>
      </c>
      <c r="F674" s="3">
        <v>9</v>
      </c>
      <c r="G674" s="3">
        <v>64796</v>
      </c>
      <c r="H674" s="3" t="s">
        <v>23</v>
      </c>
      <c r="I674" s="3">
        <v>2721</v>
      </c>
      <c r="J674" s="3">
        <v>56</v>
      </c>
      <c r="K674" s="4">
        <v>45458</v>
      </c>
      <c r="L674" s="10">
        <v>376540.12609999999</v>
      </c>
    </row>
    <row r="675" spans="1:12" x14ac:dyDescent="0.3">
      <c r="A675" s="2">
        <v>673</v>
      </c>
      <c r="B675" s="3" t="s">
        <v>16</v>
      </c>
      <c r="C675" s="3" t="s">
        <v>84</v>
      </c>
      <c r="D675" s="3" t="s">
        <v>18</v>
      </c>
      <c r="E675" s="3">
        <v>12162</v>
      </c>
      <c r="F675" s="3">
        <v>7</v>
      </c>
      <c r="G675" s="3">
        <v>96337</v>
      </c>
      <c r="H675" s="3" t="s">
        <v>21</v>
      </c>
      <c r="I675" s="3">
        <v>1131</v>
      </c>
      <c r="J675" s="3">
        <v>46</v>
      </c>
      <c r="K675" s="4">
        <v>45058</v>
      </c>
      <c r="L675" s="10">
        <v>340715.15029999998</v>
      </c>
    </row>
    <row r="676" spans="1:12" x14ac:dyDescent="0.3">
      <c r="A676" s="2">
        <v>674</v>
      </c>
      <c r="B676" s="3" t="s">
        <v>33</v>
      </c>
      <c r="C676" s="3" t="s">
        <v>68</v>
      </c>
      <c r="D676" s="3" t="s">
        <v>14</v>
      </c>
      <c r="E676" s="3">
        <v>8206</v>
      </c>
      <c r="F676" s="3">
        <v>5</v>
      </c>
      <c r="G676" s="3">
        <v>99868</v>
      </c>
      <c r="H676" s="3" t="s">
        <v>15</v>
      </c>
      <c r="I676" s="3">
        <v>2219</v>
      </c>
      <c r="J676" s="3">
        <v>45</v>
      </c>
      <c r="K676" s="4">
        <v>45483</v>
      </c>
      <c r="L676" s="10">
        <v>314299.07339999999</v>
      </c>
    </row>
    <row r="677" spans="1:12" x14ac:dyDescent="0.3">
      <c r="A677" s="2">
        <v>675</v>
      </c>
      <c r="B677" s="3" t="s">
        <v>35</v>
      </c>
      <c r="C677" s="3" t="s">
        <v>119</v>
      </c>
      <c r="D677" s="3" t="s">
        <v>14</v>
      </c>
      <c r="E677" s="3">
        <v>14372</v>
      </c>
      <c r="F677" s="3">
        <v>8</v>
      </c>
      <c r="G677" s="3">
        <v>94006</v>
      </c>
      <c r="H677" s="3" t="s">
        <v>21</v>
      </c>
      <c r="I677" s="3">
        <v>2050</v>
      </c>
      <c r="J677" s="3">
        <v>87</v>
      </c>
      <c r="K677" s="4">
        <v>44935</v>
      </c>
      <c r="L677" s="10">
        <v>361276.22830000002</v>
      </c>
    </row>
    <row r="678" spans="1:12" x14ac:dyDescent="0.3">
      <c r="A678" s="2">
        <v>676</v>
      </c>
      <c r="B678" s="3" t="s">
        <v>24</v>
      </c>
      <c r="C678" s="3" t="s">
        <v>101</v>
      </c>
      <c r="D678" s="3" t="s">
        <v>18</v>
      </c>
      <c r="E678" s="3">
        <v>2413</v>
      </c>
      <c r="F678" s="3">
        <v>2</v>
      </c>
      <c r="G678" s="3">
        <v>69619</v>
      </c>
      <c r="H678" s="3" t="s">
        <v>15</v>
      </c>
      <c r="I678" s="3">
        <v>1267</v>
      </c>
      <c r="J678" s="3">
        <v>51</v>
      </c>
      <c r="K678" s="4">
        <v>44772</v>
      </c>
      <c r="L678" s="10">
        <v>359790.47730000003</v>
      </c>
    </row>
    <row r="679" spans="1:12" x14ac:dyDescent="0.3">
      <c r="A679" s="2">
        <v>677</v>
      </c>
      <c r="B679" s="3" t="s">
        <v>29</v>
      </c>
      <c r="C679" s="3" t="s">
        <v>135</v>
      </c>
      <c r="D679" s="3" t="s">
        <v>18</v>
      </c>
      <c r="E679" s="3">
        <v>16196</v>
      </c>
      <c r="F679" s="3">
        <v>6</v>
      </c>
      <c r="G679" s="3">
        <v>71155</v>
      </c>
      <c r="H679" s="3" t="s">
        <v>21</v>
      </c>
      <c r="I679" s="3">
        <v>2980</v>
      </c>
      <c r="J679" s="3">
        <v>75</v>
      </c>
      <c r="K679" s="4">
        <v>44345</v>
      </c>
      <c r="L679" s="10">
        <v>396281.55410000001</v>
      </c>
    </row>
    <row r="680" spans="1:12" x14ac:dyDescent="0.3">
      <c r="A680" s="2">
        <v>678</v>
      </c>
      <c r="B680" s="3" t="s">
        <v>44</v>
      </c>
      <c r="C680" s="3" t="s">
        <v>217</v>
      </c>
      <c r="D680" s="3" t="s">
        <v>14</v>
      </c>
      <c r="E680" s="3">
        <v>11802</v>
      </c>
      <c r="F680" s="3">
        <v>0</v>
      </c>
      <c r="G680" s="3">
        <v>76271</v>
      </c>
      <c r="H680" s="3" t="s">
        <v>21</v>
      </c>
      <c r="I680" s="3">
        <v>2661</v>
      </c>
      <c r="J680" s="3">
        <v>49</v>
      </c>
      <c r="K680" s="4">
        <v>44771</v>
      </c>
      <c r="L680" s="10">
        <v>365813.5061</v>
      </c>
    </row>
    <row r="681" spans="1:12" x14ac:dyDescent="0.3">
      <c r="A681" s="2">
        <v>679</v>
      </c>
      <c r="B681" s="3" t="s">
        <v>35</v>
      </c>
      <c r="C681" s="3" t="s">
        <v>62</v>
      </c>
      <c r="D681" s="3" t="s">
        <v>14</v>
      </c>
      <c r="E681" s="3">
        <v>12823</v>
      </c>
      <c r="F681" s="3">
        <v>7</v>
      </c>
      <c r="G681" s="3">
        <v>93685</v>
      </c>
      <c r="H681" s="3" t="s">
        <v>23</v>
      </c>
      <c r="I681" s="3">
        <v>1162</v>
      </c>
      <c r="J681" s="3">
        <v>66</v>
      </c>
      <c r="K681" s="4">
        <v>44507</v>
      </c>
      <c r="L681" s="10">
        <v>314412.11739999999</v>
      </c>
    </row>
    <row r="682" spans="1:12" x14ac:dyDescent="0.3">
      <c r="A682" s="2">
        <v>680</v>
      </c>
      <c r="B682" s="3" t="s">
        <v>19</v>
      </c>
      <c r="C682" s="3" t="s">
        <v>199</v>
      </c>
      <c r="D682" s="3" t="s">
        <v>18</v>
      </c>
      <c r="E682" s="3">
        <v>1129</v>
      </c>
      <c r="F682" s="3">
        <v>2</v>
      </c>
      <c r="G682" s="3">
        <v>76649</v>
      </c>
      <c r="H682" s="3" t="s">
        <v>23</v>
      </c>
      <c r="I682" s="3">
        <v>1673</v>
      </c>
      <c r="J682" s="3">
        <v>44</v>
      </c>
      <c r="K682" s="4">
        <v>45543</v>
      </c>
      <c r="L682" s="10">
        <v>352353.94669999997</v>
      </c>
    </row>
    <row r="683" spans="1:12" x14ac:dyDescent="0.3">
      <c r="A683" s="2">
        <v>681</v>
      </c>
      <c r="B683" s="3" t="s">
        <v>29</v>
      </c>
      <c r="C683" s="3" t="s">
        <v>132</v>
      </c>
      <c r="D683" s="3" t="s">
        <v>18</v>
      </c>
      <c r="E683" s="3">
        <v>27637</v>
      </c>
      <c r="F683" s="3">
        <v>4</v>
      </c>
      <c r="G683" s="3">
        <v>59737</v>
      </c>
      <c r="H683" s="3" t="s">
        <v>23</v>
      </c>
      <c r="I683" s="3">
        <v>1057</v>
      </c>
      <c r="J683" s="3">
        <v>89</v>
      </c>
      <c r="K683" s="4">
        <v>44028</v>
      </c>
      <c r="L683" s="10">
        <v>390217.3322</v>
      </c>
    </row>
    <row r="684" spans="1:12" x14ac:dyDescent="0.3">
      <c r="A684" s="2">
        <v>682</v>
      </c>
      <c r="B684" s="3" t="s">
        <v>16</v>
      </c>
      <c r="C684" s="3" t="s">
        <v>17</v>
      </c>
      <c r="D684" s="3" t="s">
        <v>14</v>
      </c>
      <c r="E684" s="3">
        <v>4844</v>
      </c>
      <c r="F684" s="3">
        <v>3</v>
      </c>
      <c r="G684" s="3">
        <v>68103</v>
      </c>
      <c r="H684" s="3" t="s">
        <v>23</v>
      </c>
      <c r="I684" s="3">
        <v>2736</v>
      </c>
      <c r="J684" s="3">
        <v>56</v>
      </c>
      <c r="K684" s="4">
        <v>44768</v>
      </c>
      <c r="L684" s="10">
        <v>347048.94549999997</v>
      </c>
    </row>
    <row r="685" spans="1:12" x14ac:dyDescent="0.3">
      <c r="A685" s="2">
        <v>683</v>
      </c>
      <c r="B685" s="3" t="s">
        <v>74</v>
      </c>
      <c r="C685" s="3" t="s">
        <v>89</v>
      </c>
      <c r="D685" s="3" t="s">
        <v>18</v>
      </c>
      <c r="E685" s="3">
        <v>24543</v>
      </c>
      <c r="F685" s="3">
        <v>2</v>
      </c>
      <c r="G685" s="3">
        <v>82625</v>
      </c>
      <c r="H685" s="3" t="s">
        <v>23</v>
      </c>
      <c r="I685" s="3">
        <v>2135</v>
      </c>
      <c r="J685" s="3">
        <v>84</v>
      </c>
      <c r="K685" s="4">
        <v>44562</v>
      </c>
      <c r="L685" s="10">
        <v>402287.29609999998</v>
      </c>
    </row>
    <row r="686" spans="1:12" x14ac:dyDescent="0.3">
      <c r="A686" s="2">
        <v>684</v>
      </c>
      <c r="B686" s="3" t="s">
        <v>29</v>
      </c>
      <c r="C686" s="3" t="s">
        <v>188</v>
      </c>
      <c r="D686" s="3" t="s">
        <v>18</v>
      </c>
      <c r="E686" s="3">
        <v>19075</v>
      </c>
      <c r="F686" s="3">
        <v>1</v>
      </c>
      <c r="G686" s="3">
        <v>75416</v>
      </c>
      <c r="H686" s="3" t="s">
        <v>15</v>
      </c>
      <c r="I686" s="3">
        <v>1660</v>
      </c>
      <c r="J686" s="3">
        <v>47</v>
      </c>
      <c r="K686" s="4">
        <v>44980</v>
      </c>
      <c r="L686" s="10">
        <v>346237.0209</v>
      </c>
    </row>
    <row r="687" spans="1:12" x14ac:dyDescent="0.3">
      <c r="A687" s="2">
        <v>685</v>
      </c>
      <c r="B687" s="3" t="s">
        <v>122</v>
      </c>
      <c r="C687" s="3" t="s">
        <v>133</v>
      </c>
      <c r="D687" s="3" t="s">
        <v>18</v>
      </c>
      <c r="E687" s="3">
        <v>20854</v>
      </c>
      <c r="F687" s="3">
        <v>3</v>
      </c>
      <c r="G687" s="3">
        <v>88414</v>
      </c>
      <c r="H687" s="3" t="s">
        <v>15</v>
      </c>
      <c r="I687" s="3">
        <v>1677</v>
      </c>
      <c r="J687" s="3">
        <v>77</v>
      </c>
      <c r="K687" s="4">
        <v>45132</v>
      </c>
      <c r="L687" s="10">
        <v>371017.64299999998</v>
      </c>
    </row>
    <row r="688" spans="1:12" x14ac:dyDescent="0.3">
      <c r="A688" s="2">
        <v>686</v>
      </c>
      <c r="B688" s="3" t="s">
        <v>122</v>
      </c>
      <c r="C688" s="3" t="s">
        <v>133</v>
      </c>
      <c r="D688" s="3" t="s">
        <v>14</v>
      </c>
      <c r="E688" s="3">
        <v>26916</v>
      </c>
      <c r="F688" s="3">
        <v>3</v>
      </c>
      <c r="G688" s="3">
        <v>63836</v>
      </c>
      <c r="H688" s="3" t="s">
        <v>15</v>
      </c>
      <c r="I688" s="3">
        <v>2516</v>
      </c>
      <c r="J688" s="3">
        <v>21</v>
      </c>
      <c r="K688" s="4">
        <v>45388</v>
      </c>
      <c r="L688" s="10">
        <v>340303.1299</v>
      </c>
    </row>
    <row r="689" spans="1:12" x14ac:dyDescent="0.3">
      <c r="A689" s="2">
        <v>687</v>
      </c>
      <c r="B689" s="3" t="s">
        <v>37</v>
      </c>
      <c r="C689" s="3" t="s">
        <v>90</v>
      </c>
      <c r="D689" s="3" t="s">
        <v>14</v>
      </c>
      <c r="E689" s="3">
        <v>11363</v>
      </c>
      <c r="F689" s="3">
        <v>5</v>
      </c>
      <c r="G689" s="3">
        <v>54234</v>
      </c>
      <c r="H689" s="3" t="s">
        <v>21</v>
      </c>
      <c r="I689" s="3">
        <v>1756</v>
      </c>
      <c r="J689" s="3">
        <v>66</v>
      </c>
      <c r="K689" s="4">
        <v>44044</v>
      </c>
      <c r="L689" s="10">
        <v>344524.79820000002</v>
      </c>
    </row>
    <row r="690" spans="1:12" x14ac:dyDescent="0.3">
      <c r="A690" s="2">
        <v>688</v>
      </c>
      <c r="B690" s="3" t="s">
        <v>122</v>
      </c>
      <c r="C690" s="3" t="s">
        <v>208</v>
      </c>
      <c r="D690" s="3" t="s">
        <v>14</v>
      </c>
      <c r="E690" s="3">
        <v>11017</v>
      </c>
      <c r="F690" s="3">
        <v>7</v>
      </c>
      <c r="G690" s="3">
        <v>99637</v>
      </c>
      <c r="H690" s="3" t="s">
        <v>15</v>
      </c>
      <c r="I690" s="3">
        <v>2600</v>
      </c>
      <c r="J690" s="3">
        <v>60</v>
      </c>
      <c r="K690" s="4">
        <v>44287</v>
      </c>
      <c r="L690" s="10">
        <v>313241.67330000002</v>
      </c>
    </row>
    <row r="691" spans="1:12" x14ac:dyDescent="0.3">
      <c r="A691" s="2">
        <v>689</v>
      </c>
      <c r="B691" s="3" t="s">
        <v>57</v>
      </c>
      <c r="C691" s="3" t="s">
        <v>206</v>
      </c>
      <c r="D691" s="3" t="s">
        <v>18</v>
      </c>
      <c r="E691" s="3">
        <v>6661</v>
      </c>
      <c r="F691" s="3">
        <v>0</v>
      </c>
      <c r="G691" s="3">
        <v>88311</v>
      </c>
      <c r="H691" s="3" t="s">
        <v>15</v>
      </c>
      <c r="I691" s="3">
        <v>2552</v>
      </c>
      <c r="J691" s="3">
        <v>38</v>
      </c>
      <c r="K691" s="4">
        <v>44382</v>
      </c>
      <c r="L691" s="10">
        <v>370429.66609999997</v>
      </c>
    </row>
    <row r="692" spans="1:12" x14ac:dyDescent="0.3">
      <c r="A692" s="2">
        <v>690</v>
      </c>
      <c r="B692" s="3" t="s">
        <v>35</v>
      </c>
      <c r="C692" s="3" t="s">
        <v>62</v>
      </c>
      <c r="D692" s="3" t="s">
        <v>18</v>
      </c>
      <c r="E692" s="3">
        <v>6257</v>
      </c>
      <c r="F692" s="3">
        <v>7</v>
      </c>
      <c r="G692" s="3">
        <v>70672</v>
      </c>
      <c r="H692" s="3" t="s">
        <v>15</v>
      </c>
      <c r="I692" s="3">
        <v>1868</v>
      </c>
      <c r="J692" s="3">
        <v>73</v>
      </c>
      <c r="K692" s="4">
        <v>44580</v>
      </c>
      <c r="L692" s="10">
        <v>365282.42560000002</v>
      </c>
    </row>
    <row r="693" spans="1:12" x14ac:dyDescent="0.3">
      <c r="A693" s="2">
        <v>691</v>
      </c>
      <c r="B693" s="3" t="s">
        <v>122</v>
      </c>
      <c r="C693" s="3" t="s">
        <v>137</v>
      </c>
      <c r="D693" s="3" t="s">
        <v>18</v>
      </c>
      <c r="E693" s="3">
        <v>15459</v>
      </c>
      <c r="F693" s="3">
        <v>2</v>
      </c>
      <c r="G693" s="3">
        <v>67626</v>
      </c>
      <c r="H693" s="3" t="s">
        <v>15</v>
      </c>
      <c r="I693" s="3">
        <v>2099</v>
      </c>
      <c r="J693" s="3">
        <v>46</v>
      </c>
      <c r="K693" s="4">
        <v>43854</v>
      </c>
      <c r="L693" s="10">
        <v>335869.93339999998</v>
      </c>
    </row>
    <row r="694" spans="1:12" x14ac:dyDescent="0.3">
      <c r="A694" s="2">
        <v>692</v>
      </c>
      <c r="B694" s="3" t="s">
        <v>29</v>
      </c>
      <c r="C694" s="3" t="s">
        <v>83</v>
      </c>
      <c r="D694" s="3" t="s">
        <v>18</v>
      </c>
      <c r="E694" s="3">
        <v>19315</v>
      </c>
      <c r="F694" s="3">
        <v>6</v>
      </c>
      <c r="G694" s="3">
        <v>74501</v>
      </c>
      <c r="H694" s="3" t="s">
        <v>21</v>
      </c>
      <c r="I694" s="3">
        <v>1011</v>
      </c>
      <c r="J694" s="3">
        <v>75</v>
      </c>
      <c r="K694" s="4">
        <v>44360</v>
      </c>
      <c r="L694" s="10">
        <v>350646.38829999999</v>
      </c>
    </row>
    <row r="695" spans="1:12" x14ac:dyDescent="0.3">
      <c r="A695" s="2">
        <v>693</v>
      </c>
      <c r="B695" s="3" t="s">
        <v>19</v>
      </c>
      <c r="C695" s="3" t="s">
        <v>179</v>
      </c>
      <c r="D695" s="3" t="s">
        <v>14</v>
      </c>
      <c r="E695" s="3">
        <v>24928</v>
      </c>
      <c r="F695" s="3">
        <v>6</v>
      </c>
      <c r="G695" s="3">
        <v>83968</v>
      </c>
      <c r="H695" s="3" t="s">
        <v>15</v>
      </c>
      <c r="I695" s="3">
        <v>1108</v>
      </c>
      <c r="J695" s="3">
        <v>57</v>
      </c>
      <c r="K695" s="4">
        <v>44472</v>
      </c>
      <c r="L695" s="10">
        <v>299885.66519999999</v>
      </c>
    </row>
    <row r="696" spans="1:12" x14ac:dyDescent="0.3">
      <c r="A696" s="2">
        <v>694</v>
      </c>
      <c r="B696" s="3" t="s">
        <v>55</v>
      </c>
      <c r="C696" s="3" t="s">
        <v>66</v>
      </c>
      <c r="D696" s="3" t="s">
        <v>18</v>
      </c>
      <c r="E696" s="3">
        <v>22607</v>
      </c>
      <c r="F696" s="3">
        <v>2</v>
      </c>
      <c r="G696" s="3">
        <v>86384</v>
      </c>
      <c r="H696" s="3" t="s">
        <v>15</v>
      </c>
      <c r="I696" s="3">
        <v>2379</v>
      </c>
      <c r="J696" s="3">
        <v>83</v>
      </c>
      <c r="K696" s="4">
        <v>44199</v>
      </c>
      <c r="L696" s="10">
        <v>395651.91749999998</v>
      </c>
    </row>
    <row r="697" spans="1:12" x14ac:dyDescent="0.3">
      <c r="A697" s="2">
        <v>695</v>
      </c>
      <c r="B697" s="3" t="s">
        <v>37</v>
      </c>
      <c r="C697" s="3" t="s">
        <v>166</v>
      </c>
      <c r="D697" s="3" t="s">
        <v>18</v>
      </c>
      <c r="E697" s="3">
        <v>15871</v>
      </c>
      <c r="F697" s="3">
        <v>8</v>
      </c>
      <c r="G697" s="3">
        <v>93121</v>
      </c>
      <c r="H697" s="3" t="s">
        <v>21</v>
      </c>
      <c r="I697" s="3">
        <v>2129</v>
      </c>
      <c r="J697" s="3">
        <v>53</v>
      </c>
      <c r="K697" s="4">
        <v>43930</v>
      </c>
      <c r="L697" s="10">
        <v>368447.58929999999</v>
      </c>
    </row>
    <row r="698" spans="1:12" x14ac:dyDescent="0.3">
      <c r="A698" s="2">
        <v>696</v>
      </c>
      <c r="B698" s="3" t="s">
        <v>16</v>
      </c>
      <c r="C698" s="3" t="s">
        <v>17</v>
      </c>
      <c r="D698" s="3" t="s">
        <v>18</v>
      </c>
      <c r="E698" s="3">
        <v>17370</v>
      </c>
      <c r="F698" s="3">
        <v>6</v>
      </c>
      <c r="G698" s="3">
        <v>88580</v>
      </c>
      <c r="H698" s="3" t="s">
        <v>15</v>
      </c>
      <c r="I698" s="3">
        <v>2615</v>
      </c>
      <c r="J698" s="3">
        <v>48</v>
      </c>
      <c r="K698" s="4">
        <v>44952</v>
      </c>
      <c r="L698" s="10">
        <v>372360.07500000001</v>
      </c>
    </row>
    <row r="699" spans="1:12" x14ac:dyDescent="0.3">
      <c r="A699" s="2">
        <v>697</v>
      </c>
      <c r="B699" s="3" t="s">
        <v>19</v>
      </c>
      <c r="C699" s="3" t="s">
        <v>129</v>
      </c>
      <c r="D699" s="3" t="s">
        <v>14</v>
      </c>
      <c r="E699" s="3">
        <v>18298</v>
      </c>
      <c r="F699" s="3">
        <v>7</v>
      </c>
      <c r="G699" s="3">
        <v>72259</v>
      </c>
      <c r="H699" s="3" t="s">
        <v>15</v>
      </c>
      <c r="I699" s="3">
        <v>2748</v>
      </c>
      <c r="J699" s="3">
        <v>52</v>
      </c>
      <c r="K699" s="4">
        <v>44683</v>
      </c>
      <c r="L699" s="10">
        <v>325921.16360000003</v>
      </c>
    </row>
    <row r="700" spans="1:12" x14ac:dyDescent="0.3">
      <c r="A700" s="2">
        <v>698</v>
      </c>
      <c r="B700" s="3" t="s">
        <v>31</v>
      </c>
      <c r="C700" s="3" t="s">
        <v>170</v>
      </c>
      <c r="D700" s="3" t="s">
        <v>14</v>
      </c>
      <c r="E700" s="3">
        <v>16253</v>
      </c>
      <c r="F700" s="3">
        <v>0</v>
      </c>
      <c r="G700" s="3">
        <v>78985</v>
      </c>
      <c r="H700" s="3" t="s">
        <v>23</v>
      </c>
      <c r="I700" s="3">
        <v>2098</v>
      </c>
      <c r="J700" s="3">
        <v>44</v>
      </c>
      <c r="K700" s="4">
        <v>45406</v>
      </c>
      <c r="L700" s="10">
        <v>319831.24329999997</v>
      </c>
    </row>
    <row r="701" spans="1:12" x14ac:dyDescent="0.3">
      <c r="A701" s="2">
        <v>699</v>
      </c>
      <c r="B701" s="3" t="s">
        <v>12</v>
      </c>
      <c r="C701" s="3" t="s">
        <v>95</v>
      </c>
      <c r="D701" s="3" t="s">
        <v>14</v>
      </c>
      <c r="E701" s="3">
        <v>16741</v>
      </c>
      <c r="F701" s="3">
        <v>1</v>
      </c>
      <c r="G701" s="3">
        <v>97378</v>
      </c>
      <c r="H701" s="3" t="s">
        <v>23</v>
      </c>
      <c r="I701" s="3">
        <v>2354</v>
      </c>
      <c r="J701" s="3">
        <v>98</v>
      </c>
      <c r="K701" s="4">
        <v>45265</v>
      </c>
      <c r="L701" s="10">
        <v>364547.27250000002</v>
      </c>
    </row>
    <row r="702" spans="1:12" x14ac:dyDescent="0.3">
      <c r="A702" s="2">
        <v>700</v>
      </c>
      <c r="B702" s="3" t="s">
        <v>108</v>
      </c>
      <c r="C702" s="3" t="s">
        <v>117</v>
      </c>
      <c r="D702" s="3" t="s">
        <v>18</v>
      </c>
      <c r="E702" s="3">
        <v>28828</v>
      </c>
      <c r="F702" s="3">
        <v>8</v>
      </c>
      <c r="G702" s="3">
        <v>69093</v>
      </c>
      <c r="H702" s="3" t="s">
        <v>23</v>
      </c>
      <c r="I702" s="3">
        <v>1005</v>
      </c>
      <c r="J702" s="3">
        <v>78</v>
      </c>
      <c r="K702" s="4">
        <v>45033</v>
      </c>
      <c r="L702" s="10">
        <v>389494.27590000001</v>
      </c>
    </row>
    <row r="703" spans="1:12" x14ac:dyDescent="0.3">
      <c r="A703" s="2">
        <v>701</v>
      </c>
      <c r="B703" s="3" t="s">
        <v>40</v>
      </c>
      <c r="C703" s="3" t="s">
        <v>210</v>
      </c>
      <c r="D703" s="3" t="s">
        <v>14</v>
      </c>
      <c r="E703" s="3">
        <v>18861</v>
      </c>
      <c r="F703" s="3">
        <v>5</v>
      </c>
      <c r="G703" s="3">
        <v>75551</v>
      </c>
      <c r="H703" s="3" t="s">
        <v>21</v>
      </c>
      <c r="I703" s="3">
        <v>1921</v>
      </c>
      <c r="J703" s="3">
        <v>92</v>
      </c>
      <c r="K703" s="4">
        <v>44578</v>
      </c>
      <c r="L703" s="10">
        <v>338523.23879999999</v>
      </c>
    </row>
    <row r="704" spans="1:12" x14ac:dyDescent="0.3">
      <c r="A704" s="2">
        <v>702</v>
      </c>
      <c r="B704" s="3" t="s">
        <v>28</v>
      </c>
      <c r="C704" s="3" t="s">
        <v>181</v>
      </c>
      <c r="D704" s="3" t="s">
        <v>14</v>
      </c>
      <c r="E704" s="3">
        <v>16897</v>
      </c>
      <c r="F704" s="3">
        <v>3</v>
      </c>
      <c r="G704" s="3">
        <v>98311</v>
      </c>
      <c r="H704" s="3" t="s">
        <v>21</v>
      </c>
      <c r="I704" s="3">
        <v>1172</v>
      </c>
      <c r="J704" s="3">
        <v>32</v>
      </c>
      <c r="K704" s="4">
        <v>45010</v>
      </c>
      <c r="L704" s="10">
        <v>324879.77230000001</v>
      </c>
    </row>
    <row r="705" spans="1:12" x14ac:dyDescent="0.3">
      <c r="A705" s="2">
        <v>703</v>
      </c>
      <c r="B705" s="3" t="s">
        <v>31</v>
      </c>
      <c r="C705" s="3" t="s">
        <v>63</v>
      </c>
      <c r="D705" s="3" t="s">
        <v>18</v>
      </c>
      <c r="E705" s="3">
        <v>731</v>
      </c>
      <c r="F705" s="3">
        <v>7</v>
      </c>
      <c r="G705" s="3">
        <v>65861</v>
      </c>
      <c r="H705" s="3" t="s">
        <v>21</v>
      </c>
      <c r="I705" s="3">
        <v>2969</v>
      </c>
      <c r="J705" s="3">
        <v>92</v>
      </c>
      <c r="K705" s="4">
        <v>43843</v>
      </c>
      <c r="L705" s="10">
        <v>411981.05190000002</v>
      </c>
    </row>
    <row r="706" spans="1:12" x14ac:dyDescent="0.3">
      <c r="A706" s="2">
        <v>704</v>
      </c>
      <c r="B706" s="3" t="s">
        <v>55</v>
      </c>
      <c r="C706" s="3" t="s">
        <v>66</v>
      </c>
      <c r="D706" s="3" t="s">
        <v>14</v>
      </c>
      <c r="E706" s="3">
        <v>23267</v>
      </c>
      <c r="F706" s="3">
        <v>1</v>
      </c>
      <c r="G706" s="3">
        <v>67790</v>
      </c>
      <c r="H706" s="3" t="s">
        <v>23</v>
      </c>
      <c r="I706" s="3">
        <v>2282</v>
      </c>
      <c r="J706" s="3">
        <v>20</v>
      </c>
      <c r="K706" s="4">
        <v>45209</v>
      </c>
      <c r="L706" s="10">
        <v>353468.48499999999</v>
      </c>
    </row>
    <row r="707" spans="1:12" x14ac:dyDescent="0.3">
      <c r="A707" s="2">
        <v>705</v>
      </c>
      <c r="B707" s="3" t="s">
        <v>12</v>
      </c>
      <c r="C707" s="3" t="s">
        <v>173</v>
      </c>
      <c r="D707" s="3" t="s">
        <v>14</v>
      </c>
      <c r="E707" s="3">
        <v>29388</v>
      </c>
      <c r="F707" s="3">
        <v>9</v>
      </c>
      <c r="G707" s="3">
        <v>72226</v>
      </c>
      <c r="H707" s="3" t="s">
        <v>15</v>
      </c>
      <c r="I707" s="3">
        <v>1378</v>
      </c>
      <c r="J707" s="3">
        <v>36</v>
      </c>
      <c r="K707" s="4">
        <v>44074</v>
      </c>
      <c r="L707" s="10">
        <v>310100.6655</v>
      </c>
    </row>
    <row r="708" spans="1:12" x14ac:dyDescent="0.3">
      <c r="A708" s="2">
        <v>706</v>
      </c>
      <c r="B708" s="3" t="s">
        <v>55</v>
      </c>
      <c r="C708" s="3" t="s">
        <v>169</v>
      </c>
      <c r="D708" s="3" t="s">
        <v>14</v>
      </c>
      <c r="E708" s="3">
        <v>23039</v>
      </c>
      <c r="F708" s="3">
        <v>3</v>
      </c>
      <c r="G708" s="3">
        <v>94481</v>
      </c>
      <c r="H708" s="3" t="s">
        <v>15</v>
      </c>
      <c r="I708" s="3">
        <v>2385</v>
      </c>
      <c r="J708" s="3">
        <v>62</v>
      </c>
      <c r="K708" s="4">
        <v>45353</v>
      </c>
      <c r="L708" s="10">
        <v>345803.0673</v>
      </c>
    </row>
    <row r="709" spans="1:12" x14ac:dyDescent="0.3">
      <c r="A709" s="2">
        <v>707</v>
      </c>
      <c r="B709" s="3" t="s">
        <v>55</v>
      </c>
      <c r="C709" s="3" t="s">
        <v>169</v>
      </c>
      <c r="D709" s="3" t="s">
        <v>14</v>
      </c>
      <c r="E709" s="3">
        <v>8202</v>
      </c>
      <c r="F709" s="3">
        <v>7</v>
      </c>
      <c r="G709" s="3">
        <v>78618</v>
      </c>
      <c r="H709" s="3" t="s">
        <v>15</v>
      </c>
      <c r="I709" s="3">
        <v>1579</v>
      </c>
      <c r="J709" s="3">
        <v>38</v>
      </c>
      <c r="K709" s="4">
        <v>44183</v>
      </c>
      <c r="L709" s="10">
        <v>297004.90259999997</v>
      </c>
    </row>
    <row r="710" spans="1:12" x14ac:dyDescent="0.3">
      <c r="A710" s="2">
        <v>708</v>
      </c>
      <c r="B710" s="3" t="s">
        <v>26</v>
      </c>
      <c r="C710" s="3" t="s">
        <v>159</v>
      </c>
      <c r="D710" s="3" t="s">
        <v>18</v>
      </c>
      <c r="E710" s="3">
        <v>9467</v>
      </c>
      <c r="F710" s="3">
        <v>5</v>
      </c>
      <c r="G710" s="3">
        <v>58397</v>
      </c>
      <c r="H710" s="3" t="s">
        <v>23</v>
      </c>
      <c r="I710" s="3">
        <v>1723</v>
      </c>
      <c r="J710" s="3">
        <v>74</v>
      </c>
      <c r="K710" s="4">
        <v>44357</v>
      </c>
      <c r="L710" s="10">
        <v>408675.06839999999</v>
      </c>
    </row>
    <row r="711" spans="1:12" x14ac:dyDescent="0.3">
      <c r="A711" s="2">
        <v>709</v>
      </c>
      <c r="B711" s="3" t="s">
        <v>72</v>
      </c>
      <c r="C711" s="3" t="s">
        <v>147</v>
      </c>
      <c r="D711" s="3" t="s">
        <v>18</v>
      </c>
      <c r="E711" s="3">
        <v>16486</v>
      </c>
      <c r="F711" s="3">
        <v>4</v>
      </c>
      <c r="G711" s="3">
        <v>73387</v>
      </c>
      <c r="H711" s="3" t="s">
        <v>23</v>
      </c>
      <c r="I711" s="3">
        <v>1136</v>
      </c>
      <c r="J711" s="3">
        <v>49</v>
      </c>
      <c r="K711" s="4">
        <v>44032</v>
      </c>
      <c r="L711" s="10">
        <v>386681.99080000003</v>
      </c>
    </row>
    <row r="712" spans="1:12" x14ac:dyDescent="0.3">
      <c r="A712" s="2">
        <v>710</v>
      </c>
      <c r="B712" s="3" t="s">
        <v>40</v>
      </c>
      <c r="C712" s="3" t="s">
        <v>103</v>
      </c>
      <c r="D712" s="3" t="s">
        <v>14</v>
      </c>
      <c r="E712" s="3">
        <v>8306</v>
      </c>
      <c r="F712" s="3">
        <v>3</v>
      </c>
      <c r="G712" s="3">
        <v>67891</v>
      </c>
      <c r="H712" s="3" t="s">
        <v>23</v>
      </c>
      <c r="I712" s="3">
        <v>2422</v>
      </c>
      <c r="J712" s="3">
        <v>91</v>
      </c>
      <c r="K712" s="4">
        <v>44254</v>
      </c>
      <c r="L712" s="10">
        <v>365786.88589999999</v>
      </c>
    </row>
    <row r="713" spans="1:12" x14ac:dyDescent="0.3">
      <c r="A713" s="2">
        <v>711</v>
      </c>
      <c r="B713" s="3" t="s">
        <v>72</v>
      </c>
      <c r="C713" s="3" t="s">
        <v>96</v>
      </c>
      <c r="D713" s="3" t="s">
        <v>18</v>
      </c>
      <c r="E713" s="3">
        <v>10898</v>
      </c>
      <c r="F713" s="3">
        <v>9</v>
      </c>
      <c r="G713" s="3">
        <v>59009</v>
      </c>
      <c r="H713" s="3" t="s">
        <v>15</v>
      </c>
      <c r="I713" s="3">
        <v>1480</v>
      </c>
      <c r="J713" s="3">
        <v>24</v>
      </c>
      <c r="K713" s="4">
        <v>45016</v>
      </c>
      <c r="L713" s="10">
        <v>338945.03649999999</v>
      </c>
    </row>
    <row r="714" spans="1:12" x14ac:dyDescent="0.3">
      <c r="A714" s="2">
        <v>712</v>
      </c>
      <c r="B714" s="3" t="s">
        <v>74</v>
      </c>
      <c r="C714" s="3" t="s">
        <v>221</v>
      </c>
      <c r="D714" s="3" t="s">
        <v>18</v>
      </c>
      <c r="E714" s="3">
        <v>20750</v>
      </c>
      <c r="F714" s="3">
        <v>4</v>
      </c>
      <c r="G714" s="3">
        <v>94279</v>
      </c>
      <c r="H714" s="3" t="s">
        <v>21</v>
      </c>
      <c r="I714" s="3">
        <v>1960</v>
      </c>
      <c r="J714" s="3">
        <v>63</v>
      </c>
      <c r="K714" s="4">
        <v>44956</v>
      </c>
      <c r="L714" s="10">
        <v>384618.8873</v>
      </c>
    </row>
    <row r="715" spans="1:12" x14ac:dyDescent="0.3">
      <c r="A715" s="2">
        <v>713</v>
      </c>
      <c r="B715" s="3" t="s">
        <v>24</v>
      </c>
      <c r="C715" s="3" t="s">
        <v>154</v>
      </c>
      <c r="D715" s="3" t="s">
        <v>14</v>
      </c>
      <c r="E715" s="3">
        <v>6991</v>
      </c>
      <c r="F715" s="3">
        <v>4</v>
      </c>
      <c r="G715" s="3">
        <v>72291</v>
      </c>
      <c r="H715" s="3" t="s">
        <v>15</v>
      </c>
      <c r="I715" s="3">
        <v>1982</v>
      </c>
      <c r="J715" s="3">
        <v>26</v>
      </c>
      <c r="K715" s="4">
        <v>44257</v>
      </c>
      <c r="L715" s="10">
        <v>317251.00910000002</v>
      </c>
    </row>
    <row r="716" spans="1:12" x14ac:dyDescent="0.3">
      <c r="A716" s="2">
        <v>714</v>
      </c>
      <c r="B716" s="3" t="s">
        <v>40</v>
      </c>
      <c r="C716" s="3" t="s">
        <v>42</v>
      </c>
      <c r="D716" s="3" t="s">
        <v>18</v>
      </c>
      <c r="E716" s="3">
        <v>14034</v>
      </c>
      <c r="F716" s="3">
        <v>4</v>
      </c>
      <c r="G716" s="3">
        <v>98667</v>
      </c>
      <c r="H716" s="3" t="s">
        <v>15</v>
      </c>
      <c r="I716" s="3">
        <v>2218</v>
      </c>
      <c r="J716" s="3">
        <v>56</v>
      </c>
      <c r="K716" s="4">
        <v>44973</v>
      </c>
      <c r="L716" s="10">
        <v>380058.22989999998</v>
      </c>
    </row>
    <row r="717" spans="1:12" x14ac:dyDescent="0.3">
      <c r="A717" s="2">
        <v>715</v>
      </c>
      <c r="B717" s="3" t="s">
        <v>26</v>
      </c>
      <c r="C717" s="3" t="s">
        <v>69</v>
      </c>
      <c r="D717" s="3" t="s">
        <v>14</v>
      </c>
      <c r="E717" s="3">
        <v>21244</v>
      </c>
      <c r="F717" s="3">
        <v>8</v>
      </c>
      <c r="G717" s="3">
        <v>50702</v>
      </c>
      <c r="H717" s="3" t="s">
        <v>15</v>
      </c>
      <c r="I717" s="3">
        <v>1457</v>
      </c>
      <c r="J717" s="3">
        <v>30</v>
      </c>
      <c r="K717" s="4">
        <v>44434</v>
      </c>
      <c r="L717" s="10">
        <v>290604.08960000001</v>
      </c>
    </row>
    <row r="718" spans="1:12" x14ac:dyDescent="0.3">
      <c r="A718" s="2">
        <v>716</v>
      </c>
      <c r="B718" s="3" t="s">
        <v>26</v>
      </c>
      <c r="C718" s="3" t="s">
        <v>47</v>
      </c>
      <c r="D718" s="3" t="s">
        <v>18</v>
      </c>
      <c r="E718" s="3">
        <v>16727</v>
      </c>
      <c r="F718" s="3">
        <v>6</v>
      </c>
      <c r="G718" s="3">
        <v>74519</v>
      </c>
      <c r="H718" s="3" t="s">
        <v>15</v>
      </c>
      <c r="I718" s="3">
        <v>1757</v>
      </c>
      <c r="J718" s="3">
        <v>56</v>
      </c>
      <c r="K718" s="4">
        <v>44163</v>
      </c>
      <c r="L718" s="10">
        <v>349887.50630000001</v>
      </c>
    </row>
    <row r="719" spans="1:12" x14ac:dyDescent="0.3">
      <c r="A719" s="2">
        <v>717</v>
      </c>
      <c r="B719" s="3" t="s">
        <v>74</v>
      </c>
      <c r="C719" s="3" t="s">
        <v>219</v>
      </c>
      <c r="D719" s="3" t="s">
        <v>14</v>
      </c>
      <c r="E719" s="3">
        <v>29842</v>
      </c>
      <c r="F719" s="3">
        <v>3</v>
      </c>
      <c r="G719" s="3">
        <v>79837</v>
      </c>
      <c r="H719" s="3" t="s">
        <v>21</v>
      </c>
      <c r="I719" s="3">
        <v>1316</v>
      </c>
      <c r="J719" s="3">
        <v>64</v>
      </c>
      <c r="K719" s="4">
        <v>45519</v>
      </c>
      <c r="L719" s="10">
        <v>338158.54109999997</v>
      </c>
    </row>
    <row r="720" spans="1:12" x14ac:dyDescent="0.3">
      <c r="A720" s="2">
        <v>718</v>
      </c>
      <c r="B720" s="3" t="s">
        <v>26</v>
      </c>
      <c r="C720" s="3" t="s">
        <v>69</v>
      </c>
      <c r="D720" s="3" t="s">
        <v>14</v>
      </c>
      <c r="E720" s="3">
        <v>16817</v>
      </c>
      <c r="F720" s="3">
        <v>8</v>
      </c>
      <c r="G720" s="3">
        <v>78431</v>
      </c>
      <c r="H720" s="3" t="s">
        <v>15</v>
      </c>
      <c r="I720" s="3">
        <v>1309</v>
      </c>
      <c r="J720" s="3">
        <v>31</v>
      </c>
      <c r="K720" s="4">
        <v>43916</v>
      </c>
      <c r="L720" s="10">
        <v>306723.77429999999</v>
      </c>
    </row>
    <row r="721" spans="1:12" x14ac:dyDescent="0.3">
      <c r="A721" s="2">
        <v>719</v>
      </c>
      <c r="B721" s="3" t="s">
        <v>28</v>
      </c>
      <c r="C721" s="3" t="s">
        <v>112</v>
      </c>
      <c r="D721" s="3" t="s">
        <v>18</v>
      </c>
      <c r="E721" s="3">
        <v>12671</v>
      </c>
      <c r="F721" s="3">
        <v>6</v>
      </c>
      <c r="G721" s="3">
        <v>92364</v>
      </c>
      <c r="H721" s="3" t="s">
        <v>15</v>
      </c>
      <c r="I721" s="3">
        <v>1088</v>
      </c>
      <c r="J721" s="3">
        <v>55</v>
      </c>
      <c r="K721" s="4">
        <v>43848</v>
      </c>
      <c r="L721" s="10">
        <v>309899.85940000002</v>
      </c>
    </row>
    <row r="722" spans="1:12" x14ac:dyDescent="0.3">
      <c r="A722" s="2">
        <v>720</v>
      </c>
      <c r="B722" s="3" t="s">
        <v>55</v>
      </c>
      <c r="C722" s="3" t="s">
        <v>105</v>
      </c>
      <c r="D722" s="3" t="s">
        <v>18</v>
      </c>
      <c r="E722" s="3">
        <v>8715</v>
      </c>
      <c r="F722" s="3">
        <v>6</v>
      </c>
      <c r="G722" s="3">
        <v>56461</v>
      </c>
      <c r="H722" s="3" t="s">
        <v>23</v>
      </c>
      <c r="I722" s="3">
        <v>1659</v>
      </c>
      <c r="J722" s="3">
        <v>46</v>
      </c>
      <c r="K722" s="4">
        <v>44838</v>
      </c>
      <c r="L722" s="10">
        <v>353517.0392</v>
      </c>
    </row>
    <row r="723" spans="1:12" x14ac:dyDescent="0.3">
      <c r="A723" s="2">
        <v>721</v>
      </c>
      <c r="B723" s="3" t="s">
        <v>31</v>
      </c>
      <c r="C723" s="3" t="s">
        <v>63</v>
      </c>
      <c r="D723" s="3" t="s">
        <v>14</v>
      </c>
      <c r="E723" s="3">
        <v>22476</v>
      </c>
      <c r="F723" s="3">
        <v>1</v>
      </c>
      <c r="G723" s="3">
        <v>96503</v>
      </c>
      <c r="H723" s="3" t="s">
        <v>15</v>
      </c>
      <c r="I723" s="3">
        <v>1670</v>
      </c>
      <c r="J723" s="3">
        <v>86</v>
      </c>
      <c r="K723" s="4">
        <v>44920</v>
      </c>
      <c r="L723" s="10">
        <v>345006.45730000001</v>
      </c>
    </row>
    <row r="724" spans="1:12" x14ac:dyDescent="0.3">
      <c r="A724" s="2">
        <v>722</v>
      </c>
      <c r="B724" s="3" t="s">
        <v>122</v>
      </c>
      <c r="C724" s="3" t="s">
        <v>222</v>
      </c>
      <c r="D724" s="3" t="s">
        <v>14</v>
      </c>
      <c r="E724" s="3">
        <v>12033</v>
      </c>
      <c r="F724" s="3">
        <v>2</v>
      </c>
      <c r="G724" s="3">
        <v>59827</v>
      </c>
      <c r="H724" s="3" t="s">
        <v>21</v>
      </c>
      <c r="I724" s="3">
        <v>1135</v>
      </c>
      <c r="J724" s="3">
        <v>24</v>
      </c>
      <c r="K724" s="4">
        <v>44687</v>
      </c>
      <c r="L724" s="10">
        <v>296579.1201</v>
      </c>
    </row>
    <row r="725" spans="1:12" x14ac:dyDescent="0.3">
      <c r="A725" s="2">
        <v>723</v>
      </c>
      <c r="B725" s="3" t="s">
        <v>40</v>
      </c>
      <c r="C725" s="3" t="s">
        <v>42</v>
      </c>
      <c r="D725" s="3" t="s">
        <v>18</v>
      </c>
      <c r="E725" s="3">
        <v>4722</v>
      </c>
      <c r="F725" s="3">
        <v>6</v>
      </c>
      <c r="G725" s="3">
        <v>70822</v>
      </c>
      <c r="H725" s="3" t="s">
        <v>21</v>
      </c>
      <c r="I725" s="3">
        <v>1487</v>
      </c>
      <c r="J725" s="3">
        <v>94</v>
      </c>
      <c r="K725" s="4">
        <v>44767</v>
      </c>
      <c r="L725" s="10">
        <v>352051.57980000001</v>
      </c>
    </row>
    <row r="726" spans="1:12" x14ac:dyDescent="0.3">
      <c r="A726" s="2">
        <v>724</v>
      </c>
      <c r="B726" s="3" t="s">
        <v>55</v>
      </c>
      <c r="C726" s="3" t="s">
        <v>175</v>
      </c>
      <c r="D726" s="3" t="s">
        <v>14</v>
      </c>
      <c r="E726" s="3">
        <v>3001</v>
      </c>
      <c r="F726" s="3">
        <v>2</v>
      </c>
      <c r="G726" s="3">
        <v>75127</v>
      </c>
      <c r="H726" s="3" t="s">
        <v>21</v>
      </c>
      <c r="I726" s="3">
        <v>2015</v>
      </c>
      <c r="J726" s="3">
        <v>94</v>
      </c>
      <c r="K726" s="4">
        <v>44252</v>
      </c>
      <c r="L726" s="10">
        <v>357462.64319999999</v>
      </c>
    </row>
    <row r="727" spans="1:12" x14ac:dyDescent="0.3">
      <c r="A727" s="2">
        <v>725</v>
      </c>
      <c r="B727" s="3" t="s">
        <v>44</v>
      </c>
      <c r="C727" s="3" t="s">
        <v>190</v>
      </c>
      <c r="D727" s="3" t="s">
        <v>14</v>
      </c>
      <c r="E727" s="3">
        <v>24293</v>
      </c>
      <c r="F727" s="3">
        <v>5</v>
      </c>
      <c r="G727" s="3">
        <v>70036</v>
      </c>
      <c r="H727" s="3" t="s">
        <v>21</v>
      </c>
      <c r="I727" s="3">
        <v>2452</v>
      </c>
      <c r="J727" s="3">
        <v>50</v>
      </c>
      <c r="K727" s="4">
        <v>44281</v>
      </c>
      <c r="L727" s="10">
        <v>329629.05829999998</v>
      </c>
    </row>
    <row r="728" spans="1:12" x14ac:dyDescent="0.3">
      <c r="A728" s="2">
        <v>726</v>
      </c>
      <c r="B728" s="3" t="s">
        <v>12</v>
      </c>
      <c r="C728" s="3" t="s">
        <v>196</v>
      </c>
      <c r="D728" s="3" t="s">
        <v>14</v>
      </c>
      <c r="E728" s="3">
        <v>7383</v>
      </c>
      <c r="F728" s="3">
        <v>6</v>
      </c>
      <c r="G728" s="3">
        <v>51764</v>
      </c>
      <c r="H728" s="3" t="s">
        <v>21</v>
      </c>
      <c r="I728" s="3">
        <v>1965</v>
      </c>
      <c r="J728" s="3">
        <v>60</v>
      </c>
      <c r="K728" s="4">
        <v>44632</v>
      </c>
      <c r="L728" s="10">
        <v>336845.13429999998</v>
      </c>
    </row>
    <row r="729" spans="1:12" x14ac:dyDescent="0.3">
      <c r="A729" s="2">
        <v>727</v>
      </c>
      <c r="B729" s="3" t="s">
        <v>122</v>
      </c>
      <c r="C729" s="3" t="s">
        <v>222</v>
      </c>
      <c r="D729" s="3" t="s">
        <v>18</v>
      </c>
      <c r="E729" s="3">
        <v>2096</v>
      </c>
      <c r="F729" s="3">
        <v>3</v>
      </c>
      <c r="G729" s="3">
        <v>89884</v>
      </c>
      <c r="H729" s="3" t="s">
        <v>21</v>
      </c>
      <c r="I729" s="3">
        <v>1827</v>
      </c>
      <c r="J729" s="3">
        <v>48</v>
      </c>
      <c r="K729" s="4">
        <v>44384</v>
      </c>
      <c r="L729" s="10">
        <v>382652.0405</v>
      </c>
    </row>
    <row r="730" spans="1:12" x14ac:dyDescent="0.3">
      <c r="A730" s="2">
        <v>728</v>
      </c>
      <c r="B730" s="3" t="s">
        <v>26</v>
      </c>
      <c r="C730" s="3" t="s">
        <v>27</v>
      </c>
      <c r="D730" s="3" t="s">
        <v>14</v>
      </c>
      <c r="E730" s="3">
        <v>19775</v>
      </c>
      <c r="F730" s="3">
        <v>8</v>
      </c>
      <c r="G730" s="3">
        <v>67500</v>
      </c>
      <c r="H730" s="3" t="s">
        <v>15</v>
      </c>
      <c r="I730" s="3">
        <v>2831</v>
      </c>
      <c r="J730" s="3">
        <v>67</v>
      </c>
      <c r="K730" s="4">
        <v>44047</v>
      </c>
      <c r="L730" s="10">
        <v>328395.63390000002</v>
      </c>
    </row>
    <row r="731" spans="1:12" x14ac:dyDescent="0.3">
      <c r="A731" s="2">
        <v>729</v>
      </c>
      <c r="B731" s="3" t="s">
        <v>24</v>
      </c>
      <c r="C731" s="3" t="s">
        <v>100</v>
      </c>
      <c r="D731" s="3" t="s">
        <v>14</v>
      </c>
      <c r="E731" s="3">
        <v>8309</v>
      </c>
      <c r="F731" s="3">
        <v>7</v>
      </c>
      <c r="G731" s="3">
        <v>71296</v>
      </c>
      <c r="H731" s="3" t="s">
        <v>21</v>
      </c>
      <c r="I731" s="3">
        <v>2990</v>
      </c>
      <c r="J731" s="3">
        <v>97</v>
      </c>
      <c r="K731" s="4">
        <v>43870</v>
      </c>
      <c r="L731" s="10">
        <v>364934.26939999999</v>
      </c>
    </row>
    <row r="732" spans="1:12" x14ac:dyDescent="0.3">
      <c r="A732" s="2">
        <v>730</v>
      </c>
      <c r="B732" s="3" t="s">
        <v>57</v>
      </c>
      <c r="C732" s="3" t="s">
        <v>116</v>
      </c>
      <c r="D732" s="3" t="s">
        <v>18</v>
      </c>
      <c r="E732" s="3">
        <v>21885</v>
      </c>
      <c r="F732" s="3">
        <v>3</v>
      </c>
      <c r="G732" s="3">
        <v>79679</v>
      </c>
      <c r="H732" s="3" t="s">
        <v>15</v>
      </c>
      <c r="I732" s="3">
        <v>2218</v>
      </c>
      <c r="J732" s="3">
        <v>55</v>
      </c>
      <c r="K732" s="4">
        <v>44385</v>
      </c>
      <c r="L732" s="10">
        <v>376913.29979999998</v>
      </c>
    </row>
    <row r="733" spans="1:12" x14ac:dyDescent="0.3">
      <c r="A733" s="2">
        <v>731</v>
      </c>
      <c r="B733" s="3" t="s">
        <v>122</v>
      </c>
      <c r="C733" s="3" t="s">
        <v>222</v>
      </c>
      <c r="D733" s="3" t="s">
        <v>14</v>
      </c>
      <c r="E733" s="3">
        <v>6871</v>
      </c>
      <c r="F733" s="3">
        <v>4</v>
      </c>
      <c r="G733" s="3">
        <v>57719</v>
      </c>
      <c r="H733" s="3" t="s">
        <v>15</v>
      </c>
      <c r="I733" s="3">
        <v>2107</v>
      </c>
      <c r="J733" s="3">
        <v>46</v>
      </c>
      <c r="K733" s="4">
        <v>44772</v>
      </c>
      <c r="L733" s="10">
        <v>312963.52350000001</v>
      </c>
    </row>
    <row r="734" spans="1:12" x14ac:dyDescent="0.3">
      <c r="A734" s="2">
        <v>732</v>
      </c>
      <c r="B734" s="3" t="s">
        <v>16</v>
      </c>
      <c r="C734" s="3" t="s">
        <v>51</v>
      </c>
      <c r="D734" s="3" t="s">
        <v>18</v>
      </c>
      <c r="E734" s="3">
        <v>29708</v>
      </c>
      <c r="F734" s="3">
        <v>9</v>
      </c>
      <c r="G734" s="3">
        <v>96908</v>
      </c>
      <c r="H734" s="3" t="s">
        <v>23</v>
      </c>
      <c r="I734" s="3">
        <v>1098</v>
      </c>
      <c r="J734" s="3">
        <v>49</v>
      </c>
      <c r="K734" s="4">
        <v>44527</v>
      </c>
      <c r="L734" s="10">
        <v>358652.58</v>
      </c>
    </row>
    <row r="735" spans="1:12" x14ac:dyDescent="0.3">
      <c r="A735" s="2">
        <v>733</v>
      </c>
      <c r="B735" s="3" t="s">
        <v>35</v>
      </c>
      <c r="C735" s="3" t="s">
        <v>192</v>
      </c>
      <c r="D735" s="3" t="s">
        <v>14</v>
      </c>
      <c r="E735" s="3">
        <v>9221</v>
      </c>
      <c r="F735" s="3">
        <v>4</v>
      </c>
      <c r="G735" s="3">
        <v>93305</v>
      </c>
      <c r="H735" s="3" t="s">
        <v>21</v>
      </c>
      <c r="I735" s="3">
        <v>1676</v>
      </c>
      <c r="J735" s="3">
        <v>52</v>
      </c>
      <c r="K735" s="4">
        <v>45302</v>
      </c>
      <c r="L735" s="10">
        <v>339012.5233</v>
      </c>
    </row>
    <row r="736" spans="1:12" x14ac:dyDescent="0.3">
      <c r="A736" s="2">
        <v>734</v>
      </c>
      <c r="B736" s="3" t="s">
        <v>55</v>
      </c>
      <c r="C736" s="3" t="s">
        <v>105</v>
      </c>
      <c r="D736" s="3" t="s">
        <v>18</v>
      </c>
      <c r="E736" s="3">
        <v>27282</v>
      </c>
      <c r="F736" s="3">
        <v>9</v>
      </c>
      <c r="G736" s="3">
        <v>62994</v>
      </c>
      <c r="H736" s="3" t="s">
        <v>23</v>
      </c>
      <c r="I736" s="3">
        <v>1280</v>
      </c>
      <c r="J736" s="3">
        <v>50</v>
      </c>
      <c r="K736" s="4">
        <v>44404</v>
      </c>
      <c r="L736" s="10">
        <v>377473.22200000001</v>
      </c>
    </row>
    <row r="737" spans="1:12" x14ac:dyDescent="0.3">
      <c r="A737" s="2">
        <v>735</v>
      </c>
      <c r="B737" s="3" t="s">
        <v>16</v>
      </c>
      <c r="C737" s="3" t="s">
        <v>87</v>
      </c>
      <c r="D737" s="3" t="s">
        <v>14</v>
      </c>
      <c r="E737" s="3">
        <v>8790</v>
      </c>
      <c r="F737" s="3">
        <v>5</v>
      </c>
      <c r="G737" s="3">
        <v>81819</v>
      </c>
      <c r="H737" s="3" t="s">
        <v>15</v>
      </c>
      <c r="I737" s="3">
        <v>1518</v>
      </c>
      <c r="J737" s="3">
        <v>93</v>
      </c>
      <c r="K737" s="4">
        <v>45222</v>
      </c>
      <c r="L737" s="10">
        <v>309331.7879</v>
      </c>
    </row>
    <row r="738" spans="1:12" x14ac:dyDescent="0.3">
      <c r="A738" s="2">
        <v>736</v>
      </c>
      <c r="B738" s="3" t="s">
        <v>28</v>
      </c>
      <c r="C738" s="3" t="s">
        <v>20</v>
      </c>
      <c r="D738" s="3" t="s">
        <v>14</v>
      </c>
      <c r="E738" s="3">
        <v>10495</v>
      </c>
      <c r="F738" s="3">
        <v>2</v>
      </c>
      <c r="G738" s="3">
        <v>89281</v>
      </c>
      <c r="H738" s="3" t="s">
        <v>15</v>
      </c>
      <c r="I738" s="3">
        <v>2294</v>
      </c>
      <c r="J738" s="3">
        <v>69</v>
      </c>
      <c r="K738" s="4">
        <v>45261</v>
      </c>
      <c r="L738" s="10">
        <v>339730.24310000002</v>
      </c>
    </row>
    <row r="739" spans="1:12" x14ac:dyDescent="0.3">
      <c r="A739" s="2">
        <v>737</v>
      </c>
      <c r="B739" s="3" t="s">
        <v>72</v>
      </c>
      <c r="C739" s="3" t="s">
        <v>145</v>
      </c>
      <c r="D739" s="3" t="s">
        <v>18</v>
      </c>
      <c r="E739" s="3">
        <v>7394</v>
      </c>
      <c r="F739" s="3">
        <v>2</v>
      </c>
      <c r="G739" s="3">
        <v>71600</v>
      </c>
      <c r="H739" s="3" t="s">
        <v>21</v>
      </c>
      <c r="I739" s="3">
        <v>1070</v>
      </c>
      <c r="J739" s="3">
        <v>88</v>
      </c>
      <c r="K739" s="4">
        <v>45119</v>
      </c>
      <c r="L739" s="10">
        <v>380827.42930000002</v>
      </c>
    </row>
    <row r="740" spans="1:12" x14ac:dyDescent="0.3">
      <c r="A740" s="2">
        <v>738</v>
      </c>
      <c r="B740" s="3" t="s">
        <v>57</v>
      </c>
      <c r="C740" s="3" t="s">
        <v>215</v>
      </c>
      <c r="D740" s="3" t="s">
        <v>14</v>
      </c>
      <c r="E740" s="3">
        <v>3333</v>
      </c>
      <c r="F740" s="3">
        <v>6</v>
      </c>
      <c r="G740" s="3">
        <v>65964</v>
      </c>
      <c r="H740" s="3" t="s">
        <v>21</v>
      </c>
      <c r="I740" s="3">
        <v>1417</v>
      </c>
      <c r="J740" s="3">
        <v>36</v>
      </c>
      <c r="K740" s="4">
        <v>44043</v>
      </c>
      <c r="L740" s="10">
        <v>316997.93560000003</v>
      </c>
    </row>
    <row r="741" spans="1:12" x14ac:dyDescent="0.3">
      <c r="A741" s="2">
        <v>739</v>
      </c>
      <c r="B741" s="3" t="s">
        <v>57</v>
      </c>
      <c r="C741" s="3" t="s">
        <v>162</v>
      </c>
      <c r="D741" s="3" t="s">
        <v>18</v>
      </c>
      <c r="E741" s="3">
        <v>14517</v>
      </c>
      <c r="F741" s="3">
        <v>4</v>
      </c>
      <c r="G741" s="3">
        <v>71979</v>
      </c>
      <c r="H741" s="3" t="s">
        <v>21</v>
      </c>
      <c r="I741" s="3">
        <v>1698</v>
      </c>
      <c r="J741" s="3">
        <v>25</v>
      </c>
      <c r="K741" s="4">
        <v>43849</v>
      </c>
      <c r="L741" s="10">
        <v>358657.60509999999</v>
      </c>
    </row>
    <row r="742" spans="1:12" x14ac:dyDescent="0.3">
      <c r="A742" s="2">
        <v>740</v>
      </c>
      <c r="B742" s="3" t="s">
        <v>122</v>
      </c>
      <c r="C742" s="3" t="s">
        <v>133</v>
      </c>
      <c r="D742" s="3" t="s">
        <v>14</v>
      </c>
      <c r="E742" s="3">
        <v>6533</v>
      </c>
      <c r="F742" s="3">
        <v>5</v>
      </c>
      <c r="G742" s="3">
        <v>64246</v>
      </c>
      <c r="H742" s="3" t="s">
        <v>15</v>
      </c>
      <c r="I742" s="3">
        <v>2246</v>
      </c>
      <c r="J742" s="3">
        <v>43</v>
      </c>
      <c r="K742" s="4">
        <v>44267</v>
      </c>
      <c r="L742" s="10">
        <v>318484.5013</v>
      </c>
    </row>
    <row r="743" spans="1:12" x14ac:dyDescent="0.3">
      <c r="A743" s="2">
        <v>741</v>
      </c>
      <c r="B743" s="3" t="s">
        <v>26</v>
      </c>
      <c r="C743" s="3" t="s">
        <v>69</v>
      </c>
      <c r="D743" s="3" t="s">
        <v>14</v>
      </c>
      <c r="E743" s="3">
        <v>10212</v>
      </c>
      <c r="F743" s="3">
        <v>7</v>
      </c>
      <c r="G743" s="3">
        <v>95644</v>
      </c>
      <c r="H743" s="3" t="s">
        <v>15</v>
      </c>
      <c r="I743" s="3">
        <v>2236</v>
      </c>
      <c r="J743" s="3">
        <v>73</v>
      </c>
      <c r="K743" s="4">
        <v>45517</v>
      </c>
      <c r="L743" s="10">
        <v>309152.25579999998</v>
      </c>
    </row>
    <row r="744" spans="1:12" x14ac:dyDescent="0.3">
      <c r="A744" s="2">
        <v>742</v>
      </c>
      <c r="B744" s="3" t="s">
        <v>44</v>
      </c>
      <c r="C744" s="3" t="s">
        <v>223</v>
      </c>
      <c r="D744" s="3" t="s">
        <v>14</v>
      </c>
      <c r="E744" s="3">
        <v>5632</v>
      </c>
      <c r="F744" s="3">
        <v>8</v>
      </c>
      <c r="G744" s="3">
        <v>83944</v>
      </c>
      <c r="H744" s="3" t="s">
        <v>15</v>
      </c>
      <c r="I744" s="3">
        <v>2494</v>
      </c>
      <c r="J744" s="3">
        <v>39</v>
      </c>
      <c r="K744" s="4">
        <v>45423</v>
      </c>
      <c r="L744" s="10">
        <v>308876.48080000002</v>
      </c>
    </row>
    <row r="745" spans="1:12" x14ac:dyDescent="0.3">
      <c r="A745" s="2">
        <v>743</v>
      </c>
      <c r="B745" s="3" t="s">
        <v>28</v>
      </c>
      <c r="C745" s="3" t="s">
        <v>181</v>
      </c>
      <c r="D745" s="3" t="s">
        <v>18</v>
      </c>
      <c r="E745" s="3">
        <v>25484</v>
      </c>
      <c r="F745" s="3">
        <v>1</v>
      </c>
      <c r="G745" s="3">
        <v>59389</v>
      </c>
      <c r="H745" s="3" t="s">
        <v>15</v>
      </c>
      <c r="I745" s="3">
        <v>1486</v>
      </c>
      <c r="J745" s="3">
        <v>99</v>
      </c>
      <c r="K745" s="4">
        <v>44073</v>
      </c>
      <c r="L745" s="10">
        <v>372259.82819999999</v>
      </c>
    </row>
    <row r="746" spans="1:12" x14ac:dyDescent="0.3">
      <c r="A746" s="2">
        <v>744</v>
      </c>
      <c r="B746" s="3" t="s">
        <v>19</v>
      </c>
      <c r="C746" s="3" t="s">
        <v>155</v>
      </c>
      <c r="D746" s="3" t="s">
        <v>18</v>
      </c>
      <c r="E746" s="3">
        <v>25544</v>
      </c>
      <c r="F746" s="3">
        <v>2</v>
      </c>
      <c r="G746" s="3">
        <v>56953</v>
      </c>
      <c r="H746" s="3" t="s">
        <v>15</v>
      </c>
      <c r="I746" s="3">
        <v>1543</v>
      </c>
      <c r="J746" s="3">
        <v>91</v>
      </c>
      <c r="K746" s="4">
        <v>43857</v>
      </c>
      <c r="L746" s="10">
        <v>368483.19179999997</v>
      </c>
    </row>
    <row r="747" spans="1:12" x14ac:dyDescent="0.3">
      <c r="A747" s="2">
        <v>745</v>
      </c>
      <c r="B747" s="3" t="s">
        <v>37</v>
      </c>
      <c r="C747" s="3" t="s">
        <v>61</v>
      </c>
      <c r="D747" s="3" t="s">
        <v>14</v>
      </c>
      <c r="E747" s="3">
        <v>5947</v>
      </c>
      <c r="F747" s="3">
        <v>1</v>
      </c>
      <c r="G747" s="3">
        <v>61181</v>
      </c>
      <c r="H747" s="3" t="s">
        <v>15</v>
      </c>
      <c r="I747" s="3">
        <v>2420</v>
      </c>
      <c r="J747" s="3">
        <v>83</v>
      </c>
      <c r="K747" s="4">
        <v>45221</v>
      </c>
      <c r="L747" s="10">
        <v>331710.8259</v>
      </c>
    </row>
    <row r="748" spans="1:12" x14ac:dyDescent="0.3">
      <c r="A748" s="2">
        <v>746</v>
      </c>
      <c r="B748" s="3" t="s">
        <v>12</v>
      </c>
      <c r="C748" s="3" t="s">
        <v>95</v>
      </c>
      <c r="D748" s="3" t="s">
        <v>14</v>
      </c>
      <c r="E748" s="3">
        <v>13874</v>
      </c>
      <c r="F748" s="3">
        <v>4</v>
      </c>
      <c r="G748" s="3">
        <v>61123</v>
      </c>
      <c r="H748" s="3" t="s">
        <v>15</v>
      </c>
      <c r="I748" s="3">
        <v>2642</v>
      </c>
      <c r="J748" s="3">
        <v>99</v>
      </c>
      <c r="K748" s="4">
        <v>45377</v>
      </c>
      <c r="L748" s="10">
        <v>346027.75390000001</v>
      </c>
    </row>
    <row r="749" spans="1:12" x14ac:dyDescent="0.3">
      <c r="A749" s="2">
        <v>747</v>
      </c>
      <c r="B749" s="3" t="s">
        <v>72</v>
      </c>
      <c r="C749" s="3" t="s">
        <v>160</v>
      </c>
      <c r="D749" s="3" t="s">
        <v>18</v>
      </c>
      <c r="E749" s="3">
        <v>8133</v>
      </c>
      <c r="F749" s="3">
        <v>7</v>
      </c>
      <c r="G749" s="3">
        <v>81625</v>
      </c>
      <c r="H749" s="3" t="s">
        <v>21</v>
      </c>
      <c r="I749" s="3">
        <v>2498</v>
      </c>
      <c r="J749" s="3">
        <v>65</v>
      </c>
      <c r="K749" s="4">
        <v>45334</v>
      </c>
      <c r="L749" s="10">
        <v>398689.91499999998</v>
      </c>
    </row>
    <row r="750" spans="1:12" x14ac:dyDescent="0.3">
      <c r="A750" s="2">
        <v>748</v>
      </c>
      <c r="B750" s="3" t="s">
        <v>72</v>
      </c>
      <c r="C750" s="3" t="s">
        <v>180</v>
      </c>
      <c r="D750" s="3" t="s">
        <v>14</v>
      </c>
      <c r="E750" s="3">
        <v>14928</v>
      </c>
      <c r="F750" s="3">
        <v>9</v>
      </c>
      <c r="G750" s="3">
        <v>91434</v>
      </c>
      <c r="H750" s="3" t="s">
        <v>21</v>
      </c>
      <c r="I750" s="3">
        <v>2422</v>
      </c>
      <c r="J750" s="3">
        <v>31</v>
      </c>
      <c r="K750" s="4">
        <v>44484</v>
      </c>
      <c r="L750" s="10">
        <v>332704.87349999999</v>
      </c>
    </row>
    <row r="751" spans="1:12" x14ac:dyDescent="0.3">
      <c r="A751" s="2">
        <v>749</v>
      </c>
      <c r="B751" s="3" t="s">
        <v>35</v>
      </c>
      <c r="C751" s="3" t="s">
        <v>148</v>
      </c>
      <c r="D751" s="3" t="s">
        <v>14</v>
      </c>
      <c r="E751" s="3">
        <v>24891</v>
      </c>
      <c r="F751" s="3">
        <v>5</v>
      </c>
      <c r="G751" s="3">
        <v>90407</v>
      </c>
      <c r="H751" s="3" t="s">
        <v>21</v>
      </c>
      <c r="I751" s="3">
        <v>2706</v>
      </c>
      <c r="J751" s="3">
        <v>65</v>
      </c>
      <c r="K751" s="4">
        <v>44429</v>
      </c>
      <c r="L751" s="10">
        <v>356227.93670000002</v>
      </c>
    </row>
    <row r="752" spans="1:12" x14ac:dyDescent="0.3">
      <c r="A752" s="2">
        <v>750</v>
      </c>
      <c r="B752" s="3" t="s">
        <v>108</v>
      </c>
      <c r="C752" s="3" t="s">
        <v>224</v>
      </c>
      <c r="D752" s="3" t="s">
        <v>18</v>
      </c>
      <c r="E752" s="3">
        <v>26706</v>
      </c>
      <c r="F752" s="3">
        <v>1</v>
      </c>
      <c r="G752" s="3">
        <v>74151</v>
      </c>
      <c r="H752" s="3" t="s">
        <v>23</v>
      </c>
      <c r="I752" s="3">
        <v>2404</v>
      </c>
      <c r="J752" s="3">
        <v>98</v>
      </c>
      <c r="K752" s="4">
        <v>45238</v>
      </c>
      <c r="L752" s="10">
        <v>398795.90179999999</v>
      </c>
    </row>
    <row r="753" spans="1:12" x14ac:dyDescent="0.3">
      <c r="A753" s="2">
        <v>751</v>
      </c>
      <c r="B753" s="3" t="s">
        <v>19</v>
      </c>
      <c r="C753" s="3" t="s">
        <v>60</v>
      </c>
      <c r="D753" s="3" t="s">
        <v>14</v>
      </c>
      <c r="E753" s="3">
        <v>27511</v>
      </c>
      <c r="F753" s="3">
        <v>0</v>
      </c>
      <c r="G753" s="3">
        <v>83766</v>
      </c>
      <c r="H753" s="3" t="s">
        <v>15</v>
      </c>
      <c r="I753" s="3">
        <v>1586</v>
      </c>
      <c r="J753" s="3">
        <v>90</v>
      </c>
      <c r="K753" s="4">
        <v>44576</v>
      </c>
      <c r="L753" s="10">
        <v>327645.16100000002</v>
      </c>
    </row>
    <row r="754" spans="1:12" x14ac:dyDescent="0.3">
      <c r="A754" s="2">
        <v>752</v>
      </c>
      <c r="B754" s="3" t="s">
        <v>31</v>
      </c>
      <c r="C754" s="3" t="s">
        <v>170</v>
      </c>
      <c r="D754" s="3" t="s">
        <v>18</v>
      </c>
      <c r="E754" s="3">
        <v>25081</v>
      </c>
      <c r="F754" s="3">
        <v>6</v>
      </c>
      <c r="G754" s="3">
        <v>63312</v>
      </c>
      <c r="H754" s="3" t="s">
        <v>15</v>
      </c>
      <c r="I754" s="3">
        <v>2533</v>
      </c>
      <c r="J754" s="3">
        <v>34</v>
      </c>
      <c r="K754" s="4">
        <v>44649</v>
      </c>
      <c r="L754" s="10">
        <v>383732.41960000002</v>
      </c>
    </row>
    <row r="755" spans="1:12" x14ac:dyDescent="0.3">
      <c r="A755" s="2">
        <v>753</v>
      </c>
      <c r="B755" s="3" t="s">
        <v>122</v>
      </c>
      <c r="C755" s="3" t="s">
        <v>98</v>
      </c>
      <c r="D755" s="3" t="s">
        <v>18</v>
      </c>
      <c r="E755" s="3">
        <v>12120</v>
      </c>
      <c r="F755" s="3">
        <v>3</v>
      </c>
      <c r="G755" s="3">
        <v>51629</v>
      </c>
      <c r="H755" s="3" t="s">
        <v>21</v>
      </c>
      <c r="I755" s="3">
        <v>2342</v>
      </c>
      <c r="J755" s="3">
        <v>89</v>
      </c>
      <c r="K755" s="4">
        <v>44716</v>
      </c>
      <c r="L755" s="10">
        <v>386755.8702</v>
      </c>
    </row>
    <row r="756" spans="1:12" x14ac:dyDescent="0.3">
      <c r="A756" s="2">
        <v>754</v>
      </c>
      <c r="B756" s="3" t="s">
        <v>122</v>
      </c>
      <c r="C756" s="3" t="s">
        <v>194</v>
      </c>
      <c r="D756" s="3" t="s">
        <v>14</v>
      </c>
      <c r="E756" s="3">
        <v>25799</v>
      </c>
      <c r="F756" s="3">
        <v>8</v>
      </c>
      <c r="G756" s="3">
        <v>73579</v>
      </c>
      <c r="H756" s="3" t="s">
        <v>23</v>
      </c>
      <c r="I756" s="3">
        <v>1968</v>
      </c>
      <c r="J756" s="3">
        <v>75</v>
      </c>
      <c r="K756" s="4">
        <v>44909</v>
      </c>
      <c r="L756" s="10">
        <v>356763.43190000003</v>
      </c>
    </row>
    <row r="757" spans="1:12" x14ac:dyDescent="0.3">
      <c r="A757" s="2">
        <v>755</v>
      </c>
      <c r="B757" s="3" t="s">
        <v>31</v>
      </c>
      <c r="C757" s="3" t="s">
        <v>170</v>
      </c>
      <c r="D757" s="3" t="s">
        <v>18</v>
      </c>
      <c r="E757" s="3">
        <v>23262</v>
      </c>
      <c r="F757" s="3">
        <v>5</v>
      </c>
      <c r="G757" s="3">
        <v>53237</v>
      </c>
      <c r="H757" s="3" t="s">
        <v>15</v>
      </c>
      <c r="I757" s="3">
        <v>1136</v>
      </c>
      <c r="J757" s="3">
        <v>48</v>
      </c>
      <c r="K757" s="4">
        <v>45004</v>
      </c>
      <c r="L757" s="10">
        <v>326319.21230000001</v>
      </c>
    </row>
    <row r="758" spans="1:12" x14ac:dyDescent="0.3">
      <c r="A758" s="2">
        <v>756</v>
      </c>
      <c r="B758" s="3" t="s">
        <v>122</v>
      </c>
      <c r="C758" s="3" t="s">
        <v>137</v>
      </c>
      <c r="D758" s="3" t="s">
        <v>18</v>
      </c>
      <c r="E758" s="3">
        <v>11583</v>
      </c>
      <c r="F758" s="3">
        <v>5</v>
      </c>
      <c r="G758" s="3">
        <v>94189</v>
      </c>
      <c r="H758" s="3" t="s">
        <v>23</v>
      </c>
      <c r="I758" s="3">
        <v>2693</v>
      </c>
      <c r="J758" s="3">
        <v>78</v>
      </c>
      <c r="K758" s="4">
        <v>44729</v>
      </c>
      <c r="L758" s="10">
        <v>387833.63170000003</v>
      </c>
    </row>
    <row r="759" spans="1:12" x14ac:dyDescent="0.3">
      <c r="A759" s="2">
        <v>757</v>
      </c>
      <c r="B759" s="3" t="s">
        <v>26</v>
      </c>
      <c r="C759" s="3" t="s">
        <v>69</v>
      </c>
      <c r="D759" s="3" t="s">
        <v>18</v>
      </c>
      <c r="E759" s="3">
        <v>15482</v>
      </c>
      <c r="F759" s="3">
        <v>4</v>
      </c>
      <c r="G759" s="3">
        <v>95792</v>
      </c>
      <c r="H759" s="3" t="s">
        <v>21</v>
      </c>
      <c r="I759" s="3">
        <v>2742</v>
      </c>
      <c r="J759" s="3">
        <v>54</v>
      </c>
      <c r="K759" s="4">
        <v>43983</v>
      </c>
      <c r="L759" s="10">
        <v>420092.35649999999</v>
      </c>
    </row>
    <row r="760" spans="1:12" x14ac:dyDescent="0.3">
      <c r="A760" s="2">
        <v>758</v>
      </c>
      <c r="B760" s="3" t="s">
        <v>37</v>
      </c>
      <c r="C760" s="3" t="s">
        <v>61</v>
      </c>
      <c r="D760" s="3" t="s">
        <v>14</v>
      </c>
      <c r="E760" s="3">
        <v>17625</v>
      </c>
      <c r="F760" s="3">
        <v>6</v>
      </c>
      <c r="G760" s="3">
        <v>72597</v>
      </c>
      <c r="H760" s="3" t="s">
        <v>23</v>
      </c>
      <c r="I760" s="3">
        <v>2631</v>
      </c>
      <c r="J760" s="3">
        <v>40</v>
      </c>
      <c r="K760" s="4">
        <v>44107</v>
      </c>
      <c r="L760" s="10">
        <v>366183.6923</v>
      </c>
    </row>
    <row r="761" spans="1:12" x14ac:dyDescent="0.3">
      <c r="A761" s="2">
        <v>759</v>
      </c>
      <c r="B761" s="3" t="s">
        <v>33</v>
      </c>
      <c r="C761" s="3" t="s">
        <v>91</v>
      </c>
      <c r="D761" s="3" t="s">
        <v>18</v>
      </c>
      <c r="E761" s="3">
        <v>23430</v>
      </c>
      <c r="F761" s="3">
        <v>6</v>
      </c>
      <c r="G761" s="3">
        <v>84059</v>
      </c>
      <c r="H761" s="3" t="s">
        <v>23</v>
      </c>
      <c r="I761" s="3">
        <v>2907</v>
      </c>
      <c r="J761" s="3">
        <v>32</v>
      </c>
      <c r="K761" s="4">
        <v>44289</v>
      </c>
      <c r="L761" s="10">
        <v>384341.65419999999</v>
      </c>
    </row>
    <row r="762" spans="1:12" x14ac:dyDescent="0.3">
      <c r="A762" s="2">
        <v>760</v>
      </c>
      <c r="B762" s="3" t="s">
        <v>53</v>
      </c>
      <c r="C762" s="3" t="s">
        <v>149</v>
      </c>
      <c r="D762" s="3" t="s">
        <v>14</v>
      </c>
      <c r="E762" s="3">
        <v>4907</v>
      </c>
      <c r="F762" s="3">
        <v>8</v>
      </c>
      <c r="G762" s="3">
        <v>73104</v>
      </c>
      <c r="H762" s="3" t="s">
        <v>15</v>
      </c>
      <c r="I762" s="3">
        <v>1616</v>
      </c>
      <c r="J762" s="3">
        <v>52</v>
      </c>
      <c r="K762" s="4">
        <v>43963</v>
      </c>
      <c r="L762" s="10">
        <v>279734.84840000002</v>
      </c>
    </row>
    <row r="763" spans="1:12" x14ac:dyDescent="0.3">
      <c r="A763" s="2">
        <v>761</v>
      </c>
      <c r="B763" s="3" t="s">
        <v>31</v>
      </c>
      <c r="C763" s="3" t="s">
        <v>81</v>
      </c>
      <c r="D763" s="3" t="s">
        <v>18</v>
      </c>
      <c r="E763" s="3">
        <v>10319</v>
      </c>
      <c r="F763" s="3">
        <v>8</v>
      </c>
      <c r="G763" s="3">
        <v>69413</v>
      </c>
      <c r="H763" s="3" t="s">
        <v>23</v>
      </c>
      <c r="I763" s="3">
        <v>2040</v>
      </c>
      <c r="J763" s="3">
        <v>42</v>
      </c>
      <c r="K763" s="4">
        <v>44394</v>
      </c>
      <c r="L763" s="10">
        <v>385472.68229999999</v>
      </c>
    </row>
    <row r="764" spans="1:12" x14ac:dyDescent="0.3">
      <c r="A764" s="2">
        <v>762</v>
      </c>
      <c r="B764" s="3" t="s">
        <v>35</v>
      </c>
      <c r="C764" s="3" t="s">
        <v>139</v>
      </c>
      <c r="D764" s="3" t="s">
        <v>18</v>
      </c>
      <c r="E764" s="3">
        <v>14040</v>
      </c>
      <c r="F764" s="3">
        <v>7</v>
      </c>
      <c r="G764" s="3">
        <v>70811</v>
      </c>
      <c r="H764" s="3" t="s">
        <v>15</v>
      </c>
      <c r="I764" s="3">
        <v>1366</v>
      </c>
      <c r="J764" s="3">
        <v>82</v>
      </c>
      <c r="K764" s="4">
        <v>44460</v>
      </c>
      <c r="L764" s="10">
        <v>353900.74680000002</v>
      </c>
    </row>
    <row r="765" spans="1:12" x14ac:dyDescent="0.3">
      <c r="A765" s="2">
        <v>763</v>
      </c>
      <c r="B765" s="3" t="s">
        <v>44</v>
      </c>
      <c r="C765" s="3" t="s">
        <v>223</v>
      </c>
      <c r="D765" s="3" t="s">
        <v>18</v>
      </c>
      <c r="E765" s="3">
        <v>22521</v>
      </c>
      <c r="F765" s="3">
        <v>1</v>
      </c>
      <c r="G765" s="3">
        <v>75502</v>
      </c>
      <c r="H765" s="3" t="s">
        <v>23</v>
      </c>
      <c r="I765" s="3">
        <v>1572</v>
      </c>
      <c r="J765" s="3">
        <v>52</v>
      </c>
      <c r="K765" s="4">
        <v>45400</v>
      </c>
      <c r="L765" s="10">
        <v>340511.93790000002</v>
      </c>
    </row>
    <row r="766" spans="1:12" x14ac:dyDescent="0.3">
      <c r="A766" s="2">
        <v>764</v>
      </c>
      <c r="B766" s="3" t="s">
        <v>26</v>
      </c>
      <c r="C766" s="3" t="s">
        <v>64</v>
      </c>
      <c r="D766" s="3" t="s">
        <v>18</v>
      </c>
      <c r="E766" s="3">
        <v>27843</v>
      </c>
      <c r="F766" s="3">
        <v>8</v>
      </c>
      <c r="G766" s="3">
        <v>63641</v>
      </c>
      <c r="H766" s="3" t="s">
        <v>21</v>
      </c>
      <c r="I766" s="3">
        <v>2025</v>
      </c>
      <c r="J766" s="3">
        <v>67</v>
      </c>
      <c r="K766" s="4">
        <v>44627</v>
      </c>
      <c r="L766" s="10">
        <v>385936.20250000001</v>
      </c>
    </row>
    <row r="767" spans="1:12" x14ac:dyDescent="0.3">
      <c r="A767" s="2">
        <v>765</v>
      </c>
      <c r="B767" s="3" t="s">
        <v>31</v>
      </c>
      <c r="C767" s="3" t="s">
        <v>172</v>
      </c>
      <c r="D767" s="3" t="s">
        <v>14</v>
      </c>
      <c r="E767" s="3">
        <v>11410</v>
      </c>
      <c r="F767" s="3">
        <v>7</v>
      </c>
      <c r="G767" s="3">
        <v>84637</v>
      </c>
      <c r="H767" s="3" t="s">
        <v>21</v>
      </c>
      <c r="I767" s="3">
        <v>1384</v>
      </c>
      <c r="J767" s="3">
        <v>67</v>
      </c>
      <c r="K767" s="4">
        <v>44856</v>
      </c>
      <c r="L767" s="10">
        <v>328610.84039999999</v>
      </c>
    </row>
    <row r="768" spans="1:12" x14ac:dyDescent="0.3">
      <c r="A768" s="2">
        <v>766</v>
      </c>
      <c r="B768" s="3" t="s">
        <v>72</v>
      </c>
      <c r="C768" s="3" t="s">
        <v>73</v>
      </c>
      <c r="D768" s="3" t="s">
        <v>14</v>
      </c>
      <c r="E768" s="3">
        <v>26204</v>
      </c>
      <c r="F768" s="3">
        <v>3</v>
      </c>
      <c r="G768" s="3">
        <v>93087</v>
      </c>
      <c r="H768" s="3" t="s">
        <v>23</v>
      </c>
      <c r="I768" s="3">
        <v>2651</v>
      </c>
      <c r="J768" s="3">
        <v>82</v>
      </c>
      <c r="K768" s="4">
        <v>44494</v>
      </c>
      <c r="L768" s="10">
        <v>357564.99969999999</v>
      </c>
    </row>
    <row r="769" spans="1:12" x14ac:dyDescent="0.3">
      <c r="A769" s="2">
        <v>767</v>
      </c>
      <c r="B769" s="3" t="s">
        <v>28</v>
      </c>
      <c r="C769" s="3" t="s">
        <v>49</v>
      </c>
      <c r="D769" s="3" t="s">
        <v>18</v>
      </c>
      <c r="E769" s="3">
        <v>15906</v>
      </c>
      <c r="F769" s="3">
        <v>9</v>
      </c>
      <c r="G769" s="3">
        <v>81021</v>
      </c>
      <c r="H769" s="3" t="s">
        <v>23</v>
      </c>
      <c r="I769" s="3">
        <v>1912</v>
      </c>
      <c r="J769" s="3">
        <v>71</v>
      </c>
      <c r="K769" s="4">
        <v>44593</v>
      </c>
      <c r="L769" s="10">
        <v>379967.88949999999</v>
      </c>
    </row>
    <row r="770" spans="1:12" x14ac:dyDescent="0.3">
      <c r="A770" s="2">
        <v>768</v>
      </c>
      <c r="B770" s="3" t="s">
        <v>19</v>
      </c>
      <c r="C770" s="3" t="s">
        <v>199</v>
      </c>
      <c r="D770" s="3" t="s">
        <v>18</v>
      </c>
      <c r="E770" s="3">
        <v>12543</v>
      </c>
      <c r="F770" s="3">
        <v>7</v>
      </c>
      <c r="G770" s="3">
        <v>80895</v>
      </c>
      <c r="H770" s="3" t="s">
        <v>23</v>
      </c>
      <c r="I770" s="3">
        <v>2863</v>
      </c>
      <c r="J770" s="3">
        <v>74</v>
      </c>
      <c r="K770" s="4">
        <v>43888</v>
      </c>
      <c r="L770" s="10">
        <v>392577.98690000002</v>
      </c>
    </row>
    <row r="771" spans="1:12" x14ac:dyDescent="0.3">
      <c r="A771" s="2">
        <v>769</v>
      </c>
      <c r="B771" s="3" t="s">
        <v>72</v>
      </c>
      <c r="C771" s="3" t="s">
        <v>73</v>
      </c>
      <c r="D771" s="3" t="s">
        <v>18</v>
      </c>
      <c r="E771" s="3">
        <v>23493</v>
      </c>
      <c r="F771" s="3">
        <v>2</v>
      </c>
      <c r="G771" s="3">
        <v>52940</v>
      </c>
      <c r="H771" s="3" t="s">
        <v>21</v>
      </c>
      <c r="I771" s="3">
        <v>1718</v>
      </c>
      <c r="J771" s="3">
        <v>87</v>
      </c>
      <c r="K771" s="4">
        <v>44203</v>
      </c>
      <c r="L771" s="10">
        <v>393140.76299999998</v>
      </c>
    </row>
    <row r="772" spans="1:12" x14ac:dyDescent="0.3">
      <c r="A772" s="2">
        <v>770</v>
      </c>
      <c r="B772" s="3" t="s">
        <v>55</v>
      </c>
      <c r="C772" s="3" t="s">
        <v>66</v>
      </c>
      <c r="D772" s="3" t="s">
        <v>18</v>
      </c>
      <c r="E772" s="3">
        <v>16331</v>
      </c>
      <c r="F772" s="3">
        <v>7</v>
      </c>
      <c r="G772" s="3">
        <v>97209</v>
      </c>
      <c r="H772" s="3" t="s">
        <v>23</v>
      </c>
      <c r="I772" s="3">
        <v>2807</v>
      </c>
      <c r="J772" s="3">
        <v>20</v>
      </c>
      <c r="K772" s="4">
        <v>44672</v>
      </c>
      <c r="L772" s="10">
        <v>389036.96149999998</v>
      </c>
    </row>
    <row r="773" spans="1:12" x14ac:dyDescent="0.3">
      <c r="A773" s="2">
        <v>771</v>
      </c>
      <c r="B773" s="3" t="s">
        <v>31</v>
      </c>
      <c r="C773" s="3" t="s">
        <v>63</v>
      </c>
      <c r="D773" s="3" t="s">
        <v>14</v>
      </c>
      <c r="E773" s="3">
        <v>2872</v>
      </c>
      <c r="F773" s="3">
        <v>2</v>
      </c>
      <c r="G773" s="3">
        <v>54377</v>
      </c>
      <c r="H773" s="3" t="s">
        <v>15</v>
      </c>
      <c r="I773" s="3">
        <v>2549</v>
      </c>
      <c r="J773" s="3">
        <v>70</v>
      </c>
      <c r="K773" s="4">
        <v>45261</v>
      </c>
      <c r="L773" s="10">
        <v>330593.13410000002</v>
      </c>
    </row>
    <row r="774" spans="1:12" x14ac:dyDescent="0.3">
      <c r="A774" s="2">
        <v>772</v>
      </c>
      <c r="B774" s="3" t="s">
        <v>29</v>
      </c>
      <c r="C774" s="3" t="s">
        <v>164</v>
      </c>
      <c r="D774" s="3" t="s">
        <v>18</v>
      </c>
      <c r="E774" s="3">
        <v>8750</v>
      </c>
      <c r="F774" s="3">
        <v>4</v>
      </c>
      <c r="G774" s="3">
        <v>90811</v>
      </c>
      <c r="H774" s="3" t="s">
        <v>21</v>
      </c>
      <c r="I774" s="3">
        <v>1152</v>
      </c>
      <c r="J774" s="3">
        <v>76</v>
      </c>
      <c r="K774" s="4">
        <v>45375</v>
      </c>
      <c r="L774" s="10">
        <v>390012.43060000002</v>
      </c>
    </row>
    <row r="775" spans="1:12" x14ac:dyDescent="0.3">
      <c r="A775" s="2">
        <v>773</v>
      </c>
      <c r="B775" s="3" t="s">
        <v>28</v>
      </c>
      <c r="C775" s="3" t="s">
        <v>49</v>
      </c>
      <c r="D775" s="3" t="s">
        <v>14</v>
      </c>
      <c r="E775" s="3">
        <v>22065</v>
      </c>
      <c r="F775" s="3">
        <v>4</v>
      </c>
      <c r="G775" s="3">
        <v>68462</v>
      </c>
      <c r="H775" s="3" t="s">
        <v>15</v>
      </c>
      <c r="I775" s="3">
        <v>1270</v>
      </c>
      <c r="J775" s="3">
        <v>50</v>
      </c>
      <c r="K775" s="4">
        <v>45215</v>
      </c>
      <c r="L775" s="10">
        <v>317987.61820000003</v>
      </c>
    </row>
    <row r="776" spans="1:12" x14ac:dyDescent="0.3">
      <c r="A776" s="2">
        <v>774</v>
      </c>
      <c r="B776" s="3" t="s">
        <v>74</v>
      </c>
      <c r="C776" s="3" t="s">
        <v>75</v>
      </c>
      <c r="D776" s="3" t="s">
        <v>18</v>
      </c>
      <c r="E776" s="3">
        <v>15171</v>
      </c>
      <c r="F776" s="3">
        <v>4</v>
      </c>
      <c r="G776" s="3">
        <v>72370</v>
      </c>
      <c r="H776" s="3" t="s">
        <v>15</v>
      </c>
      <c r="I776" s="3">
        <v>1262</v>
      </c>
      <c r="J776" s="3">
        <v>50</v>
      </c>
      <c r="K776" s="4">
        <v>45369</v>
      </c>
      <c r="L776" s="10">
        <v>368033.71879999997</v>
      </c>
    </row>
    <row r="777" spans="1:12" x14ac:dyDescent="0.3">
      <c r="A777" s="2">
        <v>775</v>
      </c>
      <c r="B777" s="3" t="s">
        <v>31</v>
      </c>
      <c r="C777" s="3" t="s">
        <v>146</v>
      </c>
      <c r="D777" s="3" t="s">
        <v>18</v>
      </c>
      <c r="E777" s="3">
        <v>25473</v>
      </c>
      <c r="F777" s="3">
        <v>1</v>
      </c>
      <c r="G777" s="3">
        <v>52828</v>
      </c>
      <c r="H777" s="3" t="s">
        <v>15</v>
      </c>
      <c r="I777" s="3">
        <v>2854</v>
      </c>
      <c r="J777" s="3">
        <v>44</v>
      </c>
      <c r="K777" s="4">
        <v>45130</v>
      </c>
      <c r="L777" s="10">
        <v>396355.66389999999</v>
      </c>
    </row>
    <row r="778" spans="1:12" x14ac:dyDescent="0.3">
      <c r="A778" s="2">
        <v>776</v>
      </c>
      <c r="B778" s="3" t="s">
        <v>53</v>
      </c>
      <c r="C778" s="3" t="s">
        <v>225</v>
      </c>
      <c r="D778" s="3" t="s">
        <v>14</v>
      </c>
      <c r="E778" s="3">
        <v>29381</v>
      </c>
      <c r="F778" s="3">
        <v>3</v>
      </c>
      <c r="G778" s="3">
        <v>54164</v>
      </c>
      <c r="H778" s="3" t="s">
        <v>21</v>
      </c>
      <c r="I778" s="3">
        <v>1670</v>
      </c>
      <c r="J778" s="3">
        <v>90</v>
      </c>
      <c r="K778" s="4">
        <v>44247</v>
      </c>
      <c r="L778" s="10">
        <v>341750.01360000001</v>
      </c>
    </row>
    <row r="779" spans="1:12" x14ac:dyDescent="0.3">
      <c r="A779" s="2">
        <v>777</v>
      </c>
      <c r="B779" s="3" t="s">
        <v>44</v>
      </c>
      <c r="C779" s="3" t="s">
        <v>111</v>
      </c>
      <c r="D779" s="3" t="s">
        <v>14</v>
      </c>
      <c r="E779" s="3">
        <v>1103</v>
      </c>
      <c r="F779" s="3">
        <v>4</v>
      </c>
      <c r="G779" s="3">
        <v>97490</v>
      </c>
      <c r="H779" s="3" t="s">
        <v>15</v>
      </c>
      <c r="I779" s="3">
        <v>2371</v>
      </c>
      <c r="J779" s="3">
        <v>83</v>
      </c>
      <c r="K779" s="4">
        <v>44673</v>
      </c>
      <c r="L779" s="10">
        <v>332481.09570000001</v>
      </c>
    </row>
    <row r="780" spans="1:12" x14ac:dyDescent="0.3">
      <c r="A780" s="2">
        <v>778</v>
      </c>
      <c r="B780" s="3" t="s">
        <v>26</v>
      </c>
      <c r="C780" s="3" t="s">
        <v>69</v>
      </c>
      <c r="D780" s="3" t="s">
        <v>18</v>
      </c>
      <c r="E780" s="3">
        <v>28293</v>
      </c>
      <c r="F780" s="3">
        <v>4</v>
      </c>
      <c r="G780" s="3">
        <v>73643</v>
      </c>
      <c r="H780" s="3" t="s">
        <v>23</v>
      </c>
      <c r="I780" s="3">
        <v>1283</v>
      </c>
      <c r="J780" s="3">
        <v>85</v>
      </c>
      <c r="K780" s="4">
        <v>44278</v>
      </c>
      <c r="L780" s="10">
        <v>391447.0613</v>
      </c>
    </row>
    <row r="781" spans="1:12" x14ac:dyDescent="0.3">
      <c r="A781" s="2">
        <v>779</v>
      </c>
      <c r="B781" s="3" t="s">
        <v>57</v>
      </c>
      <c r="C781" s="3" t="s">
        <v>215</v>
      </c>
      <c r="D781" s="3" t="s">
        <v>18</v>
      </c>
      <c r="E781" s="3">
        <v>14855</v>
      </c>
      <c r="F781" s="3">
        <v>1</v>
      </c>
      <c r="G781" s="3">
        <v>92118</v>
      </c>
      <c r="H781" s="3" t="s">
        <v>21</v>
      </c>
      <c r="I781" s="3">
        <v>2999</v>
      </c>
      <c r="J781" s="3">
        <v>92</v>
      </c>
      <c r="K781" s="4">
        <v>44757</v>
      </c>
      <c r="L781" s="10">
        <v>423943.13750000001</v>
      </c>
    </row>
    <row r="782" spans="1:12" x14ac:dyDescent="0.3">
      <c r="A782" s="2">
        <v>780</v>
      </c>
      <c r="B782" s="3" t="s">
        <v>44</v>
      </c>
      <c r="C782" s="3" t="s">
        <v>82</v>
      </c>
      <c r="D782" s="3" t="s">
        <v>18</v>
      </c>
      <c r="E782" s="3">
        <v>16744</v>
      </c>
      <c r="F782" s="3">
        <v>8</v>
      </c>
      <c r="G782" s="3">
        <v>89896</v>
      </c>
      <c r="H782" s="3" t="s">
        <v>23</v>
      </c>
      <c r="I782" s="3">
        <v>1079</v>
      </c>
      <c r="J782" s="3">
        <v>66</v>
      </c>
      <c r="K782" s="4">
        <v>44176</v>
      </c>
      <c r="L782" s="10">
        <v>330048.95620000002</v>
      </c>
    </row>
    <row r="783" spans="1:12" x14ac:dyDescent="0.3">
      <c r="A783" s="2">
        <v>781</v>
      </c>
      <c r="B783" s="3" t="s">
        <v>31</v>
      </c>
      <c r="C783" s="3" t="s">
        <v>186</v>
      </c>
      <c r="D783" s="3" t="s">
        <v>14</v>
      </c>
      <c r="E783" s="3">
        <v>17712</v>
      </c>
      <c r="F783" s="3">
        <v>6</v>
      </c>
      <c r="G783" s="3">
        <v>88982</v>
      </c>
      <c r="H783" s="3" t="s">
        <v>23</v>
      </c>
      <c r="I783" s="3">
        <v>2885</v>
      </c>
      <c r="J783" s="3">
        <v>73</v>
      </c>
      <c r="K783" s="4">
        <v>44398</v>
      </c>
      <c r="L783" s="10">
        <v>365507.83110000001</v>
      </c>
    </row>
    <row r="784" spans="1:12" x14ac:dyDescent="0.3">
      <c r="A784" s="2">
        <v>782</v>
      </c>
      <c r="B784" s="3" t="s">
        <v>74</v>
      </c>
      <c r="C784" s="3" t="s">
        <v>106</v>
      </c>
      <c r="D784" s="3" t="s">
        <v>14</v>
      </c>
      <c r="E784" s="3">
        <v>21258</v>
      </c>
      <c r="F784" s="3">
        <v>8</v>
      </c>
      <c r="G784" s="3">
        <v>70337</v>
      </c>
      <c r="H784" s="3" t="s">
        <v>15</v>
      </c>
      <c r="I784" s="3">
        <v>1524</v>
      </c>
      <c r="J784" s="3">
        <v>48</v>
      </c>
      <c r="K784" s="4">
        <v>44386</v>
      </c>
      <c r="L784" s="10">
        <v>314537.91200000001</v>
      </c>
    </row>
    <row r="785" spans="1:12" x14ac:dyDescent="0.3">
      <c r="A785" s="2">
        <v>783</v>
      </c>
      <c r="B785" s="3" t="s">
        <v>33</v>
      </c>
      <c r="C785" s="3" t="s">
        <v>79</v>
      </c>
      <c r="D785" s="3" t="s">
        <v>18</v>
      </c>
      <c r="E785" s="3">
        <v>24803</v>
      </c>
      <c r="F785" s="3">
        <v>0</v>
      </c>
      <c r="G785" s="3">
        <v>88967</v>
      </c>
      <c r="H785" s="3" t="s">
        <v>21</v>
      </c>
      <c r="I785" s="3">
        <v>2807</v>
      </c>
      <c r="J785" s="3">
        <v>33</v>
      </c>
      <c r="K785" s="4">
        <v>44841</v>
      </c>
      <c r="L785" s="10">
        <v>429602.98139999999</v>
      </c>
    </row>
    <row r="786" spans="1:12" x14ac:dyDescent="0.3">
      <c r="A786" s="2">
        <v>784</v>
      </c>
      <c r="B786" s="3" t="s">
        <v>29</v>
      </c>
      <c r="C786" s="3" t="s">
        <v>107</v>
      </c>
      <c r="D786" s="3" t="s">
        <v>18</v>
      </c>
      <c r="E786" s="3">
        <v>17300</v>
      </c>
      <c r="F786" s="3">
        <v>3</v>
      </c>
      <c r="G786" s="3">
        <v>99358</v>
      </c>
      <c r="H786" s="3" t="s">
        <v>21</v>
      </c>
      <c r="I786" s="3">
        <v>1816</v>
      </c>
      <c r="J786" s="3">
        <v>85</v>
      </c>
      <c r="K786" s="4">
        <v>44857</v>
      </c>
      <c r="L786" s="10">
        <v>429178.15649999998</v>
      </c>
    </row>
    <row r="787" spans="1:12" x14ac:dyDescent="0.3">
      <c r="A787" s="2">
        <v>785</v>
      </c>
      <c r="B787" s="3" t="s">
        <v>72</v>
      </c>
      <c r="C787" s="3" t="s">
        <v>151</v>
      </c>
      <c r="D787" s="3" t="s">
        <v>14</v>
      </c>
      <c r="E787" s="3">
        <v>16258</v>
      </c>
      <c r="F787" s="3">
        <v>8</v>
      </c>
      <c r="G787" s="3">
        <v>82873</v>
      </c>
      <c r="H787" s="3" t="s">
        <v>21</v>
      </c>
      <c r="I787" s="3">
        <v>2462</v>
      </c>
      <c r="J787" s="3">
        <v>59</v>
      </c>
      <c r="K787" s="4">
        <v>44727</v>
      </c>
      <c r="L787" s="10">
        <v>347808.91310000001</v>
      </c>
    </row>
    <row r="788" spans="1:12" x14ac:dyDescent="0.3">
      <c r="A788" s="2">
        <v>786</v>
      </c>
      <c r="B788" s="3" t="s">
        <v>108</v>
      </c>
      <c r="C788" s="3" t="s">
        <v>117</v>
      </c>
      <c r="D788" s="3" t="s">
        <v>14</v>
      </c>
      <c r="E788" s="3">
        <v>3029</v>
      </c>
      <c r="F788" s="3">
        <v>3</v>
      </c>
      <c r="G788" s="3">
        <v>78212</v>
      </c>
      <c r="H788" s="3" t="s">
        <v>21</v>
      </c>
      <c r="I788" s="3">
        <v>2536</v>
      </c>
      <c r="J788" s="3">
        <v>71</v>
      </c>
      <c r="K788" s="4">
        <v>44524</v>
      </c>
      <c r="L788" s="10">
        <v>342625.05050000001</v>
      </c>
    </row>
    <row r="789" spans="1:12" x14ac:dyDescent="0.3">
      <c r="A789" s="2">
        <v>787</v>
      </c>
      <c r="B789" s="3" t="s">
        <v>108</v>
      </c>
      <c r="C789" s="3" t="s">
        <v>214</v>
      </c>
      <c r="D789" s="3" t="s">
        <v>14</v>
      </c>
      <c r="E789" s="3">
        <v>19309</v>
      </c>
      <c r="F789" s="3">
        <v>2</v>
      </c>
      <c r="G789" s="3">
        <v>91669</v>
      </c>
      <c r="H789" s="3" t="s">
        <v>15</v>
      </c>
      <c r="I789" s="3">
        <v>1896</v>
      </c>
      <c r="J789" s="3">
        <v>50</v>
      </c>
      <c r="K789" s="4">
        <v>44641</v>
      </c>
      <c r="L789" s="10">
        <v>315432.94689999998</v>
      </c>
    </row>
    <row r="790" spans="1:12" x14ac:dyDescent="0.3">
      <c r="A790" s="2">
        <v>788</v>
      </c>
      <c r="B790" s="3" t="s">
        <v>28</v>
      </c>
      <c r="C790" s="3" t="s">
        <v>102</v>
      </c>
      <c r="D790" s="3" t="s">
        <v>18</v>
      </c>
      <c r="E790" s="3">
        <v>3899</v>
      </c>
      <c r="F790" s="3">
        <v>1</v>
      </c>
      <c r="G790" s="3">
        <v>93705</v>
      </c>
      <c r="H790" s="3" t="s">
        <v>21</v>
      </c>
      <c r="I790" s="3">
        <v>1301</v>
      </c>
      <c r="J790" s="3">
        <v>92</v>
      </c>
      <c r="K790" s="4">
        <v>45030</v>
      </c>
      <c r="L790" s="10">
        <v>354126.83919999999</v>
      </c>
    </row>
    <row r="791" spans="1:12" x14ac:dyDescent="0.3">
      <c r="A791" s="2">
        <v>789</v>
      </c>
      <c r="B791" s="3" t="s">
        <v>122</v>
      </c>
      <c r="C791" s="3" t="s">
        <v>123</v>
      </c>
      <c r="D791" s="3" t="s">
        <v>18</v>
      </c>
      <c r="E791" s="3">
        <v>18117</v>
      </c>
      <c r="F791" s="3">
        <v>8</v>
      </c>
      <c r="G791" s="3">
        <v>83725</v>
      </c>
      <c r="H791" s="3" t="s">
        <v>23</v>
      </c>
      <c r="I791" s="3">
        <v>2128</v>
      </c>
      <c r="J791" s="3">
        <v>99</v>
      </c>
      <c r="K791" s="4">
        <v>45446</v>
      </c>
      <c r="L791" s="10">
        <v>400028.47440000001</v>
      </c>
    </row>
    <row r="792" spans="1:12" x14ac:dyDescent="0.3">
      <c r="A792" s="2">
        <v>790</v>
      </c>
      <c r="B792" s="3" t="s">
        <v>19</v>
      </c>
      <c r="C792" s="3" t="s">
        <v>155</v>
      </c>
      <c r="D792" s="3" t="s">
        <v>18</v>
      </c>
      <c r="E792" s="3">
        <v>6819</v>
      </c>
      <c r="F792" s="3">
        <v>7</v>
      </c>
      <c r="G792" s="3">
        <v>89654</v>
      </c>
      <c r="H792" s="3" t="s">
        <v>15</v>
      </c>
      <c r="I792" s="3">
        <v>1794</v>
      </c>
      <c r="J792" s="3">
        <v>39</v>
      </c>
      <c r="K792" s="4">
        <v>44328</v>
      </c>
      <c r="L792" s="10">
        <v>354442.4215</v>
      </c>
    </row>
    <row r="793" spans="1:12" x14ac:dyDescent="0.3">
      <c r="A793" s="2">
        <v>791</v>
      </c>
      <c r="B793" s="3" t="s">
        <v>74</v>
      </c>
      <c r="C793" s="3" t="s">
        <v>106</v>
      </c>
      <c r="D793" s="3" t="s">
        <v>18</v>
      </c>
      <c r="E793" s="3">
        <v>12995</v>
      </c>
      <c r="F793" s="3">
        <v>4</v>
      </c>
      <c r="G793" s="3">
        <v>76790</v>
      </c>
      <c r="H793" s="3" t="s">
        <v>23</v>
      </c>
      <c r="I793" s="3">
        <v>2755</v>
      </c>
      <c r="J793" s="3">
        <v>51</v>
      </c>
      <c r="K793" s="4">
        <v>45474</v>
      </c>
      <c r="L793" s="10">
        <v>398933.19390000001</v>
      </c>
    </row>
    <row r="794" spans="1:12" x14ac:dyDescent="0.3">
      <c r="A794" s="2">
        <v>792</v>
      </c>
      <c r="B794" s="3" t="s">
        <v>33</v>
      </c>
      <c r="C794" s="3" t="s">
        <v>198</v>
      </c>
      <c r="D794" s="3" t="s">
        <v>14</v>
      </c>
      <c r="E794" s="3">
        <v>16444</v>
      </c>
      <c r="F794" s="3">
        <v>9</v>
      </c>
      <c r="G794" s="3">
        <v>92423</v>
      </c>
      <c r="H794" s="3" t="s">
        <v>23</v>
      </c>
      <c r="I794" s="3">
        <v>1267</v>
      </c>
      <c r="J794" s="3">
        <v>49</v>
      </c>
      <c r="K794" s="4">
        <v>44285</v>
      </c>
      <c r="L794" s="10">
        <v>313342.80660000001</v>
      </c>
    </row>
    <row r="795" spans="1:12" x14ac:dyDescent="0.3">
      <c r="A795" s="2">
        <v>793</v>
      </c>
      <c r="B795" s="3" t="s">
        <v>74</v>
      </c>
      <c r="C795" s="3" t="s">
        <v>75</v>
      </c>
      <c r="D795" s="3" t="s">
        <v>14</v>
      </c>
      <c r="E795" s="3">
        <v>18283</v>
      </c>
      <c r="F795" s="3">
        <v>2</v>
      </c>
      <c r="G795" s="3">
        <v>64809</v>
      </c>
      <c r="H795" s="3" t="s">
        <v>21</v>
      </c>
      <c r="I795" s="3">
        <v>1192</v>
      </c>
      <c r="J795" s="3">
        <v>98</v>
      </c>
      <c r="K795" s="4">
        <v>44611</v>
      </c>
      <c r="L795" s="10">
        <v>336791.08769999997</v>
      </c>
    </row>
    <row r="796" spans="1:12" x14ac:dyDescent="0.3">
      <c r="A796" s="2">
        <v>794</v>
      </c>
      <c r="B796" s="3" t="s">
        <v>55</v>
      </c>
      <c r="C796" s="3" t="s">
        <v>175</v>
      </c>
      <c r="D796" s="3" t="s">
        <v>14</v>
      </c>
      <c r="E796" s="3">
        <v>11749</v>
      </c>
      <c r="F796" s="3">
        <v>3</v>
      </c>
      <c r="G796" s="3">
        <v>77422</v>
      </c>
      <c r="H796" s="3" t="s">
        <v>21</v>
      </c>
      <c r="I796" s="3">
        <v>1130</v>
      </c>
      <c r="J796" s="3">
        <v>43</v>
      </c>
      <c r="K796" s="4">
        <v>45243</v>
      </c>
      <c r="L796" s="10">
        <v>328464.12599999999</v>
      </c>
    </row>
    <row r="797" spans="1:12" x14ac:dyDescent="0.3">
      <c r="A797" s="2">
        <v>795</v>
      </c>
      <c r="B797" s="3" t="s">
        <v>33</v>
      </c>
      <c r="C797" s="3" t="s">
        <v>91</v>
      </c>
      <c r="D797" s="3" t="s">
        <v>18</v>
      </c>
      <c r="E797" s="3">
        <v>7854</v>
      </c>
      <c r="F797" s="3">
        <v>4</v>
      </c>
      <c r="G797" s="3">
        <v>57742</v>
      </c>
      <c r="H797" s="3" t="s">
        <v>23</v>
      </c>
      <c r="I797" s="3">
        <v>1583</v>
      </c>
      <c r="J797" s="3">
        <v>74</v>
      </c>
      <c r="K797" s="4">
        <v>45286</v>
      </c>
      <c r="L797" s="10">
        <v>357505.91009999998</v>
      </c>
    </row>
    <row r="798" spans="1:12" x14ac:dyDescent="0.3">
      <c r="A798" s="2">
        <v>796</v>
      </c>
      <c r="B798" s="3" t="s">
        <v>31</v>
      </c>
      <c r="C798" s="3" t="s">
        <v>165</v>
      </c>
      <c r="D798" s="3" t="s">
        <v>18</v>
      </c>
      <c r="E798" s="3">
        <v>15607</v>
      </c>
      <c r="F798" s="3">
        <v>1</v>
      </c>
      <c r="G798" s="3">
        <v>56836</v>
      </c>
      <c r="H798" s="3" t="s">
        <v>23</v>
      </c>
      <c r="I798" s="3">
        <v>1853</v>
      </c>
      <c r="J798" s="3">
        <v>82</v>
      </c>
      <c r="K798" s="4">
        <v>44708</v>
      </c>
      <c r="L798" s="10">
        <v>378972.83889999997</v>
      </c>
    </row>
    <row r="799" spans="1:12" x14ac:dyDescent="0.3">
      <c r="A799" s="2">
        <v>797</v>
      </c>
      <c r="B799" s="3" t="s">
        <v>72</v>
      </c>
      <c r="C799" s="3" t="s">
        <v>147</v>
      </c>
      <c r="D799" s="3" t="s">
        <v>14</v>
      </c>
      <c r="E799" s="3">
        <v>11802</v>
      </c>
      <c r="F799" s="3">
        <v>3</v>
      </c>
      <c r="G799" s="3">
        <v>61296</v>
      </c>
      <c r="H799" s="3" t="s">
        <v>21</v>
      </c>
      <c r="I799" s="3">
        <v>2556</v>
      </c>
      <c r="J799" s="3">
        <v>66</v>
      </c>
      <c r="K799" s="4">
        <v>44857</v>
      </c>
      <c r="L799" s="10">
        <v>344927.24489999999</v>
      </c>
    </row>
    <row r="800" spans="1:12" x14ac:dyDescent="0.3">
      <c r="A800" s="2">
        <v>798</v>
      </c>
      <c r="B800" s="3" t="s">
        <v>33</v>
      </c>
      <c r="C800" s="3" t="s">
        <v>91</v>
      </c>
      <c r="D800" s="3" t="s">
        <v>14</v>
      </c>
      <c r="E800" s="3">
        <v>7097</v>
      </c>
      <c r="F800" s="3">
        <v>3</v>
      </c>
      <c r="G800" s="3">
        <v>86965</v>
      </c>
      <c r="H800" s="3" t="s">
        <v>21</v>
      </c>
      <c r="I800" s="3">
        <v>2796</v>
      </c>
      <c r="J800" s="3">
        <v>51</v>
      </c>
      <c r="K800" s="4">
        <v>44695</v>
      </c>
      <c r="L800" s="10">
        <v>352021.81479999999</v>
      </c>
    </row>
    <row r="801" spans="1:12" x14ac:dyDescent="0.3">
      <c r="A801" s="2">
        <v>799</v>
      </c>
      <c r="B801" s="3" t="s">
        <v>57</v>
      </c>
      <c r="C801" s="3" t="s">
        <v>116</v>
      </c>
      <c r="D801" s="3" t="s">
        <v>18</v>
      </c>
      <c r="E801" s="3">
        <v>23694</v>
      </c>
      <c r="F801" s="3">
        <v>6</v>
      </c>
      <c r="G801" s="3">
        <v>66029</v>
      </c>
      <c r="H801" s="3" t="s">
        <v>21</v>
      </c>
      <c r="I801" s="3">
        <v>2888</v>
      </c>
      <c r="J801" s="3">
        <v>60</v>
      </c>
      <c r="K801" s="4">
        <v>45123</v>
      </c>
      <c r="L801" s="10">
        <v>398833.5514</v>
      </c>
    </row>
    <row r="802" spans="1:12" x14ac:dyDescent="0.3">
      <c r="A802" s="2">
        <v>800</v>
      </c>
      <c r="B802" s="3" t="s">
        <v>35</v>
      </c>
      <c r="C802" s="3" t="s">
        <v>36</v>
      </c>
      <c r="D802" s="3" t="s">
        <v>14</v>
      </c>
      <c r="E802" s="3">
        <v>25857</v>
      </c>
      <c r="F802" s="3">
        <v>9</v>
      </c>
      <c r="G802" s="3">
        <v>86231</v>
      </c>
      <c r="H802" s="3" t="s">
        <v>23</v>
      </c>
      <c r="I802" s="3">
        <v>2620</v>
      </c>
      <c r="J802" s="3">
        <v>31</v>
      </c>
      <c r="K802" s="4">
        <v>45195</v>
      </c>
      <c r="L802" s="10">
        <v>355573.08020000003</v>
      </c>
    </row>
    <row r="803" spans="1:12" x14ac:dyDescent="0.3">
      <c r="A803" s="2">
        <v>801</v>
      </c>
      <c r="B803" s="3" t="s">
        <v>55</v>
      </c>
      <c r="C803" s="3" t="s">
        <v>67</v>
      </c>
      <c r="D803" s="3" t="s">
        <v>18</v>
      </c>
      <c r="E803" s="3">
        <v>1660</v>
      </c>
      <c r="F803" s="3">
        <v>3</v>
      </c>
      <c r="G803" s="3">
        <v>61573</v>
      </c>
      <c r="H803" s="3" t="s">
        <v>23</v>
      </c>
      <c r="I803" s="3">
        <v>1922</v>
      </c>
      <c r="J803" s="3">
        <v>44</v>
      </c>
      <c r="K803" s="4">
        <v>45197</v>
      </c>
      <c r="L803" s="10">
        <v>379093.08100000001</v>
      </c>
    </row>
    <row r="804" spans="1:12" x14ac:dyDescent="0.3">
      <c r="A804" s="2">
        <v>802</v>
      </c>
      <c r="B804" s="3" t="s">
        <v>72</v>
      </c>
      <c r="C804" s="3" t="s">
        <v>96</v>
      </c>
      <c r="D804" s="3" t="s">
        <v>18</v>
      </c>
      <c r="E804" s="3">
        <v>1340</v>
      </c>
      <c r="F804" s="3">
        <v>3</v>
      </c>
      <c r="G804" s="3">
        <v>89067</v>
      </c>
      <c r="H804" s="3" t="s">
        <v>23</v>
      </c>
      <c r="I804" s="3">
        <v>1451</v>
      </c>
      <c r="J804" s="3">
        <v>72</v>
      </c>
      <c r="K804" s="4">
        <v>45032</v>
      </c>
      <c r="L804" s="10">
        <v>361083.88549999997</v>
      </c>
    </row>
    <row r="805" spans="1:12" x14ac:dyDescent="0.3">
      <c r="A805" s="2">
        <v>803</v>
      </c>
      <c r="B805" s="3" t="s">
        <v>19</v>
      </c>
      <c r="C805" s="3" t="s">
        <v>216</v>
      </c>
      <c r="D805" s="3" t="s">
        <v>14</v>
      </c>
      <c r="E805" s="3">
        <v>3523</v>
      </c>
      <c r="F805" s="3">
        <v>7</v>
      </c>
      <c r="G805" s="3">
        <v>85391</v>
      </c>
      <c r="H805" s="3" t="s">
        <v>23</v>
      </c>
      <c r="I805" s="3">
        <v>1180</v>
      </c>
      <c r="J805" s="3">
        <v>84</v>
      </c>
      <c r="K805" s="4">
        <v>44623</v>
      </c>
      <c r="L805" s="10">
        <v>313922.26750000002</v>
      </c>
    </row>
    <row r="806" spans="1:12" x14ac:dyDescent="0.3">
      <c r="A806" s="2">
        <v>804</v>
      </c>
      <c r="B806" s="3" t="s">
        <v>40</v>
      </c>
      <c r="C806" s="3" t="s">
        <v>226</v>
      </c>
      <c r="D806" s="3" t="s">
        <v>14</v>
      </c>
      <c r="E806" s="3">
        <v>20358</v>
      </c>
      <c r="F806" s="3">
        <v>6</v>
      </c>
      <c r="G806" s="3">
        <v>56699</v>
      </c>
      <c r="H806" s="3" t="s">
        <v>15</v>
      </c>
      <c r="I806" s="3">
        <v>2236</v>
      </c>
      <c r="J806" s="3">
        <v>87</v>
      </c>
      <c r="K806" s="4">
        <v>44692</v>
      </c>
      <c r="L806" s="10">
        <v>344728.0588</v>
      </c>
    </row>
    <row r="807" spans="1:12" x14ac:dyDescent="0.3">
      <c r="A807" s="2">
        <v>805</v>
      </c>
      <c r="B807" s="3" t="s">
        <v>12</v>
      </c>
      <c r="C807" s="3" t="s">
        <v>13</v>
      </c>
      <c r="D807" s="3" t="s">
        <v>14</v>
      </c>
      <c r="E807" s="3">
        <v>6789</v>
      </c>
      <c r="F807" s="3">
        <v>2</v>
      </c>
      <c r="G807" s="3">
        <v>83246</v>
      </c>
      <c r="H807" s="3" t="s">
        <v>15</v>
      </c>
      <c r="I807" s="3">
        <v>1294</v>
      </c>
      <c r="J807" s="3">
        <v>98</v>
      </c>
      <c r="K807" s="4">
        <v>45385</v>
      </c>
      <c r="L807" s="10">
        <v>304477.35259999998</v>
      </c>
    </row>
    <row r="808" spans="1:12" x14ac:dyDescent="0.3">
      <c r="A808" s="2">
        <v>806</v>
      </c>
      <c r="B808" s="3" t="s">
        <v>122</v>
      </c>
      <c r="C808" s="3" t="s">
        <v>137</v>
      </c>
      <c r="D808" s="3" t="s">
        <v>14</v>
      </c>
      <c r="E808" s="3">
        <v>23776</v>
      </c>
      <c r="F808" s="3">
        <v>6</v>
      </c>
      <c r="G808" s="3">
        <v>93549</v>
      </c>
      <c r="H808" s="3" t="s">
        <v>23</v>
      </c>
      <c r="I808" s="3">
        <v>1353</v>
      </c>
      <c r="J808" s="3">
        <v>25</v>
      </c>
      <c r="K808" s="4">
        <v>45009</v>
      </c>
      <c r="L808" s="10">
        <v>314700.92139999999</v>
      </c>
    </row>
    <row r="809" spans="1:12" x14ac:dyDescent="0.3">
      <c r="A809" s="2">
        <v>807</v>
      </c>
      <c r="B809" s="3" t="s">
        <v>26</v>
      </c>
      <c r="C809" s="3" t="s">
        <v>67</v>
      </c>
      <c r="D809" s="3" t="s">
        <v>18</v>
      </c>
      <c r="E809" s="3">
        <v>26922</v>
      </c>
      <c r="F809" s="3">
        <v>8</v>
      </c>
      <c r="G809" s="3">
        <v>88802</v>
      </c>
      <c r="H809" s="3" t="s">
        <v>15</v>
      </c>
      <c r="I809" s="3">
        <v>2293</v>
      </c>
      <c r="J809" s="3">
        <v>39</v>
      </c>
      <c r="K809" s="4">
        <v>44129</v>
      </c>
      <c r="L809" s="10">
        <v>382954.07069999998</v>
      </c>
    </row>
    <row r="810" spans="1:12" x14ac:dyDescent="0.3">
      <c r="A810" s="2">
        <v>808</v>
      </c>
      <c r="B810" s="3" t="s">
        <v>40</v>
      </c>
      <c r="C810" s="3" t="s">
        <v>41</v>
      </c>
      <c r="D810" s="3" t="s">
        <v>18</v>
      </c>
      <c r="E810" s="3">
        <v>20633</v>
      </c>
      <c r="F810" s="3">
        <v>2</v>
      </c>
      <c r="G810" s="3">
        <v>50404</v>
      </c>
      <c r="H810" s="3" t="s">
        <v>15</v>
      </c>
      <c r="I810" s="3">
        <v>1339</v>
      </c>
      <c r="J810" s="3">
        <v>45</v>
      </c>
      <c r="K810" s="4">
        <v>45035</v>
      </c>
      <c r="L810" s="10">
        <v>343953.71870000003</v>
      </c>
    </row>
    <row r="811" spans="1:12" x14ac:dyDescent="0.3">
      <c r="A811" s="2">
        <v>809</v>
      </c>
      <c r="B811" s="3" t="s">
        <v>72</v>
      </c>
      <c r="C811" s="3" t="s">
        <v>167</v>
      </c>
      <c r="D811" s="3" t="s">
        <v>14</v>
      </c>
      <c r="E811" s="3">
        <v>5948</v>
      </c>
      <c r="F811" s="3">
        <v>3</v>
      </c>
      <c r="G811" s="3">
        <v>60821</v>
      </c>
      <c r="H811" s="3" t="s">
        <v>23</v>
      </c>
      <c r="I811" s="3">
        <v>2812</v>
      </c>
      <c r="J811" s="3">
        <v>41</v>
      </c>
      <c r="K811" s="4">
        <v>44485</v>
      </c>
      <c r="L811" s="10">
        <v>344530.72830000002</v>
      </c>
    </row>
    <row r="812" spans="1:12" x14ac:dyDescent="0.3">
      <c r="A812" s="2">
        <v>810</v>
      </c>
      <c r="B812" s="3" t="s">
        <v>72</v>
      </c>
      <c r="C812" s="3" t="s">
        <v>158</v>
      </c>
      <c r="D812" s="3" t="s">
        <v>18</v>
      </c>
      <c r="E812" s="3">
        <v>29872</v>
      </c>
      <c r="F812" s="3">
        <v>7</v>
      </c>
      <c r="G812" s="3">
        <v>56246</v>
      </c>
      <c r="H812" s="3" t="s">
        <v>23</v>
      </c>
      <c r="I812" s="3">
        <v>2462</v>
      </c>
      <c r="J812" s="3">
        <v>63</v>
      </c>
      <c r="K812" s="4">
        <v>45458</v>
      </c>
      <c r="L812" s="10">
        <v>398834.24729999999</v>
      </c>
    </row>
    <row r="813" spans="1:12" x14ac:dyDescent="0.3">
      <c r="A813" s="2">
        <v>811</v>
      </c>
      <c r="B813" s="3" t="s">
        <v>55</v>
      </c>
      <c r="C813" s="3" t="s">
        <v>175</v>
      </c>
      <c r="D813" s="3" t="s">
        <v>18</v>
      </c>
      <c r="E813" s="3">
        <v>14115</v>
      </c>
      <c r="F813" s="3">
        <v>7</v>
      </c>
      <c r="G813" s="3">
        <v>74834</v>
      </c>
      <c r="H813" s="3" t="s">
        <v>15</v>
      </c>
      <c r="I813" s="3">
        <v>2421</v>
      </c>
      <c r="J813" s="3">
        <v>56</v>
      </c>
      <c r="K813" s="4">
        <v>44296</v>
      </c>
      <c r="L813" s="10">
        <v>358777.79359999998</v>
      </c>
    </row>
    <row r="814" spans="1:12" x14ac:dyDescent="0.3">
      <c r="A814" s="2">
        <v>812</v>
      </c>
      <c r="B814" s="3" t="s">
        <v>122</v>
      </c>
      <c r="C814" s="3" t="s">
        <v>195</v>
      </c>
      <c r="D814" s="3" t="s">
        <v>14</v>
      </c>
      <c r="E814" s="3">
        <v>7540</v>
      </c>
      <c r="F814" s="3">
        <v>7</v>
      </c>
      <c r="G814" s="3">
        <v>76021</v>
      </c>
      <c r="H814" s="3" t="s">
        <v>21</v>
      </c>
      <c r="I814" s="3">
        <v>2002</v>
      </c>
      <c r="J814" s="3">
        <v>58</v>
      </c>
      <c r="K814" s="4">
        <v>44394</v>
      </c>
      <c r="L814" s="10">
        <v>322368.53529999999</v>
      </c>
    </row>
    <row r="815" spans="1:12" x14ac:dyDescent="0.3">
      <c r="A815" s="2">
        <v>813</v>
      </c>
      <c r="B815" s="3" t="s">
        <v>24</v>
      </c>
      <c r="C815" s="3" t="s">
        <v>101</v>
      </c>
      <c r="D815" s="3" t="s">
        <v>18</v>
      </c>
      <c r="E815" s="3">
        <v>27870</v>
      </c>
      <c r="F815" s="3">
        <v>3</v>
      </c>
      <c r="G815" s="3">
        <v>61846</v>
      </c>
      <c r="H815" s="3" t="s">
        <v>21</v>
      </c>
      <c r="I815" s="3">
        <v>2633</v>
      </c>
      <c r="J815" s="3">
        <v>34</v>
      </c>
      <c r="K815" s="4">
        <v>44030</v>
      </c>
      <c r="L815" s="10">
        <v>391508.48479999998</v>
      </c>
    </row>
    <row r="816" spans="1:12" x14ac:dyDescent="0.3">
      <c r="A816" s="2">
        <v>814</v>
      </c>
      <c r="B816" s="3" t="s">
        <v>29</v>
      </c>
      <c r="C816" s="3" t="s">
        <v>110</v>
      </c>
      <c r="D816" s="3" t="s">
        <v>14</v>
      </c>
      <c r="E816" s="3">
        <v>22414</v>
      </c>
      <c r="F816" s="3">
        <v>7</v>
      </c>
      <c r="G816" s="3">
        <v>64470</v>
      </c>
      <c r="H816" s="3" t="s">
        <v>15</v>
      </c>
      <c r="I816" s="3">
        <v>2249</v>
      </c>
      <c r="J816" s="3">
        <v>99</v>
      </c>
      <c r="K816" s="4">
        <v>44347</v>
      </c>
      <c r="L816" s="10">
        <v>320117.73</v>
      </c>
    </row>
    <row r="817" spans="1:12" x14ac:dyDescent="0.3">
      <c r="A817" s="2">
        <v>815</v>
      </c>
      <c r="B817" s="3" t="s">
        <v>57</v>
      </c>
      <c r="C817" s="3" t="s">
        <v>86</v>
      </c>
      <c r="D817" s="3" t="s">
        <v>18</v>
      </c>
      <c r="E817" s="3">
        <v>6863</v>
      </c>
      <c r="F817" s="3">
        <v>1</v>
      </c>
      <c r="G817" s="3">
        <v>79339</v>
      </c>
      <c r="H817" s="3" t="s">
        <v>23</v>
      </c>
      <c r="I817" s="3">
        <v>2532</v>
      </c>
      <c r="J817" s="3">
        <v>61</v>
      </c>
      <c r="K817" s="4">
        <v>44106</v>
      </c>
      <c r="L817" s="10">
        <v>398489.44189999998</v>
      </c>
    </row>
    <row r="818" spans="1:12" x14ac:dyDescent="0.3">
      <c r="A818" s="2">
        <v>816</v>
      </c>
      <c r="B818" s="3" t="s">
        <v>26</v>
      </c>
      <c r="C818" s="3" t="s">
        <v>47</v>
      </c>
      <c r="D818" s="3" t="s">
        <v>18</v>
      </c>
      <c r="E818" s="3">
        <v>24865</v>
      </c>
      <c r="F818" s="3">
        <v>6</v>
      </c>
      <c r="G818" s="3">
        <v>93445</v>
      </c>
      <c r="H818" s="3" t="s">
        <v>21</v>
      </c>
      <c r="I818" s="3">
        <v>2873</v>
      </c>
      <c r="J818" s="3">
        <v>67</v>
      </c>
      <c r="K818" s="4">
        <v>45375</v>
      </c>
      <c r="L818" s="10">
        <v>418657.75439999998</v>
      </c>
    </row>
    <row r="819" spans="1:12" x14ac:dyDescent="0.3">
      <c r="A819" s="2">
        <v>817</v>
      </c>
      <c r="B819" s="3" t="s">
        <v>53</v>
      </c>
      <c r="C819" s="3" t="s">
        <v>157</v>
      </c>
      <c r="D819" s="3" t="s">
        <v>18</v>
      </c>
      <c r="E819" s="3">
        <v>4693</v>
      </c>
      <c r="F819" s="3">
        <v>4</v>
      </c>
      <c r="G819" s="3">
        <v>93928</v>
      </c>
      <c r="H819" s="3" t="s">
        <v>23</v>
      </c>
      <c r="I819" s="3">
        <v>2219</v>
      </c>
      <c r="J819" s="3">
        <v>41</v>
      </c>
      <c r="K819" s="4">
        <v>45199</v>
      </c>
      <c r="L819" s="10">
        <v>368651.26120000001</v>
      </c>
    </row>
    <row r="820" spans="1:12" x14ac:dyDescent="0.3">
      <c r="A820" s="2">
        <v>818</v>
      </c>
      <c r="B820" s="3" t="s">
        <v>108</v>
      </c>
      <c r="C820" s="3" t="s">
        <v>214</v>
      </c>
      <c r="D820" s="3" t="s">
        <v>18</v>
      </c>
      <c r="E820" s="3">
        <v>6197</v>
      </c>
      <c r="F820" s="3">
        <v>0</v>
      </c>
      <c r="G820" s="3">
        <v>52356</v>
      </c>
      <c r="H820" s="3" t="s">
        <v>21</v>
      </c>
      <c r="I820" s="3">
        <v>2955</v>
      </c>
      <c r="J820" s="3">
        <v>52</v>
      </c>
      <c r="K820" s="4">
        <v>43921</v>
      </c>
      <c r="L820" s="10">
        <v>408230.49829999998</v>
      </c>
    </row>
    <row r="821" spans="1:12" x14ac:dyDescent="0.3">
      <c r="A821" s="2">
        <v>819</v>
      </c>
      <c r="B821" s="3" t="s">
        <v>29</v>
      </c>
      <c r="C821" s="3" t="s">
        <v>83</v>
      </c>
      <c r="D821" s="3" t="s">
        <v>18</v>
      </c>
      <c r="E821" s="3">
        <v>16389</v>
      </c>
      <c r="F821" s="3">
        <v>4</v>
      </c>
      <c r="G821" s="3">
        <v>89128</v>
      </c>
      <c r="H821" s="3" t="s">
        <v>15</v>
      </c>
      <c r="I821" s="3">
        <v>2298</v>
      </c>
      <c r="J821" s="3">
        <v>46</v>
      </c>
      <c r="K821" s="4">
        <v>45366</v>
      </c>
      <c r="L821" s="10">
        <v>390657.26809999999</v>
      </c>
    </row>
    <row r="822" spans="1:12" x14ac:dyDescent="0.3">
      <c r="A822" s="2">
        <v>820</v>
      </c>
      <c r="B822" s="3" t="s">
        <v>57</v>
      </c>
      <c r="C822" s="3" t="s">
        <v>215</v>
      </c>
      <c r="D822" s="3" t="s">
        <v>14</v>
      </c>
      <c r="E822" s="3">
        <v>23084</v>
      </c>
      <c r="F822" s="3">
        <v>5</v>
      </c>
      <c r="G822" s="3">
        <v>93967</v>
      </c>
      <c r="H822" s="3" t="s">
        <v>23</v>
      </c>
      <c r="I822" s="3">
        <v>2859</v>
      </c>
      <c r="J822" s="3">
        <v>75</v>
      </c>
      <c r="K822" s="4">
        <v>45207</v>
      </c>
      <c r="L822" s="10">
        <v>375035.16440000001</v>
      </c>
    </row>
    <row r="823" spans="1:12" x14ac:dyDescent="0.3">
      <c r="A823" s="2">
        <v>821</v>
      </c>
      <c r="B823" s="3" t="s">
        <v>53</v>
      </c>
      <c r="C823" s="3" t="s">
        <v>197</v>
      </c>
      <c r="D823" s="3" t="s">
        <v>14</v>
      </c>
      <c r="E823" s="3">
        <v>29062</v>
      </c>
      <c r="F823" s="3">
        <v>3</v>
      </c>
      <c r="G823" s="3">
        <v>84680</v>
      </c>
      <c r="H823" s="3" t="s">
        <v>15</v>
      </c>
      <c r="I823" s="3">
        <v>2778</v>
      </c>
      <c r="J823" s="3">
        <v>75</v>
      </c>
      <c r="K823" s="4">
        <v>44104</v>
      </c>
      <c r="L823" s="10">
        <v>354434.8125</v>
      </c>
    </row>
    <row r="824" spans="1:12" x14ac:dyDescent="0.3">
      <c r="A824" s="2">
        <v>822</v>
      </c>
      <c r="B824" s="3" t="s">
        <v>12</v>
      </c>
      <c r="C824" s="3" t="s">
        <v>50</v>
      </c>
      <c r="D824" s="3" t="s">
        <v>14</v>
      </c>
      <c r="E824" s="3">
        <v>20288</v>
      </c>
      <c r="F824" s="3">
        <v>6</v>
      </c>
      <c r="G824" s="3">
        <v>99098</v>
      </c>
      <c r="H824" s="3" t="s">
        <v>21</v>
      </c>
      <c r="I824" s="3">
        <v>1480</v>
      </c>
      <c r="J824" s="3">
        <v>44</v>
      </c>
      <c r="K824" s="4">
        <v>44903</v>
      </c>
      <c r="L824" s="10">
        <v>328399.59590000001</v>
      </c>
    </row>
    <row r="825" spans="1:12" x14ac:dyDescent="0.3">
      <c r="A825" s="2">
        <v>823</v>
      </c>
      <c r="B825" s="3" t="s">
        <v>74</v>
      </c>
      <c r="C825" s="3" t="s">
        <v>113</v>
      </c>
      <c r="D825" s="3" t="s">
        <v>18</v>
      </c>
      <c r="E825" s="3">
        <v>8108</v>
      </c>
      <c r="F825" s="3">
        <v>9</v>
      </c>
      <c r="G825" s="3">
        <v>75941</v>
      </c>
      <c r="H825" s="3" t="s">
        <v>21</v>
      </c>
      <c r="I825" s="3">
        <v>1492</v>
      </c>
      <c r="J825" s="3">
        <v>85</v>
      </c>
      <c r="K825" s="4">
        <v>44581</v>
      </c>
      <c r="L825" s="10">
        <v>393719.1042</v>
      </c>
    </row>
    <row r="826" spans="1:12" x14ac:dyDescent="0.3">
      <c r="A826" s="2">
        <v>824</v>
      </c>
      <c r="B826" s="3" t="s">
        <v>26</v>
      </c>
      <c r="C826" s="3" t="s">
        <v>27</v>
      </c>
      <c r="D826" s="3" t="s">
        <v>18</v>
      </c>
      <c r="E826" s="3">
        <v>11275</v>
      </c>
      <c r="F826" s="3">
        <v>1</v>
      </c>
      <c r="G826" s="3">
        <v>79569</v>
      </c>
      <c r="H826" s="3" t="s">
        <v>21</v>
      </c>
      <c r="I826" s="3">
        <v>2303</v>
      </c>
      <c r="J826" s="3">
        <v>63</v>
      </c>
      <c r="K826" s="4">
        <v>44120</v>
      </c>
      <c r="L826" s="10">
        <v>375679.48719999997</v>
      </c>
    </row>
    <row r="827" spans="1:12" x14ac:dyDescent="0.3">
      <c r="A827" s="2">
        <v>825</v>
      </c>
      <c r="B827" s="3" t="s">
        <v>29</v>
      </c>
      <c r="C827" s="3" t="s">
        <v>110</v>
      </c>
      <c r="D827" s="3" t="s">
        <v>18</v>
      </c>
      <c r="E827" s="3">
        <v>1840</v>
      </c>
      <c r="F827" s="3">
        <v>8</v>
      </c>
      <c r="G827" s="3">
        <v>74067</v>
      </c>
      <c r="H827" s="3" t="s">
        <v>21</v>
      </c>
      <c r="I827" s="3">
        <v>1108</v>
      </c>
      <c r="J827" s="3">
        <v>58</v>
      </c>
      <c r="K827" s="4">
        <v>44440</v>
      </c>
      <c r="L827" s="10">
        <v>346599.04840000003</v>
      </c>
    </row>
    <row r="828" spans="1:12" x14ac:dyDescent="0.3">
      <c r="A828" s="2">
        <v>826</v>
      </c>
      <c r="B828" s="3" t="s">
        <v>53</v>
      </c>
      <c r="C828" s="3" t="s">
        <v>131</v>
      </c>
      <c r="D828" s="3" t="s">
        <v>18</v>
      </c>
      <c r="E828" s="3">
        <v>22464</v>
      </c>
      <c r="F828" s="3">
        <v>7</v>
      </c>
      <c r="G828" s="3">
        <v>84328</v>
      </c>
      <c r="H828" s="3" t="s">
        <v>23</v>
      </c>
      <c r="I828" s="3">
        <v>1312</v>
      </c>
      <c r="J828" s="3">
        <v>81</v>
      </c>
      <c r="K828" s="4">
        <v>45366</v>
      </c>
      <c r="L828" s="10">
        <v>398118.35269999999</v>
      </c>
    </row>
    <row r="829" spans="1:12" x14ac:dyDescent="0.3">
      <c r="A829" s="2">
        <v>827</v>
      </c>
      <c r="B829" s="3" t="s">
        <v>44</v>
      </c>
      <c r="C829" s="3" t="s">
        <v>111</v>
      </c>
      <c r="D829" s="3" t="s">
        <v>18</v>
      </c>
      <c r="E829" s="3">
        <v>8163</v>
      </c>
      <c r="F829" s="3">
        <v>2</v>
      </c>
      <c r="G829" s="3">
        <v>92737</v>
      </c>
      <c r="H829" s="3" t="s">
        <v>23</v>
      </c>
      <c r="I829" s="3">
        <v>2107</v>
      </c>
      <c r="J829" s="3">
        <v>34</v>
      </c>
      <c r="K829" s="4">
        <v>44965</v>
      </c>
      <c r="L829" s="10">
        <v>382112.91350000002</v>
      </c>
    </row>
    <row r="830" spans="1:12" x14ac:dyDescent="0.3">
      <c r="A830" s="2">
        <v>828</v>
      </c>
      <c r="B830" s="3" t="s">
        <v>74</v>
      </c>
      <c r="C830" s="3" t="s">
        <v>221</v>
      </c>
      <c r="D830" s="3" t="s">
        <v>14</v>
      </c>
      <c r="E830" s="3">
        <v>6719</v>
      </c>
      <c r="F830" s="3">
        <v>4</v>
      </c>
      <c r="G830" s="3">
        <v>50380</v>
      </c>
      <c r="H830" s="3" t="s">
        <v>21</v>
      </c>
      <c r="I830" s="3">
        <v>2258</v>
      </c>
      <c r="J830" s="3">
        <v>38</v>
      </c>
      <c r="K830" s="4">
        <v>44072</v>
      </c>
      <c r="L830" s="10">
        <v>347994.95569999999</v>
      </c>
    </row>
    <row r="831" spans="1:12" x14ac:dyDescent="0.3">
      <c r="A831" s="2">
        <v>829</v>
      </c>
      <c r="B831" s="3" t="s">
        <v>40</v>
      </c>
      <c r="C831" s="3" t="s">
        <v>182</v>
      </c>
      <c r="D831" s="3" t="s">
        <v>18</v>
      </c>
      <c r="E831" s="3">
        <v>12784</v>
      </c>
      <c r="F831" s="3">
        <v>0</v>
      </c>
      <c r="G831" s="3">
        <v>51803</v>
      </c>
      <c r="H831" s="3" t="s">
        <v>21</v>
      </c>
      <c r="I831" s="3">
        <v>1526</v>
      </c>
      <c r="J831" s="3">
        <v>81</v>
      </c>
      <c r="K831" s="4">
        <v>44758</v>
      </c>
      <c r="L831" s="10">
        <v>354875.84989999997</v>
      </c>
    </row>
    <row r="832" spans="1:12" x14ac:dyDescent="0.3">
      <c r="A832" s="2">
        <v>830</v>
      </c>
      <c r="B832" s="3" t="s">
        <v>12</v>
      </c>
      <c r="C832" s="3" t="s">
        <v>47</v>
      </c>
      <c r="D832" s="3" t="s">
        <v>18</v>
      </c>
      <c r="E832" s="3">
        <v>5332</v>
      </c>
      <c r="F832" s="3">
        <v>2</v>
      </c>
      <c r="G832" s="3">
        <v>89586</v>
      </c>
      <c r="H832" s="3" t="s">
        <v>23</v>
      </c>
      <c r="I832" s="3">
        <v>2894</v>
      </c>
      <c r="J832" s="3">
        <v>27</v>
      </c>
      <c r="K832" s="4">
        <v>44207</v>
      </c>
      <c r="L832" s="10">
        <v>380794.53450000001</v>
      </c>
    </row>
    <row r="833" spans="1:12" x14ac:dyDescent="0.3">
      <c r="A833" s="2">
        <v>831</v>
      </c>
      <c r="B833" s="3" t="s">
        <v>24</v>
      </c>
      <c r="C833" s="3" t="s">
        <v>100</v>
      </c>
      <c r="D833" s="3" t="s">
        <v>18</v>
      </c>
      <c r="E833" s="3">
        <v>841</v>
      </c>
      <c r="F833" s="3">
        <v>2</v>
      </c>
      <c r="G833" s="3">
        <v>56928</v>
      </c>
      <c r="H833" s="3" t="s">
        <v>23</v>
      </c>
      <c r="I833" s="3">
        <v>1107</v>
      </c>
      <c r="J833" s="3">
        <v>69</v>
      </c>
      <c r="K833" s="4">
        <v>45468</v>
      </c>
      <c r="L833" s="10">
        <v>352033.30719999998</v>
      </c>
    </row>
    <row r="834" spans="1:12" x14ac:dyDescent="0.3">
      <c r="A834" s="2">
        <v>832</v>
      </c>
      <c r="B834" s="3" t="s">
        <v>31</v>
      </c>
      <c r="C834" s="3" t="s">
        <v>63</v>
      </c>
      <c r="D834" s="3" t="s">
        <v>14</v>
      </c>
      <c r="E834" s="3">
        <v>13390</v>
      </c>
      <c r="F834" s="3">
        <v>0</v>
      </c>
      <c r="G834" s="3">
        <v>63655</v>
      </c>
      <c r="H834" s="3" t="s">
        <v>21</v>
      </c>
      <c r="I834" s="3">
        <v>1732</v>
      </c>
      <c r="J834" s="3">
        <v>96</v>
      </c>
      <c r="K834" s="4">
        <v>43966</v>
      </c>
      <c r="L834" s="10">
        <v>324419.84279999998</v>
      </c>
    </row>
    <row r="835" spans="1:12" x14ac:dyDescent="0.3">
      <c r="A835" s="2">
        <v>833</v>
      </c>
      <c r="B835" s="3" t="s">
        <v>31</v>
      </c>
      <c r="C835" s="3" t="s">
        <v>172</v>
      </c>
      <c r="D835" s="3" t="s">
        <v>18</v>
      </c>
      <c r="E835" s="3">
        <v>13142</v>
      </c>
      <c r="F835" s="3">
        <v>9</v>
      </c>
      <c r="G835" s="3">
        <v>56130</v>
      </c>
      <c r="H835" s="3" t="s">
        <v>15</v>
      </c>
      <c r="I835" s="3">
        <v>1078</v>
      </c>
      <c r="J835" s="3">
        <v>54</v>
      </c>
      <c r="K835" s="4">
        <v>45108</v>
      </c>
      <c r="L835" s="10">
        <v>324108.3702</v>
      </c>
    </row>
    <row r="836" spans="1:12" x14ac:dyDescent="0.3">
      <c r="A836" s="2">
        <v>834</v>
      </c>
      <c r="B836" s="3" t="s">
        <v>31</v>
      </c>
      <c r="C836" s="3" t="s">
        <v>125</v>
      </c>
      <c r="D836" s="3" t="s">
        <v>14</v>
      </c>
      <c r="E836" s="3">
        <v>2488</v>
      </c>
      <c r="F836" s="3">
        <v>6</v>
      </c>
      <c r="G836" s="3">
        <v>54520</v>
      </c>
      <c r="H836" s="3" t="s">
        <v>15</v>
      </c>
      <c r="I836" s="3">
        <v>2537</v>
      </c>
      <c r="J836" s="3">
        <v>60</v>
      </c>
      <c r="K836" s="4">
        <v>45191</v>
      </c>
      <c r="L836" s="10">
        <v>320355.59779999999</v>
      </c>
    </row>
    <row r="837" spans="1:12" x14ac:dyDescent="0.3">
      <c r="A837" s="2">
        <v>835</v>
      </c>
      <c r="B837" s="3" t="s">
        <v>24</v>
      </c>
      <c r="C837" s="3" t="s">
        <v>97</v>
      </c>
      <c r="D837" s="3" t="s">
        <v>18</v>
      </c>
      <c r="E837" s="3">
        <v>19745</v>
      </c>
      <c r="F837" s="3">
        <v>4</v>
      </c>
      <c r="G837" s="3">
        <v>63887</v>
      </c>
      <c r="H837" s="3" t="s">
        <v>15</v>
      </c>
      <c r="I837" s="3">
        <v>2064</v>
      </c>
      <c r="J837" s="3">
        <v>27</v>
      </c>
      <c r="K837" s="4">
        <v>45489</v>
      </c>
      <c r="L837" s="10">
        <v>369788.39549999998</v>
      </c>
    </row>
    <row r="838" spans="1:12" x14ac:dyDescent="0.3">
      <c r="A838" s="2">
        <v>836</v>
      </c>
      <c r="B838" s="3" t="s">
        <v>33</v>
      </c>
      <c r="C838" s="3" t="s">
        <v>198</v>
      </c>
      <c r="D838" s="3" t="s">
        <v>18</v>
      </c>
      <c r="E838" s="3">
        <v>28992</v>
      </c>
      <c r="F838" s="3">
        <v>0</v>
      </c>
      <c r="G838" s="3">
        <v>59271</v>
      </c>
      <c r="H838" s="3" t="s">
        <v>23</v>
      </c>
      <c r="I838" s="3">
        <v>2658</v>
      </c>
      <c r="J838" s="3">
        <v>29</v>
      </c>
      <c r="K838" s="4">
        <v>44533</v>
      </c>
      <c r="L838" s="10">
        <v>399023.75459999999</v>
      </c>
    </row>
    <row r="839" spans="1:12" x14ac:dyDescent="0.3">
      <c r="A839" s="2">
        <v>837</v>
      </c>
      <c r="B839" s="3" t="s">
        <v>57</v>
      </c>
      <c r="C839" s="3" t="s">
        <v>116</v>
      </c>
      <c r="D839" s="3" t="s">
        <v>18</v>
      </c>
      <c r="E839" s="3">
        <v>16098</v>
      </c>
      <c r="F839" s="3">
        <v>9</v>
      </c>
      <c r="G839" s="3">
        <v>95790</v>
      </c>
      <c r="H839" s="3" t="s">
        <v>15</v>
      </c>
      <c r="I839" s="3">
        <v>2813</v>
      </c>
      <c r="J839" s="3">
        <v>77</v>
      </c>
      <c r="K839" s="4">
        <v>45430</v>
      </c>
      <c r="L839" s="10">
        <v>387028.04979999998</v>
      </c>
    </row>
    <row r="840" spans="1:12" x14ac:dyDescent="0.3">
      <c r="A840" s="2">
        <v>838</v>
      </c>
      <c r="B840" s="3" t="s">
        <v>16</v>
      </c>
      <c r="C840" s="3" t="s">
        <v>171</v>
      </c>
      <c r="D840" s="3" t="s">
        <v>18</v>
      </c>
      <c r="E840" s="3">
        <v>11107</v>
      </c>
      <c r="F840" s="3">
        <v>7</v>
      </c>
      <c r="G840" s="3">
        <v>63379</v>
      </c>
      <c r="H840" s="3" t="s">
        <v>15</v>
      </c>
      <c r="I840" s="3">
        <v>2746</v>
      </c>
      <c r="J840" s="3">
        <v>22</v>
      </c>
      <c r="K840" s="4">
        <v>44590</v>
      </c>
      <c r="L840" s="10">
        <v>368180.75270000001</v>
      </c>
    </row>
    <row r="841" spans="1:12" x14ac:dyDescent="0.3">
      <c r="A841" s="2">
        <v>839</v>
      </c>
      <c r="B841" s="3" t="s">
        <v>40</v>
      </c>
      <c r="C841" s="3" t="s">
        <v>226</v>
      </c>
      <c r="D841" s="3" t="s">
        <v>18</v>
      </c>
      <c r="E841" s="3">
        <v>23473</v>
      </c>
      <c r="F841" s="3">
        <v>5</v>
      </c>
      <c r="G841" s="3">
        <v>93207</v>
      </c>
      <c r="H841" s="3" t="s">
        <v>23</v>
      </c>
      <c r="I841" s="3">
        <v>1570</v>
      </c>
      <c r="J841" s="3">
        <v>97</v>
      </c>
      <c r="K841" s="4">
        <v>44533</v>
      </c>
      <c r="L841" s="10">
        <v>394698.3676</v>
      </c>
    </row>
    <row r="842" spans="1:12" x14ac:dyDescent="0.3">
      <c r="A842" s="2">
        <v>840</v>
      </c>
      <c r="B842" s="3" t="s">
        <v>74</v>
      </c>
      <c r="C842" s="3" t="s">
        <v>120</v>
      </c>
      <c r="D842" s="3" t="s">
        <v>18</v>
      </c>
      <c r="E842" s="3">
        <v>9269</v>
      </c>
      <c r="F842" s="3">
        <v>3</v>
      </c>
      <c r="G842" s="3">
        <v>94294</v>
      </c>
      <c r="H842" s="3" t="s">
        <v>15</v>
      </c>
      <c r="I842" s="3">
        <v>2683</v>
      </c>
      <c r="J842" s="3">
        <v>39</v>
      </c>
      <c r="K842" s="4">
        <v>44703</v>
      </c>
      <c r="L842" s="10">
        <v>365745.70390000002</v>
      </c>
    </row>
    <row r="843" spans="1:12" x14ac:dyDescent="0.3">
      <c r="A843" s="2">
        <v>841</v>
      </c>
      <c r="B843" s="3" t="s">
        <v>26</v>
      </c>
      <c r="C843" s="3" t="s">
        <v>64</v>
      </c>
      <c r="D843" s="3" t="s">
        <v>18</v>
      </c>
      <c r="E843" s="3">
        <v>9277</v>
      </c>
      <c r="F843" s="3">
        <v>9</v>
      </c>
      <c r="G843" s="3">
        <v>54295</v>
      </c>
      <c r="H843" s="3" t="s">
        <v>15</v>
      </c>
      <c r="I843" s="3">
        <v>1620</v>
      </c>
      <c r="J843" s="3">
        <v>37</v>
      </c>
      <c r="K843" s="4">
        <v>44217</v>
      </c>
      <c r="L843" s="10">
        <v>311339.35710000002</v>
      </c>
    </row>
    <row r="844" spans="1:12" x14ac:dyDescent="0.3">
      <c r="A844" s="2">
        <v>842</v>
      </c>
      <c r="B844" s="3" t="s">
        <v>31</v>
      </c>
      <c r="C844" s="3" t="s">
        <v>81</v>
      </c>
      <c r="D844" s="3" t="s">
        <v>14</v>
      </c>
      <c r="E844" s="3">
        <v>21682</v>
      </c>
      <c r="F844" s="3">
        <v>9</v>
      </c>
      <c r="G844" s="3">
        <v>64702</v>
      </c>
      <c r="H844" s="3" t="s">
        <v>23</v>
      </c>
      <c r="I844" s="3">
        <v>1574</v>
      </c>
      <c r="J844" s="3">
        <v>74</v>
      </c>
      <c r="K844" s="4">
        <v>44072</v>
      </c>
      <c r="L844" s="10">
        <v>335981.29109999997</v>
      </c>
    </row>
    <row r="845" spans="1:12" x14ac:dyDescent="0.3">
      <c r="A845" s="2">
        <v>843</v>
      </c>
      <c r="B845" s="3" t="s">
        <v>44</v>
      </c>
      <c r="C845" s="3" t="s">
        <v>65</v>
      </c>
      <c r="D845" s="3" t="s">
        <v>14</v>
      </c>
      <c r="E845" s="3">
        <v>29207</v>
      </c>
      <c r="F845" s="3">
        <v>4</v>
      </c>
      <c r="G845" s="3">
        <v>86545</v>
      </c>
      <c r="H845" s="3" t="s">
        <v>23</v>
      </c>
      <c r="I845" s="3">
        <v>2448</v>
      </c>
      <c r="J845" s="3">
        <v>35</v>
      </c>
      <c r="K845" s="4">
        <v>44968</v>
      </c>
      <c r="L845" s="10">
        <v>342854.36060000001</v>
      </c>
    </row>
    <row r="846" spans="1:12" x14ac:dyDescent="0.3">
      <c r="A846" s="2">
        <v>844</v>
      </c>
      <c r="B846" s="3" t="s">
        <v>16</v>
      </c>
      <c r="C846" s="3" t="s">
        <v>183</v>
      </c>
      <c r="D846" s="3" t="s">
        <v>14</v>
      </c>
      <c r="E846" s="3">
        <v>13962</v>
      </c>
      <c r="F846" s="3">
        <v>4</v>
      </c>
      <c r="G846" s="3">
        <v>77213</v>
      </c>
      <c r="H846" s="3" t="s">
        <v>21</v>
      </c>
      <c r="I846" s="3">
        <v>1177</v>
      </c>
      <c r="J846" s="3">
        <v>55</v>
      </c>
      <c r="K846" s="4">
        <v>45138</v>
      </c>
      <c r="L846" s="10">
        <v>346201.69030000002</v>
      </c>
    </row>
    <row r="847" spans="1:12" x14ac:dyDescent="0.3">
      <c r="A847" s="2">
        <v>845</v>
      </c>
      <c r="B847" s="3" t="s">
        <v>35</v>
      </c>
      <c r="C847" s="3" t="s">
        <v>119</v>
      </c>
      <c r="D847" s="3" t="s">
        <v>18</v>
      </c>
      <c r="E847" s="3">
        <v>1423</v>
      </c>
      <c r="F847" s="3">
        <v>4</v>
      </c>
      <c r="G847" s="3">
        <v>63612</v>
      </c>
      <c r="H847" s="3" t="s">
        <v>15</v>
      </c>
      <c r="I847" s="3">
        <v>2983</v>
      </c>
      <c r="J847" s="3">
        <v>37</v>
      </c>
      <c r="K847" s="4">
        <v>44987</v>
      </c>
      <c r="L847" s="10">
        <v>381775.42009999999</v>
      </c>
    </row>
    <row r="848" spans="1:12" x14ac:dyDescent="0.3">
      <c r="A848" s="2">
        <v>846</v>
      </c>
      <c r="B848" s="3" t="s">
        <v>108</v>
      </c>
      <c r="C848" s="3" t="s">
        <v>109</v>
      </c>
      <c r="D848" s="3" t="s">
        <v>18</v>
      </c>
      <c r="E848" s="3">
        <v>7270</v>
      </c>
      <c r="F848" s="3">
        <v>5</v>
      </c>
      <c r="G848" s="3">
        <v>78652</v>
      </c>
      <c r="H848" s="3" t="s">
        <v>21</v>
      </c>
      <c r="I848" s="3">
        <v>2922</v>
      </c>
      <c r="J848" s="3">
        <v>20</v>
      </c>
      <c r="K848" s="4">
        <v>44669</v>
      </c>
      <c r="L848" s="10">
        <v>389786.47279999999</v>
      </c>
    </row>
    <row r="849" spans="1:12" x14ac:dyDescent="0.3">
      <c r="A849" s="2">
        <v>847</v>
      </c>
      <c r="B849" s="3" t="s">
        <v>55</v>
      </c>
      <c r="C849" s="3" t="s">
        <v>98</v>
      </c>
      <c r="D849" s="3" t="s">
        <v>14</v>
      </c>
      <c r="E849" s="3">
        <v>14155</v>
      </c>
      <c r="F849" s="3">
        <v>7</v>
      </c>
      <c r="G849" s="3">
        <v>86862</v>
      </c>
      <c r="H849" s="3" t="s">
        <v>15</v>
      </c>
      <c r="I849" s="3">
        <v>2124</v>
      </c>
      <c r="J849" s="3">
        <v>77</v>
      </c>
      <c r="K849" s="4">
        <v>44462</v>
      </c>
      <c r="L849" s="10">
        <v>317437.34749999997</v>
      </c>
    </row>
    <row r="850" spans="1:12" x14ac:dyDescent="0.3">
      <c r="A850" s="2">
        <v>848</v>
      </c>
      <c r="B850" s="3" t="s">
        <v>72</v>
      </c>
      <c r="C850" s="3" t="s">
        <v>73</v>
      </c>
      <c r="D850" s="3" t="s">
        <v>14</v>
      </c>
      <c r="E850" s="3">
        <v>10510</v>
      </c>
      <c r="F850" s="3">
        <v>9</v>
      </c>
      <c r="G850" s="3">
        <v>83842</v>
      </c>
      <c r="H850" s="3" t="s">
        <v>21</v>
      </c>
      <c r="I850" s="3">
        <v>1104</v>
      </c>
      <c r="J850" s="3">
        <v>35</v>
      </c>
      <c r="K850" s="4">
        <v>44024</v>
      </c>
      <c r="L850" s="10">
        <v>288623.8615</v>
      </c>
    </row>
    <row r="851" spans="1:12" x14ac:dyDescent="0.3">
      <c r="A851" s="2">
        <v>849</v>
      </c>
      <c r="B851" s="3" t="s">
        <v>122</v>
      </c>
      <c r="C851" s="3" t="s">
        <v>222</v>
      </c>
      <c r="D851" s="3" t="s">
        <v>18</v>
      </c>
      <c r="E851" s="3">
        <v>24298</v>
      </c>
      <c r="F851" s="3">
        <v>5</v>
      </c>
      <c r="G851" s="3">
        <v>53755</v>
      </c>
      <c r="H851" s="3" t="s">
        <v>23</v>
      </c>
      <c r="I851" s="3">
        <v>1488</v>
      </c>
      <c r="J851" s="3">
        <v>71</v>
      </c>
      <c r="K851" s="4">
        <v>44447</v>
      </c>
      <c r="L851" s="10">
        <v>358346.609</v>
      </c>
    </row>
    <row r="852" spans="1:12" x14ac:dyDescent="0.3">
      <c r="A852" s="2">
        <v>850</v>
      </c>
      <c r="B852" s="3" t="s">
        <v>19</v>
      </c>
      <c r="C852" s="3" t="s">
        <v>130</v>
      </c>
      <c r="D852" s="3" t="s">
        <v>14</v>
      </c>
      <c r="E852" s="3">
        <v>5387</v>
      </c>
      <c r="F852" s="3">
        <v>3</v>
      </c>
      <c r="G852" s="3">
        <v>99064</v>
      </c>
      <c r="H852" s="3" t="s">
        <v>21</v>
      </c>
      <c r="I852" s="3">
        <v>1311</v>
      </c>
      <c r="J852" s="3">
        <v>38</v>
      </c>
      <c r="K852" s="4">
        <v>44767</v>
      </c>
      <c r="L852" s="10">
        <v>313141.25640000001</v>
      </c>
    </row>
    <row r="853" spans="1:12" x14ac:dyDescent="0.3">
      <c r="A853" s="2">
        <v>851</v>
      </c>
      <c r="B853" s="3" t="s">
        <v>12</v>
      </c>
      <c r="C853" s="3" t="s">
        <v>95</v>
      </c>
      <c r="D853" s="3" t="s">
        <v>18</v>
      </c>
      <c r="E853" s="3">
        <v>4695</v>
      </c>
      <c r="F853" s="3">
        <v>8</v>
      </c>
      <c r="G853" s="3">
        <v>85335</v>
      </c>
      <c r="H853" s="3" t="s">
        <v>23</v>
      </c>
      <c r="I853" s="3">
        <v>2190</v>
      </c>
      <c r="J853" s="3">
        <v>54</v>
      </c>
      <c r="K853" s="4">
        <v>45269</v>
      </c>
      <c r="L853" s="10">
        <v>381605.70159999997</v>
      </c>
    </row>
    <row r="854" spans="1:12" x14ac:dyDescent="0.3">
      <c r="A854" s="2">
        <v>852</v>
      </c>
      <c r="B854" s="3" t="s">
        <v>57</v>
      </c>
      <c r="C854" s="3" t="s">
        <v>174</v>
      </c>
      <c r="D854" s="3" t="s">
        <v>14</v>
      </c>
      <c r="E854" s="3">
        <v>24654</v>
      </c>
      <c r="F854" s="3">
        <v>8</v>
      </c>
      <c r="G854" s="3">
        <v>77522</v>
      </c>
      <c r="H854" s="3" t="s">
        <v>21</v>
      </c>
      <c r="I854" s="3">
        <v>1031</v>
      </c>
      <c r="J854" s="3">
        <v>82</v>
      </c>
      <c r="K854" s="4">
        <v>43886</v>
      </c>
      <c r="L854" s="10">
        <v>321757.36170000001</v>
      </c>
    </row>
    <row r="855" spans="1:12" x14ac:dyDescent="0.3">
      <c r="A855" s="2">
        <v>853</v>
      </c>
      <c r="B855" s="3" t="s">
        <v>29</v>
      </c>
      <c r="C855" s="3" t="s">
        <v>188</v>
      </c>
      <c r="D855" s="3" t="s">
        <v>18</v>
      </c>
      <c r="E855" s="3">
        <v>25818</v>
      </c>
      <c r="F855" s="3">
        <v>7</v>
      </c>
      <c r="G855" s="3">
        <v>95298</v>
      </c>
      <c r="H855" s="3" t="s">
        <v>15</v>
      </c>
      <c r="I855" s="3">
        <v>1464</v>
      </c>
      <c r="J855" s="3">
        <v>87</v>
      </c>
      <c r="K855" s="4">
        <v>44311</v>
      </c>
      <c r="L855" s="10">
        <v>393423.11339999997</v>
      </c>
    </row>
    <row r="856" spans="1:12" x14ac:dyDescent="0.3">
      <c r="A856" s="2">
        <v>854</v>
      </c>
      <c r="B856" s="3" t="s">
        <v>33</v>
      </c>
      <c r="C856" s="3" t="s">
        <v>184</v>
      </c>
      <c r="D856" s="3" t="s">
        <v>14</v>
      </c>
      <c r="E856" s="3">
        <v>29544</v>
      </c>
      <c r="F856" s="3">
        <v>1</v>
      </c>
      <c r="G856" s="3">
        <v>67113</v>
      </c>
      <c r="H856" s="3" t="s">
        <v>23</v>
      </c>
      <c r="I856" s="3">
        <v>1858</v>
      </c>
      <c r="J856" s="3">
        <v>54</v>
      </c>
      <c r="K856" s="4">
        <v>43930</v>
      </c>
      <c r="L856" s="10">
        <v>348067.53200000001</v>
      </c>
    </row>
    <row r="857" spans="1:12" x14ac:dyDescent="0.3">
      <c r="A857" s="2">
        <v>855</v>
      </c>
      <c r="B857" s="3" t="s">
        <v>37</v>
      </c>
      <c r="C857" s="3" t="s">
        <v>118</v>
      </c>
      <c r="D857" s="3" t="s">
        <v>18</v>
      </c>
      <c r="E857" s="3">
        <v>743</v>
      </c>
      <c r="F857" s="3">
        <v>3</v>
      </c>
      <c r="G857" s="3">
        <v>71034</v>
      </c>
      <c r="H857" s="3" t="s">
        <v>23</v>
      </c>
      <c r="I857" s="3">
        <v>2552</v>
      </c>
      <c r="J857" s="3">
        <v>76</v>
      </c>
      <c r="K857" s="4">
        <v>44023</v>
      </c>
      <c r="L857" s="10">
        <v>406683.45110000001</v>
      </c>
    </row>
    <row r="858" spans="1:12" x14ac:dyDescent="0.3">
      <c r="A858" s="2">
        <v>856</v>
      </c>
      <c r="B858" s="3" t="s">
        <v>29</v>
      </c>
      <c r="C858" s="3" t="s">
        <v>83</v>
      </c>
      <c r="D858" s="3" t="s">
        <v>14</v>
      </c>
      <c r="E858" s="3">
        <v>12410</v>
      </c>
      <c r="F858" s="3">
        <v>8</v>
      </c>
      <c r="G858" s="3">
        <v>69839</v>
      </c>
      <c r="H858" s="3" t="s">
        <v>23</v>
      </c>
      <c r="I858" s="3">
        <v>1049</v>
      </c>
      <c r="J858" s="3">
        <v>20</v>
      </c>
      <c r="K858" s="4">
        <v>43958</v>
      </c>
      <c r="L858" s="10">
        <v>285164.17729999998</v>
      </c>
    </row>
    <row r="859" spans="1:12" x14ac:dyDescent="0.3">
      <c r="A859" s="2">
        <v>857</v>
      </c>
      <c r="B859" s="3" t="s">
        <v>72</v>
      </c>
      <c r="C859" s="3" t="s">
        <v>167</v>
      </c>
      <c r="D859" s="3" t="s">
        <v>14</v>
      </c>
      <c r="E859" s="3">
        <v>6759</v>
      </c>
      <c r="F859" s="3">
        <v>9</v>
      </c>
      <c r="G859" s="3">
        <v>95495</v>
      </c>
      <c r="H859" s="3" t="s">
        <v>23</v>
      </c>
      <c r="I859" s="3">
        <v>2211</v>
      </c>
      <c r="J859" s="3">
        <v>62</v>
      </c>
      <c r="K859" s="4">
        <v>45408</v>
      </c>
      <c r="L859" s="10">
        <v>333871.70899999997</v>
      </c>
    </row>
    <row r="860" spans="1:12" x14ac:dyDescent="0.3">
      <c r="A860" s="2">
        <v>858</v>
      </c>
      <c r="B860" s="3" t="s">
        <v>108</v>
      </c>
      <c r="C860" s="3" t="s">
        <v>161</v>
      </c>
      <c r="D860" s="3" t="s">
        <v>18</v>
      </c>
      <c r="E860" s="3">
        <v>5788</v>
      </c>
      <c r="F860" s="3">
        <v>4</v>
      </c>
      <c r="G860" s="3">
        <v>74231</v>
      </c>
      <c r="H860" s="3" t="s">
        <v>21</v>
      </c>
      <c r="I860" s="3">
        <v>1774</v>
      </c>
      <c r="J860" s="3">
        <v>25</v>
      </c>
      <c r="K860" s="4">
        <v>44069</v>
      </c>
      <c r="L860" s="10">
        <v>366529.6888</v>
      </c>
    </row>
    <row r="861" spans="1:12" x14ac:dyDescent="0.3">
      <c r="A861" s="2">
        <v>859</v>
      </c>
      <c r="B861" s="3" t="s">
        <v>24</v>
      </c>
      <c r="C861" s="3" t="s">
        <v>100</v>
      </c>
      <c r="D861" s="3" t="s">
        <v>18</v>
      </c>
      <c r="E861" s="3">
        <v>8186</v>
      </c>
      <c r="F861" s="3">
        <v>8</v>
      </c>
      <c r="G861" s="3">
        <v>97316</v>
      </c>
      <c r="H861" s="3" t="s">
        <v>15</v>
      </c>
      <c r="I861" s="3">
        <v>2175</v>
      </c>
      <c r="J861" s="3">
        <v>91</v>
      </c>
      <c r="K861" s="4">
        <v>45329</v>
      </c>
      <c r="L861" s="10">
        <v>392643.61290000001</v>
      </c>
    </row>
    <row r="862" spans="1:12" x14ac:dyDescent="0.3">
      <c r="A862" s="2">
        <v>860</v>
      </c>
      <c r="B862" s="3" t="s">
        <v>57</v>
      </c>
      <c r="C862" s="3" t="s">
        <v>116</v>
      </c>
      <c r="D862" s="3" t="s">
        <v>14</v>
      </c>
      <c r="E862" s="3">
        <v>11975</v>
      </c>
      <c r="F862" s="3">
        <v>9</v>
      </c>
      <c r="G862" s="3">
        <v>84887</v>
      </c>
      <c r="H862" s="3" t="s">
        <v>21</v>
      </c>
      <c r="I862" s="3">
        <v>1688</v>
      </c>
      <c r="J862" s="3">
        <v>83</v>
      </c>
      <c r="K862" s="4">
        <v>44773</v>
      </c>
      <c r="L862" s="10">
        <v>335834.4412</v>
      </c>
    </row>
    <row r="863" spans="1:12" x14ac:dyDescent="0.3">
      <c r="A863" s="2">
        <v>861</v>
      </c>
      <c r="B863" s="3" t="s">
        <v>57</v>
      </c>
      <c r="C863" s="3" t="s">
        <v>162</v>
      </c>
      <c r="D863" s="3" t="s">
        <v>14</v>
      </c>
      <c r="E863" s="3">
        <v>13492</v>
      </c>
      <c r="F863" s="3">
        <v>0</v>
      </c>
      <c r="G863" s="3">
        <v>52776</v>
      </c>
      <c r="H863" s="3" t="s">
        <v>21</v>
      </c>
      <c r="I863" s="3">
        <v>1767</v>
      </c>
      <c r="J863" s="3">
        <v>41</v>
      </c>
      <c r="K863" s="4">
        <v>44454</v>
      </c>
      <c r="L863" s="10">
        <v>317196.93060000002</v>
      </c>
    </row>
    <row r="864" spans="1:12" x14ac:dyDescent="0.3">
      <c r="A864" s="2">
        <v>862</v>
      </c>
      <c r="B864" s="3" t="s">
        <v>26</v>
      </c>
      <c r="C864" s="3" t="s">
        <v>99</v>
      </c>
      <c r="D864" s="3" t="s">
        <v>14</v>
      </c>
      <c r="E864" s="3">
        <v>5349</v>
      </c>
      <c r="F864" s="3">
        <v>3</v>
      </c>
      <c r="G864" s="3">
        <v>74135</v>
      </c>
      <c r="H864" s="3" t="s">
        <v>21</v>
      </c>
      <c r="I864" s="3">
        <v>2349</v>
      </c>
      <c r="J864" s="3">
        <v>43</v>
      </c>
      <c r="K864" s="4">
        <v>44694</v>
      </c>
      <c r="L864" s="10">
        <v>332696.25390000001</v>
      </c>
    </row>
    <row r="865" spans="1:12" x14ac:dyDescent="0.3">
      <c r="A865" s="2">
        <v>863</v>
      </c>
      <c r="B865" s="3" t="s">
        <v>29</v>
      </c>
      <c r="C865" s="3" t="s">
        <v>83</v>
      </c>
      <c r="D865" s="3" t="s">
        <v>14</v>
      </c>
      <c r="E865" s="3">
        <v>24804</v>
      </c>
      <c r="F865" s="3">
        <v>9</v>
      </c>
      <c r="G865" s="3">
        <v>76600</v>
      </c>
      <c r="H865" s="3" t="s">
        <v>23</v>
      </c>
      <c r="I865" s="3">
        <v>1222</v>
      </c>
      <c r="J865" s="3">
        <v>24</v>
      </c>
      <c r="K865" s="4">
        <v>45357</v>
      </c>
      <c r="L865" s="10">
        <v>322197.47820000001</v>
      </c>
    </row>
    <row r="866" spans="1:12" x14ac:dyDescent="0.3">
      <c r="A866" s="2">
        <v>864</v>
      </c>
      <c r="B866" s="3" t="s">
        <v>53</v>
      </c>
      <c r="C866" s="3" t="s">
        <v>212</v>
      </c>
      <c r="D866" s="3" t="s">
        <v>14</v>
      </c>
      <c r="E866" s="3">
        <v>21210</v>
      </c>
      <c r="F866" s="3">
        <v>4</v>
      </c>
      <c r="G866" s="3">
        <v>58291</v>
      </c>
      <c r="H866" s="3" t="s">
        <v>21</v>
      </c>
      <c r="I866" s="3">
        <v>2639</v>
      </c>
      <c r="J866" s="3">
        <v>25</v>
      </c>
      <c r="K866" s="4">
        <v>43884</v>
      </c>
      <c r="L866" s="10">
        <v>320957.08189999999</v>
      </c>
    </row>
    <row r="867" spans="1:12" x14ac:dyDescent="0.3">
      <c r="A867" s="2">
        <v>865</v>
      </c>
      <c r="B867" s="3" t="s">
        <v>57</v>
      </c>
      <c r="C867" s="3" t="s">
        <v>206</v>
      </c>
      <c r="D867" s="3" t="s">
        <v>18</v>
      </c>
      <c r="E867" s="3">
        <v>12529</v>
      </c>
      <c r="F867" s="3">
        <v>3</v>
      </c>
      <c r="G867" s="3">
        <v>99290</v>
      </c>
      <c r="H867" s="3" t="s">
        <v>21</v>
      </c>
      <c r="I867" s="3">
        <v>1587</v>
      </c>
      <c r="J867" s="3">
        <v>50</v>
      </c>
      <c r="K867" s="4">
        <v>44446</v>
      </c>
      <c r="L867" s="10">
        <v>373780.53840000002</v>
      </c>
    </row>
    <row r="868" spans="1:12" x14ac:dyDescent="0.3">
      <c r="A868" s="2">
        <v>866</v>
      </c>
      <c r="B868" s="3" t="s">
        <v>53</v>
      </c>
      <c r="C868" s="3" t="s">
        <v>225</v>
      </c>
      <c r="D868" s="3" t="s">
        <v>14</v>
      </c>
      <c r="E868" s="3">
        <v>5048</v>
      </c>
      <c r="F868" s="3">
        <v>6</v>
      </c>
      <c r="G868" s="3">
        <v>77559</v>
      </c>
      <c r="H868" s="3" t="s">
        <v>23</v>
      </c>
      <c r="I868" s="3">
        <v>2192</v>
      </c>
      <c r="J868" s="3">
        <v>35</v>
      </c>
      <c r="K868" s="4">
        <v>44998</v>
      </c>
      <c r="L868" s="10">
        <v>326182.24310000002</v>
      </c>
    </row>
    <row r="869" spans="1:12" x14ac:dyDescent="0.3">
      <c r="A869" s="2">
        <v>867</v>
      </c>
      <c r="B869" s="3" t="s">
        <v>35</v>
      </c>
      <c r="C869" s="3" t="s">
        <v>148</v>
      </c>
      <c r="D869" s="3" t="s">
        <v>14</v>
      </c>
      <c r="E869" s="3">
        <v>14135</v>
      </c>
      <c r="F869" s="3">
        <v>7</v>
      </c>
      <c r="G869" s="3">
        <v>96971</v>
      </c>
      <c r="H869" s="3" t="s">
        <v>21</v>
      </c>
      <c r="I869" s="3">
        <v>1913</v>
      </c>
      <c r="J869" s="3">
        <v>44</v>
      </c>
      <c r="K869" s="4">
        <v>45058</v>
      </c>
      <c r="L869" s="10">
        <v>338989.51770000003</v>
      </c>
    </row>
    <row r="870" spans="1:12" x14ac:dyDescent="0.3">
      <c r="A870" s="2">
        <v>868</v>
      </c>
      <c r="B870" s="3" t="s">
        <v>53</v>
      </c>
      <c r="C870" s="3" t="s">
        <v>225</v>
      </c>
      <c r="D870" s="3" t="s">
        <v>14</v>
      </c>
      <c r="E870" s="3">
        <v>15012</v>
      </c>
      <c r="F870" s="3">
        <v>6</v>
      </c>
      <c r="G870" s="3">
        <v>95686</v>
      </c>
      <c r="H870" s="3" t="s">
        <v>21</v>
      </c>
      <c r="I870" s="3">
        <v>2878</v>
      </c>
      <c r="J870" s="3">
        <v>25</v>
      </c>
      <c r="K870" s="4">
        <v>45228</v>
      </c>
      <c r="L870" s="10">
        <v>354430.63799999998</v>
      </c>
    </row>
    <row r="871" spans="1:12" x14ac:dyDescent="0.3">
      <c r="A871" s="2">
        <v>869</v>
      </c>
      <c r="B871" s="3" t="s">
        <v>74</v>
      </c>
      <c r="C871" s="3" t="s">
        <v>89</v>
      </c>
      <c r="D871" s="3" t="s">
        <v>18</v>
      </c>
      <c r="E871" s="3">
        <v>8467</v>
      </c>
      <c r="F871" s="3">
        <v>2</v>
      </c>
      <c r="G871" s="3">
        <v>59788</v>
      </c>
      <c r="H871" s="3" t="s">
        <v>15</v>
      </c>
      <c r="I871" s="3">
        <v>1482</v>
      </c>
      <c r="J871" s="3">
        <v>58</v>
      </c>
      <c r="K871" s="4">
        <v>44526</v>
      </c>
      <c r="L871" s="10">
        <v>347306.86200000002</v>
      </c>
    </row>
    <row r="872" spans="1:12" x14ac:dyDescent="0.3">
      <c r="A872" s="2">
        <v>870</v>
      </c>
      <c r="B872" s="3" t="s">
        <v>28</v>
      </c>
      <c r="C872" s="3" t="s">
        <v>49</v>
      </c>
      <c r="D872" s="3" t="s">
        <v>18</v>
      </c>
      <c r="E872" s="3">
        <v>12146</v>
      </c>
      <c r="F872" s="3">
        <v>5</v>
      </c>
      <c r="G872" s="3">
        <v>99318</v>
      </c>
      <c r="H872" s="3" t="s">
        <v>21</v>
      </c>
      <c r="I872" s="3">
        <v>1255</v>
      </c>
      <c r="J872" s="3">
        <v>20</v>
      </c>
      <c r="K872" s="4">
        <v>45180</v>
      </c>
      <c r="L872" s="10">
        <v>360310.21970000002</v>
      </c>
    </row>
    <row r="873" spans="1:12" x14ac:dyDescent="0.3">
      <c r="A873" s="2">
        <v>871</v>
      </c>
      <c r="B873" s="3" t="s">
        <v>31</v>
      </c>
      <c r="C873" s="3" t="s">
        <v>172</v>
      </c>
      <c r="D873" s="3" t="s">
        <v>14</v>
      </c>
      <c r="E873" s="3">
        <v>11286</v>
      </c>
      <c r="F873" s="3">
        <v>4</v>
      </c>
      <c r="G873" s="3">
        <v>67915</v>
      </c>
      <c r="H873" s="3" t="s">
        <v>21</v>
      </c>
      <c r="I873" s="3">
        <v>2415</v>
      </c>
      <c r="J873" s="3">
        <v>95</v>
      </c>
      <c r="K873" s="4">
        <v>45404</v>
      </c>
      <c r="L873" s="10">
        <v>352918.17050000001</v>
      </c>
    </row>
    <row r="874" spans="1:12" x14ac:dyDescent="0.3">
      <c r="A874" s="2">
        <v>872</v>
      </c>
      <c r="B874" s="3" t="s">
        <v>26</v>
      </c>
      <c r="C874" s="3" t="s">
        <v>93</v>
      </c>
      <c r="D874" s="3" t="s">
        <v>14</v>
      </c>
      <c r="E874" s="3">
        <v>8512</v>
      </c>
      <c r="F874" s="3">
        <v>6</v>
      </c>
      <c r="G874" s="3">
        <v>82558</v>
      </c>
      <c r="H874" s="3" t="s">
        <v>15</v>
      </c>
      <c r="I874" s="3">
        <v>2053</v>
      </c>
      <c r="J874" s="3">
        <v>20</v>
      </c>
      <c r="K874" s="4">
        <v>44059</v>
      </c>
      <c r="L874" s="10">
        <v>289193.71490000002</v>
      </c>
    </row>
    <row r="875" spans="1:12" x14ac:dyDescent="0.3">
      <c r="A875" s="2">
        <v>873</v>
      </c>
      <c r="B875" s="3" t="s">
        <v>53</v>
      </c>
      <c r="C875" s="3" t="s">
        <v>225</v>
      </c>
      <c r="D875" s="3" t="s">
        <v>14</v>
      </c>
      <c r="E875" s="3">
        <v>26924</v>
      </c>
      <c r="F875" s="3">
        <v>7</v>
      </c>
      <c r="G875" s="3">
        <v>63642</v>
      </c>
      <c r="H875" s="3" t="s">
        <v>21</v>
      </c>
      <c r="I875" s="3">
        <v>2519</v>
      </c>
      <c r="J875" s="3">
        <v>77</v>
      </c>
      <c r="K875" s="4">
        <v>44324</v>
      </c>
      <c r="L875" s="10">
        <v>350742.1764</v>
      </c>
    </row>
    <row r="876" spans="1:12" x14ac:dyDescent="0.3">
      <c r="A876" s="2">
        <v>874</v>
      </c>
      <c r="B876" s="3" t="s">
        <v>35</v>
      </c>
      <c r="C876" s="3" t="s">
        <v>177</v>
      </c>
      <c r="D876" s="3" t="s">
        <v>14</v>
      </c>
      <c r="E876" s="3">
        <v>12648</v>
      </c>
      <c r="F876" s="3">
        <v>5</v>
      </c>
      <c r="G876" s="3">
        <v>87542</v>
      </c>
      <c r="H876" s="3" t="s">
        <v>21</v>
      </c>
      <c r="I876" s="3">
        <v>2424</v>
      </c>
      <c r="J876" s="3">
        <v>38</v>
      </c>
      <c r="K876" s="4">
        <v>44287</v>
      </c>
      <c r="L876" s="10">
        <v>342966.8175</v>
      </c>
    </row>
    <row r="877" spans="1:12" x14ac:dyDescent="0.3">
      <c r="A877" s="2">
        <v>875</v>
      </c>
      <c r="B877" s="3" t="s">
        <v>33</v>
      </c>
      <c r="C877" s="3" t="s">
        <v>92</v>
      </c>
      <c r="D877" s="3" t="s">
        <v>18</v>
      </c>
      <c r="E877" s="3">
        <v>8308</v>
      </c>
      <c r="F877" s="3">
        <v>0</v>
      </c>
      <c r="G877" s="3">
        <v>60575</v>
      </c>
      <c r="H877" s="3" t="s">
        <v>21</v>
      </c>
      <c r="I877" s="3">
        <v>1585</v>
      </c>
      <c r="J877" s="3">
        <v>43</v>
      </c>
      <c r="K877" s="4">
        <v>45227</v>
      </c>
      <c r="L877" s="10">
        <v>375022.35190000001</v>
      </c>
    </row>
    <row r="878" spans="1:12" x14ac:dyDescent="0.3">
      <c r="A878" s="2">
        <v>876</v>
      </c>
      <c r="B878" s="3" t="s">
        <v>35</v>
      </c>
      <c r="C878" s="3" t="s">
        <v>200</v>
      </c>
      <c r="D878" s="3" t="s">
        <v>18</v>
      </c>
      <c r="E878" s="3">
        <v>14307</v>
      </c>
      <c r="F878" s="3">
        <v>9</v>
      </c>
      <c r="G878" s="3">
        <v>89347</v>
      </c>
      <c r="H878" s="3" t="s">
        <v>15</v>
      </c>
      <c r="I878" s="3">
        <v>2860</v>
      </c>
      <c r="J878" s="3">
        <v>60</v>
      </c>
      <c r="K878" s="4">
        <v>44229</v>
      </c>
      <c r="L878" s="10">
        <v>379878.98580000002</v>
      </c>
    </row>
    <row r="879" spans="1:12" x14ac:dyDescent="0.3">
      <c r="A879" s="2">
        <v>877</v>
      </c>
      <c r="B879" s="3" t="s">
        <v>31</v>
      </c>
      <c r="C879" s="3" t="s">
        <v>165</v>
      </c>
      <c r="D879" s="3" t="s">
        <v>18</v>
      </c>
      <c r="E879" s="3">
        <v>14959</v>
      </c>
      <c r="F879" s="3">
        <v>4</v>
      </c>
      <c r="G879" s="3">
        <v>59389</v>
      </c>
      <c r="H879" s="3" t="s">
        <v>15</v>
      </c>
      <c r="I879" s="3">
        <v>2218</v>
      </c>
      <c r="J879" s="3">
        <v>34</v>
      </c>
      <c r="K879" s="4">
        <v>44634</v>
      </c>
      <c r="L879" s="10">
        <v>362377.00449999998</v>
      </c>
    </row>
    <row r="880" spans="1:12" x14ac:dyDescent="0.3">
      <c r="A880" s="2">
        <v>878</v>
      </c>
      <c r="B880" s="3" t="s">
        <v>74</v>
      </c>
      <c r="C880" s="3" t="s">
        <v>163</v>
      </c>
      <c r="D880" s="3" t="s">
        <v>18</v>
      </c>
      <c r="E880" s="3">
        <v>8087</v>
      </c>
      <c r="F880" s="3">
        <v>0</v>
      </c>
      <c r="G880" s="3">
        <v>84068</v>
      </c>
      <c r="H880" s="3" t="s">
        <v>23</v>
      </c>
      <c r="I880" s="3">
        <v>1543</v>
      </c>
      <c r="J880" s="3">
        <v>96</v>
      </c>
      <c r="K880" s="4">
        <v>45360</v>
      </c>
      <c r="L880" s="10">
        <v>398310.73570000002</v>
      </c>
    </row>
    <row r="881" spans="1:12" x14ac:dyDescent="0.3">
      <c r="A881" s="2">
        <v>879</v>
      </c>
      <c r="B881" s="3" t="s">
        <v>108</v>
      </c>
      <c r="C881" s="3" t="s">
        <v>205</v>
      </c>
      <c r="D881" s="3" t="s">
        <v>18</v>
      </c>
      <c r="E881" s="3">
        <v>26595</v>
      </c>
      <c r="F881" s="3">
        <v>8</v>
      </c>
      <c r="G881" s="3">
        <v>56596</v>
      </c>
      <c r="H881" s="3" t="s">
        <v>21</v>
      </c>
      <c r="I881" s="3">
        <v>2147</v>
      </c>
      <c r="J881" s="3">
        <v>77</v>
      </c>
      <c r="K881" s="4">
        <v>44385</v>
      </c>
      <c r="L881" s="10">
        <v>423633.52649999998</v>
      </c>
    </row>
    <row r="882" spans="1:12" x14ac:dyDescent="0.3">
      <c r="A882" s="2">
        <v>880</v>
      </c>
      <c r="B882" s="3" t="s">
        <v>57</v>
      </c>
      <c r="C882" s="3" t="s">
        <v>174</v>
      </c>
      <c r="D882" s="3" t="s">
        <v>18</v>
      </c>
      <c r="E882" s="3">
        <v>10301</v>
      </c>
      <c r="F882" s="3">
        <v>4</v>
      </c>
      <c r="G882" s="3">
        <v>72249</v>
      </c>
      <c r="H882" s="3" t="s">
        <v>21</v>
      </c>
      <c r="I882" s="3">
        <v>1165</v>
      </c>
      <c r="J882" s="3">
        <v>25</v>
      </c>
      <c r="K882" s="4">
        <v>44357</v>
      </c>
      <c r="L882" s="10">
        <v>338579.6298</v>
      </c>
    </row>
    <row r="883" spans="1:12" x14ac:dyDescent="0.3">
      <c r="A883" s="2">
        <v>881</v>
      </c>
      <c r="B883" s="3" t="s">
        <v>122</v>
      </c>
      <c r="C883" s="3" t="s">
        <v>138</v>
      </c>
      <c r="D883" s="3" t="s">
        <v>14</v>
      </c>
      <c r="E883" s="3">
        <v>23127</v>
      </c>
      <c r="F883" s="3">
        <v>0</v>
      </c>
      <c r="G883" s="3">
        <v>86141</v>
      </c>
      <c r="H883" s="3" t="s">
        <v>21</v>
      </c>
      <c r="I883" s="3">
        <v>2788</v>
      </c>
      <c r="J883" s="3">
        <v>33</v>
      </c>
      <c r="K883" s="4">
        <v>44394</v>
      </c>
      <c r="L883" s="10">
        <v>357221.79149999999</v>
      </c>
    </row>
    <row r="884" spans="1:12" x14ac:dyDescent="0.3">
      <c r="A884" s="2">
        <v>882</v>
      </c>
      <c r="B884" s="3" t="s">
        <v>24</v>
      </c>
      <c r="C884" s="3" t="s">
        <v>100</v>
      </c>
      <c r="D884" s="3" t="s">
        <v>14</v>
      </c>
      <c r="E884" s="3">
        <v>9863</v>
      </c>
      <c r="F884" s="3">
        <v>8</v>
      </c>
      <c r="G884" s="3">
        <v>80851</v>
      </c>
      <c r="H884" s="3" t="s">
        <v>15</v>
      </c>
      <c r="I884" s="3">
        <v>2818</v>
      </c>
      <c r="J884" s="3">
        <v>70</v>
      </c>
      <c r="K884" s="4">
        <v>45245</v>
      </c>
      <c r="L884" s="10">
        <v>331946.42070000002</v>
      </c>
    </row>
    <row r="885" spans="1:12" x14ac:dyDescent="0.3">
      <c r="A885" s="2">
        <v>883</v>
      </c>
      <c r="B885" s="3" t="s">
        <v>55</v>
      </c>
      <c r="C885" s="3" t="s">
        <v>56</v>
      </c>
      <c r="D885" s="3" t="s">
        <v>14</v>
      </c>
      <c r="E885" s="3">
        <v>27277</v>
      </c>
      <c r="F885" s="3">
        <v>6</v>
      </c>
      <c r="G885" s="3">
        <v>75539</v>
      </c>
      <c r="H885" s="3" t="s">
        <v>23</v>
      </c>
      <c r="I885" s="3">
        <v>1509</v>
      </c>
      <c r="J885" s="3">
        <v>69</v>
      </c>
      <c r="K885" s="4">
        <v>44724</v>
      </c>
      <c r="L885" s="10">
        <v>329242.56439999997</v>
      </c>
    </row>
    <row r="886" spans="1:12" x14ac:dyDescent="0.3">
      <c r="A886" s="2">
        <v>884</v>
      </c>
      <c r="B886" s="3" t="s">
        <v>37</v>
      </c>
      <c r="C886" s="3" t="s">
        <v>128</v>
      </c>
      <c r="D886" s="3" t="s">
        <v>14</v>
      </c>
      <c r="E886" s="3">
        <v>29810</v>
      </c>
      <c r="F886" s="3">
        <v>7</v>
      </c>
      <c r="G886" s="3">
        <v>73522</v>
      </c>
      <c r="H886" s="3" t="s">
        <v>21</v>
      </c>
      <c r="I886" s="3">
        <v>1906</v>
      </c>
      <c r="J886" s="3">
        <v>54</v>
      </c>
      <c r="K886" s="4">
        <v>44258</v>
      </c>
      <c r="L886" s="10">
        <v>325520.2009</v>
      </c>
    </row>
    <row r="887" spans="1:12" x14ac:dyDescent="0.3">
      <c r="A887" s="2">
        <v>885</v>
      </c>
      <c r="B887" s="3" t="s">
        <v>12</v>
      </c>
      <c r="C887" s="3" t="s">
        <v>76</v>
      </c>
      <c r="D887" s="3" t="s">
        <v>14</v>
      </c>
      <c r="E887" s="3">
        <v>25694</v>
      </c>
      <c r="F887" s="3">
        <v>5</v>
      </c>
      <c r="G887" s="3">
        <v>93675</v>
      </c>
      <c r="H887" s="3" t="s">
        <v>23</v>
      </c>
      <c r="I887" s="3">
        <v>2376</v>
      </c>
      <c r="J887" s="3">
        <v>95</v>
      </c>
      <c r="K887" s="4">
        <v>44509</v>
      </c>
      <c r="L887" s="10">
        <v>354419.1875</v>
      </c>
    </row>
    <row r="888" spans="1:12" x14ac:dyDescent="0.3">
      <c r="A888" s="2">
        <v>886</v>
      </c>
      <c r="B888" s="3" t="s">
        <v>53</v>
      </c>
      <c r="C888" s="3" t="s">
        <v>212</v>
      </c>
      <c r="D888" s="3" t="s">
        <v>14</v>
      </c>
      <c r="E888" s="3">
        <v>28887</v>
      </c>
      <c r="F888" s="3">
        <v>0</v>
      </c>
      <c r="G888" s="3">
        <v>53595</v>
      </c>
      <c r="H888" s="3" t="s">
        <v>15</v>
      </c>
      <c r="I888" s="3">
        <v>2509</v>
      </c>
      <c r="J888" s="3">
        <v>82</v>
      </c>
      <c r="K888" s="4">
        <v>44796</v>
      </c>
      <c r="L888" s="10">
        <v>347046.68060000002</v>
      </c>
    </row>
    <row r="889" spans="1:12" x14ac:dyDescent="0.3">
      <c r="A889" s="2">
        <v>887</v>
      </c>
      <c r="B889" s="3" t="s">
        <v>24</v>
      </c>
      <c r="C889" s="3" t="s">
        <v>94</v>
      </c>
      <c r="D889" s="3" t="s">
        <v>14</v>
      </c>
      <c r="E889" s="3">
        <v>4069</v>
      </c>
      <c r="F889" s="3">
        <v>7</v>
      </c>
      <c r="G889" s="3">
        <v>98016</v>
      </c>
      <c r="H889" s="3" t="s">
        <v>21</v>
      </c>
      <c r="I889" s="3">
        <v>1349</v>
      </c>
      <c r="J889" s="3">
        <v>84</v>
      </c>
      <c r="K889" s="4">
        <v>45046</v>
      </c>
      <c r="L889" s="10">
        <v>321192.97869999998</v>
      </c>
    </row>
    <row r="890" spans="1:12" x14ac:dyDescent="0.3">
      <c r="A890" s="2">
        <v>888</v>
      </c>
      <c r="B890" s="3" t="s">
        <v>74</v>
      </c>
      <c r="C890" s="3" t="s">
        <v>106</v>
      </c>
      <c r="D890" s="3" t="s">
        <v>18</v>
      </c>
      <c r="E890" s="3">
        <v>15026</v>
      </c>
      <c r="F890" s="3">
        <v>3</v>
      </c>
      <c r="G890" s="3">
        <v>88060</v>
      </c>
      <c r="H890" s="3" t="s">
        <v>15</v>
      </c>
      <c r="I890" s="3">
        <v>1354</v>
      </c>
      <c r="J890" s="3">
        <v>64</v>
      </c>
      <c r="K890" s="4">
        <v>45207</v>
      </c>
      <c r="L890" s="10">
        <v>350187.75319999998</v>
      </c>
    </row>
    <row r="891" spans="1:12" x14ac:dyDescent="0.3">
      <c r="A891" s="2">
        <v>889</v>
      </c>
      <c r="B891" s="3" t="s">
        <v>74</v>
      </c>
      <c r="C891" s="3" t="s">
        <v>75</v>
      </c>
      <c r="D891" s="3" t="s">
        <v>14</v>
      </c>
      <c r="E891" s="3">
        <v>1803</v>
      </c>
      <c r="F891" s="3">
        <v>4</v>
      </c>
      <c r="G891" s="3">
        <v>94786</v>
      </c>
      <c r="H891" s="3" t="s">
        <v>21</v>
      </c>
      <c r="I891" s="3">
        <v>1400</v>
      </c>
      <c r="J891" s="3">
        <v>64</v>
      </c>
      <c r="K891" s="4">
        <v>44881</v>
      </c>
      <c r="L891" s="10">
        <v>312910.03159999999</v>
      </c>
    </row>
    <row r="892" spans="1:12" x14ac:dyDescent="0.3">
      <c r="A892" s="2">
        <v>890</v>
      </c>
      <c r="B892" s="3" t="s">
        <v>122</v>
      </c>
      <c r="C892" s="3" t="s">
        <v>208</v>
      </c>
      <c r="D892" s="3" t="s">
        <v>14</v>
      </c>
      <c r="E892" s="3">
        <v>20447</v>
      </c>
      <c r="F892" s="3">
        <v>5</v>
      </c>
      <c r="G892" s="3">
        <v>75977</v>
      </c>
      <c r="H892" s="3" t="s">
        <v>23</v>
      </c>
      <c r="I892" s="3">
        <v>2030</v>
      </c>
      <c r="J892" s="3">
        <v>90</v>
      </c>
      <c r="K892" s="4">
        <v>44590</v>
      </c>
      <c r="L892" s="10">
        <v>346174.43959999998</v>
      </c>
    </row>
    <row r="893" spans="1:12" x14ac:dyDescent="0.3">
      <c r="A893" s="2">
        <v>891</v>
      </c>
      <c r="B893" s="3" t="s">
        <v>40</v>
      </c>
      <c r="C893" s="3" t="s">
        <v>210</v>
      </c>
      <c r="D893" s="3" t="s">
        <v>14</v>
      </c>
      <c r="E893" s="3">
        <v>20515</v>
      </c>
      <c r="F893" s="3">
        <v>3</v>
      </c>
      <c r="G893" s="3">
        <v>56792</v>
      </c>
      <c r="H893" s="3" t="s">
        <v>21</v>
      </c>
      <c r="I893" s="3">
        <v>1760</v>
      </c>
      <c r="J893" s="3">
        <v>90</v>
      </c>
      <c r="K893" s="4">
        <v>44238</v>
      </c>
      <c r="L893" s="10">
        <v>329944.29440000001</v>
      </c>
    </row>
    <row r="894" spans="1:12" x14ac:dyDescent="0.3">
      <c r="A894" s="2">
        <v>892</v>
      </c>
      <c r="B894" s="3" t="s">
        <v>12</v>
      </c>
      <c r="C894" s="3" t="s">
        <v>173</v>
      </c>
      <c r="D894" s="3" t="s">
        <v>18</v>
      </c>
      <c r="E894" s="3">
        <v>28291</v>
      </c>
      <c r="F894" s="3">
        <v>7</v>
      </c>
      <c r="G894" s="3">
        <v>72865</v>
      </c>
      <c r="H894" s="3" t="s">
        <v>23</v>
      </c>
      <c r="I894" s="3">
        <v>2242</v>
      </c>
      <c r="J894" s="3">
        <v>40</v>
      </c>
      <c r="K894" s="4">
        <v>44840</v>
      </c>
      <c r="L894" s="10">
        <v>391170.72739999997</v>
      </c>
    </row>
    <row r="895" spans="1:12" x14ac:dyDescent="0.3">
      <c r="A895" s="2">
        <v>893</v>
      </c>
      <c r="B895" s="3" t="s">
        <v>31</v>
      </c>
      <c r="C895" s="3" t="s">
        <v>63</v>
      </c>
      <c r="D895" s="3" t="s">
        <v>18</v>
      </c>
      <c r="E895" s="3">
        <v>24892</v>
      </c>
      <c r="F895" s="3">
        <v>0</v>
      </c>
      <c r="G895" s="3">
        <v>97110</v>
      </c>
      <c r="H895" s="3" t="s">
        <v>23</v>
      </c>
      <c r="I895" s="3">
        <v>2080</v>
      </c>
      <c r="J895" s="3">
        <v>68</v>
      </c>
      <c r="K895" s="4">
        <v>45031</v>
      </c>
      <c r="L895" s="10">
        <v>427681.4596</v>
      </c>
    </row>
    <row r="896" spans="1:12" x14ac:dyDescent="0.3">
      <c r="A896" s="2">
        <v>894</v>
      </c>
      <c r="B896" s="3" t="s">
        <v>40</v>
      </c>
      <c r="C896" s="3" t="s">
        <v>42</v>
      </c>
      <c r="D896" s="3" t="s">
        <v>18</v>
      </c>
      <c r="E896" s="3">
        <v>20261</v>
      </c>
      <c r="F896" s="3">
        <v>7</v>
      </c>
      <c r="G896" s="3">
        <v>64709</v>
      </c>
      <c r="H896" s="3" t="s">
        <v>15</v>
      </c>
      <c r="I896" s="3">
        <v>2865</v>
      </c>
      <c r="J896" s="3">
        <v>38</v>
      </c>
      <c r="K896" s="4">
        <v>45425</v>
      </c>
      <c r="L896" s="10">
        <v>380898.84700000001</v>
      </c>
    </row>
    <row r="897" spans="1:12" x14ac:dyDescent="0.3">
      <c r="A897" s="2">
        <v>895</v>
      </c>
      <c r="B897" s="3" t="s">
        <v>37</v>
      </c>
      <c r="C897" s="3" t="s">
        <v>202</v>
      </c>
      <c r="D897" s="3" t="s">
        <v>14</v>
      </c>
      <c r="E897" s="3">
        <v>29956</v>
      </c>
      <c r="F897" s="3">
        <v>9</v>
      </c>
      <c r="G897" s="3">
        <v>89715</v>
      </c>
      <c r="H897" s="3" t="s">
        <v>23</v>
      </c>
      <c r="I897" s="3">
        <v>2898</v>
      </c>
      <c r="J897" s="3">
        <v>84</v>
      </c>
      <c r="K897" s="4">
        <v>44604</v>
      </c>
      <c r="L897" s="10">
        <v>383249.6752</v>
      </c>
    </row>
    <row r="898" spans="1:12" x14ac:dyDescent="0.3">
      <c r="A898" s="2">
        <v>896</v>
      </c>
      <c r="B898" s="3" t="s">
        <v>35</v>
      </c>
      <c r="C898" s="3" t="s">
        <v>150</v>
      </c>
      <c r="D898" s="3" t="s">
        <v>14</v>
      </c>
      <c r="E898" s="3">
        <v>13082</v>
      </c>
      <c r="F898" s="3">
        <v>2</v>
      </c>
      <c r="G898" s="3">
        <v>95625</v>
      </c>
      <c r="H898" s="3" t="s">
        <v>15</v>
      </c>
      <c r="I898" s="3">
        <v>1123</v>
      </c>
      <c r="J898" s="3">
        <v>22</v>
      </c>
      <c r="K898" s="4">
        <v>44580</v>
      </c>
      <c r="L898" s="10">
        <v>301794.06929999997</v>
      </c>
    </row>
    <row r="899" spans="1:12" x14ac:dyDescent="0.3">
      <c r="A899" s="2">
        <v>897</v>
      </c>
      <c r="B899" s="3" t="s">
        <v>74</v>
      </c>
      <c r="C899" s="3" t="s">
        <v>153</v>
      </c>
      <c r="D899" s="3" t="s">
        <v>18</v>
      </c>
      <c r="E899" s="3">
        <v>25586</v>
      </c>
      <c r="F899" s="3">
        <v>8</v>
      </c>
      <c r="G899" s="3">
        <v>80371</v>
      </c>
      <c r="H899" s="3" t="s">
        <v>21</v>
      </c>
      <c r="I899" s="3">
        <v>2949</v>
      </c>
      <c r="J899" s="3">
        <v>81</v>
      </c>
      <c r="K899" s="4">
        <v>45157</v>
      </c>
      <c r="L899" s="10">
        <v>390233.53810000001</v>
      </c>
    </row>
    <row r="900" spans="1:12" x14ac:dyDescent="0.3">
      <c r="A900" s="2">
        <v>898</v>
      </c>
      <c r="B900" s="3" t="s">
        <v>24</v>
      </c>
      <c r="C900" s="3" t="s">
        <v>101</v>
      </c>
      <c r="D900" s="3" t="s">
        <v>14</v>
      </c>
      <c r="E900" s="3">
        <v>21329</v>
      </c>
      <c r="F900" s="3">
        <v>5</v>
      </c>
      <c r="G900" s="3">
        <v>91878</v>
      </c>
      <c r="H900" s="3" t="s">
        <v>15</v>
      </c>
      <c r="I900" s="3">
        <v>2653</v>
      </c>
      <c r="J900" s="3">
        <v>62</v>
      </c>
      <c r="K900" s="4">
        <v>44105</v>
      </c>
      <c r="L900" s="10">
        <v>322381.32610000001</v>
      </c>
    </row>
    <row r="901" spans="1:12" x14ac:dyDescent="0.3">
      <c r="A901" s="2">
        <v>899</v>
      </c>
      <c r="B901" s="3" t="s">
        <v>35</v>
      </c>
      <c r="C901" s="3" t="s">
        <v>62</v>
      </c>
      <c r="D901" s="3" t="s">
        <v>18</v>
      </c>
      <c r="E901" s="3">
        <v>17378</v>
      </c>
      <c r="F901" s="3">
        <v>6</v>
      </c>
      <c r="G901" s="3">
        <v>94723</v>
      </c>
      <c r="H901" s="3" t="s">
        <v>15</v>
      </c>
      <c r="I901" s="3">
        <v>2532</v>
      </c>
      <c r="J901" s="3">
        <v>71</v>
      </c>
      <c r="K901" s="4">
        <v>45004</v>
      </c>
      <c r="L901" s="10">
        <v>385130.11790000001</v>
      </c>
    </row>
    <row r="902" spans="1:12" x14ac:dyDescent="0.3">
      <c r="A902" s="2">
        <v>900</v>
      </c>
      <c r="B902" s="3" t="s">
        <v>53</v>
      </c>
      <c r="C902" s="3" t="s">
        <v>212</v>
      </c>
      <c r="D902" s="3" t="s">
        <v>14</v>
      </c>
      <c r="E902" s="3">
        <v>16249</v>
      </c>
      <c r="F902" s="3">
        <v>6</v>
      </c>
      <c r="G902" s="3">
        <v>90318</v>
      </c>
      <c r="H902" s="3" t="s">
        <v>15</v>
      </c>
      <c r="I902" s="3">
        <v>1101</v>
      </c>
      <c r="J902" s="3">
        <v>51</v>
      </c>
      <c r="K902" s="4">
        <v>45423</v>
      </c>
      <c r="L902" s="10">
        <v>281808.75679999997</v>
      </c>
    </row>
    <row r="903" spans="1:12" x14ac:dyDescent="0.3">
      <c r="A903" s="2">
        <v>901</v>
      </c>
      <c r="B903" s="3" t="s">
        <v>108</v>
      </c>
      <c r="C903" s="3" t="s">
        <v>117</v>
      </c>
      <c r="D903" s="3" t="s">
        <v>14</v>
      </c>
      <c r="E903" s="3">
        <v>9756</v>
      </c>
      <c r="F903" s="3">
        <v>2</v>
      </c>
      <c r="G903" s="3">
        <v>55427</v>
      </c>
      <c r="H903" s="3" t="s">
        <v>23</v>
      </c>
      <c r="I903" s="3">
        <v>2853</v>
      </c>
      <c r="J903" s="3">
        <v>53</v>
      </c>
      <c r="K903" s="4">
        <v>45513</v>
      </c>
      <c r="L903" s="10">
        <v>355244.0526</v>
      </c>
    </row>
    <row r="904" spans="1:12" x14ac:dyDescent="0.3">
      <c r="A904" s="2">
        <v>902</v>
      </c>
      <c r="B904" s="3" t="s">
        <v>74</v>
      </c>
      <c r="C904" s="3" t="s">
        <v>106</v>
      </c>
      <c r="D904" s="3" t="s">
        <v>18</v>
      </c>
      <c r="E904" s="3">
        <v>10411</v>
      </c>
      <c r="F904" s="3">
        <v>8</v>
      </c>
      <c r="G904" s="3">
        <v>99807</v>
      </c>
      <c r="H904" s="3" t="s">
        <v>23</v>
      </c>
      <c r="I904" s="3">
        <v>1016</v>
      </c>
      <c r="J904" s="3">
        <v>52</v>
      </c>
      <c r="K904" s="4">
        <v>44131</v>
      </c>
      <c r="L904" s="10">
        <v>341137.58010000002</v>
      </c>
    </row>
    <row r="905" spans="1:12" x14ac:dyDescent="0.3">
      <c r="A905" s="2">
        <v>903</v>
      </c>
      <c r="B905" s="3" t="s">
        <v>19</v>
      </c>
      <c r="C905" s="3" t="s">
        <v>155</v>
      </c>
      <c r="D905" s="3" t="s">
        <v>18</v>
      </c>
      <c r="E905" s="3">
        <v>7714</v>
      </c>
      <c r="F905" s="3">
        <v>5</v>
      </c>
      <c r="G905" s="3">
        <v>94678</v>
      </c>
      <c r="H905" s="3" t="s">
        <v>23</v>
      </c>
      <c r="I905" s="3">
        <v>1211</v>
      </c>
      <c r="J905" s="3">
        <v>55</v>
      </c>
      <c r="K905" s="4">
        <v>44338</v>
      </c>
      <c r="L905" s="10">
        <v>376899.00410000002</v>
      </c>
    </row>
    <row r="906" spans="1:12" x14ac:dyDescent="0.3">
      <c r="A906" s="2">
        <v>904</v>
      </c>
      <c r="B906" s="3" t="s">
        <v>37</v>
      </c>
      <c r="C906" s="3" t="s">
        <v>202</v>
      </c>
      <c r="D906" s="3" t="s">
        <v>14</v>
      </c>
      <c r="E906" s="3">
        <v>5481</v>
      </c>
      <c r="F906" s="3">
        <v>8</v>
      </c>
      <c r="G906" s="3">
        <v>95252</v>
      </c>
      <c r="H906" s="3" t="s">
        <v>21</v>
      </c>
      <c r="I906" s="3">
        <v>1100</v>
      </c>
      <c r="J906" s="3">
        <v>95</v>
      </c>
      <c r="K906" s="4">
        <v>44366</v>
      </c>
      <c r="L906" s="10">
        <v>312930.82569999999</v>
      </c>
    </row>
    <row r="907" spans="1:12" x14ac:dyDescent="0.3">
      <c r="A907" s="2">
        <v>905</v>
      </c>
      <c r="B907" s="3" t="s">
        <v>57</v>
      </c>
      <c r="C907" s="3" t="s">
        <v>86</v>
      </c>
      <c r="D907" s="3" t="s">
        <v>14</v>
      </c>
      <c r="E907" s="3">
        <v>17037</v>
      </c>
      <c r="F907" s="3">
        <v>6</v>
      </c>
      <c r="G907" s="3">
        <v>92378</v>
      </c>
      <c r="H907" s="3" t="s">
        <v>23</v>
      </c>
      <c r="I907" s="3">
        <v>1782</v>
      </c>
      <c r="J907" s="3">
        <v>29</v>
      </c>
      <c r="K907" s="4">
        <v>44503</v>
      </c>
      <c r="L907" s="10">
        <v>324180.24540000001</v>
      </c>
    </row>
    <row r="908" spans="1:12" x14ac:dyDescent="0.3">
      <c r="A908" s="2">
        <v>906</v>
      </c>
      <c r="B908" s="3" t="s">
        <v>19</v>
      </c>
      <c r="C908" s="3" t="s">
        <v>218</v>
      </c>
      <c r="D908" s="3" t="s">
        <v>14</v>
      </c>
      <c r="E908" s="3">
        <v>18034</v>
      </c>
      <c r="F908" s="3">
        <v>3</v>
      </c>
      <c r="G908" s="3">
        <v>59066</v>
      </c>
      <c r="H908" s="3" t="s">
        <v>21</v>
      </c>
      <c r="I908" s="3">
        <v>1688</v>
      </c>
      <c r="J908" s="3">
        <v>83</v>
      </c>
      <c r="K908" s="4">
        <v>44904</v>
      </c>
      <c r="L908" s="10">
        <v>339163.23</v>
      </c>
    </row>
    <row r="909" spans="1:12" x14ac:dyDescent="0.3">
      <c r="A909" s="2">
        <v>907</v>
      </c>
      <c r="B909" s="3" t="s">
        <v>12</v>
      </c>
      <c r="C909" s="3" t="s">
        <v>126</v>
      </c>
      <c r="D909" s="3" t="s">
        <v>14</v>
      </c>
      <c r="E909" s="3">
        <v>16694</v>
      </c>
      <c r="F909" s="3">
        <v>4</v>
      </c>
      <c r="G909" s="3">
        <v>94556</v>
      </c>
      <c r="H909" s="3" t="s">
        <v>23</v>
      </c>
      <c r="I909" s="3">
        <v>2489</v>
      </c>
      <c r="J909" s="3">
        <v>31</v>
      </c>
      <c r="K909" s="4">
        <v>44454</v>
      </c>
      <c r="L909" s="10">
        <v>344457.11109999998</v>
      </c>
    </row>
    <row r="910" spans="1:12" x14ac:dyDescent="0.3">
      <c r="A910" s="2">
        <v>908</v>
      </c>
      <c r="B910" s="3" t="s">
        <v>122</v>
      </c>
      <c r="C910" s="3" t="s">
        <v>189</v>
      </c>
      <c r="D910" s="3" t="s">
        <v>18</v>
      </c>
      <c r="E910" s="3">
        <v>12762</v>
      </c>
      <c r="F910" s="3">
        <v>5</v>
      </c>
      <c r="G910" s="3">
        <v>60555</v>
      </c>
      <c r="H910" s="3" t="s">
        <v>15</v>
      </c>
      <c r="I910" s="3">
        <v>1057</v>
      </c>
      <c r="J910" s="3">
        <v>65</v>
      </c>
      <c r="K910" s="4">
        <v>44631</v>
      </c>
      <c r="L910" s="10">
        <v>335309.67700000003</v>
      </c>
    </row>
    <row r="911" spans="1:12" x14ac:dyDescent="0.3">
      <c r="A911" s="2">
        <v>909</v>
      </c>
      <c r="B911" s="3" t="s">
        <v>35</v>
      </c>
      <c r="C911" s="3" t="s">
        <v>62</v>
      </c>
      <c r="D911" s="3" t="s">
        <v>18</v>
      </c>
      <c r="E911" s="3">
        <v>5388</v>
      </c>
      <c r="F911" s="3">
        <v>1</v>
      </c>
      <c r="G911" s="3">
        <v>88049</v>
      </c>
      <c r="H911" s="3" t="s">
        <v>21</v>
      </c>
      <c r="I911" s="3">
        <v>1020</v>
      </c>
      <c r="J911" s="3">
        <v>45</v>
      </c>
      <c r="K911" s="4">
        <v>45452</v>
      </c>
      <c r="L911" s="10">
        <v>373024.0735</v>
      </c>
    </row>
    <row r="912" spans="1:12" x14ac:dyDescent="0.3">
      <c r="A912" s="2">
        <v>910</v>
      </c>
      <c r="B912" s="3" t="s">
        <v>12</v>
      </c>
      <c r="C912" s="3" t="s">
        <v>140</v>
      </c>
      <c r="D912" s="3" t="s">
        <v>14</v>
      </c>
      <c r="E912" s="3">
        <v>27335</v>
      </c>
      <c r="F912" s="3">
        <v>2</v>
      </c>
      <c r="G912" s="3">
        <v>58825</v>
      </c>
      <c r="H912" s="3" t="s">
        <v>21</v>
      </c>
      <c r="I912" s="3">
        <v>2789</v>
      </c>
      <c r="J912" s="3">
        <v>88</v>
      </c>
      <c r="K912" s="4">
        <v>44017</v>
      </c>
      <c r="L912" s="10">
        <v>382377.30570000003</v>
      </c>
    </row>
    <row r="913" spans="1:12" x14ac:dyDescent="0.3">
      <c r="A913" s="2">
        <v>911</v>
      </c>
      <c r="B913" s="3" t="s">
        <v>31</v>
      </c>
      <c r="C913" s="3" t="s">
        <v>165</v>
      </c>
      <c r="D913" s="3" t="s">
        <v>18</v>
      </c>
      <c r="E913" s="3">
        <v>14862</v>
      </c>
      <c r="F913" s="3">
        <v>6</v>
      </c>
      <c r="G913" s="3">
        <v>98682</v>
      </c>
      <c r="H913" s="3" t="s">
        <v>23</v>
      </c>
      <c r="I913" s="3">
        <v>2120</v>
      </c>
      <c r="J913" s="3">
        <v>48</v>
      </c>
      <c r="K913" s="4">
        <v>44495</v>
      </c>
      <c r="L913" s="10">
        <v>353589.212</v>
      </c>
    </row>
    <row r="914" spans="1:12" x14ac:dyDescent="0.3">
      <c r="A914" s="2">
        <v>912</v>
      </c>
      <c r="B914" s="3" t="s">
        <v>35</v>
      </c>
      <c r="C914" s="3" t="s">
        <v>191</v>
      </c>
      <c r="D914" s="3" t="s">
        <v>14</v>
      </c>
      <c r="E914" s="3">
        <v>28559</v>
      </c>
      <c r="F914" s="3">
        <v>4</v>
      </c>
      <c r="G914" s="3">
        <v>61211</v>
      </c>
      <c r="H914" s="3" t="s">
        <v>15</v>
      </c>
      <c r="I914" s="3">
        <v>2084</v>
      </c>
      <c r="J914" s="3">
        <v>44</v>
      </c>
      <c r="K914" s="4">
        <v>43979</v>
      </c>
      <c r="L914" s="10">
        <v>333005.71159999998</v>
      </c>
    </row>
    <row r="915" spans="1:12" x14ac:dyDescent="0.3">
      <c r="A915" s="2">
        <v>913</v>
      </c>
      <c r="B915" s="3" t="s">
        <v>44</v>
      </c>
      <c r="C915" s="3" t="s">
        <v>201</v>
      </c>
      <c r="D915" s="3" t="s">
        <v>18</v>
      </c>
      <c r="E915" s="3">
        <v>3040</v>
      </c>
      <c r="F915" s="3">
        <v>3</v>
      </c>
      <c r="G915" s="3">
        <v>60535</v>
      </c>
      <c r="H915" s="3" t="s">
        <v>23</v>
      </c>
      <c r="I915" s="3">
        <v>1983</v>
      </c>
      <c r="J915" s="3">
        <v>41</v>
      </c>
      <c r="K915" s="4">
        <v>45425</v>
      </c>
      <c r="L915" s="10">
        <v>409435.1655</v>
      </c>
    </row>
    <row r="916" spans="1:12" x14ac:dyDescent="0.3">
      <c r="A916" s="2">
        <v>914</v>
      </c>
      <c r="B916" s="3" t="s">
        <v>31</v>
      </c>
      <c r="C916" s="3" t="s">
        <v>185</v>
      </c>
      <c r="D916" s="3" t="s">
        <v>18</v>
      </c>
      <c r="E916" s="3">
        <v>14735</v>
      </c>
      <c r="F916" s="3">
        <v>1</v>
      </c>
      <c r="G916" s="3">
        <v>62219</v>
      </c>
      <c r="H916" s="3" t="s">
        <v>15</v>
      </c>
      <c r="I916" s="3">
        <v>2024</v>
      </c>
      <c r="J916" s="3">
        <v>54</v>
      </c>
      <c r="K916" s="4">
        <v>45217</v>
      </c>
      <c r="L916" s="10">
        <v>362717.45069999999</v>
      </c>
    </row>
    <row r="917" spans="1:12" x14ac:dyDescent="0.3">
      <c r="A917" s="2">
        <v>915</v>
      </c>
      <c r="B917" s="3" t="s">
        <v>16</v>
      </c>
      <c r="C917" s="3" t="s">
        <v>87</v>
      </c>
      <c r="D917" s="3" t="s">
        <v>14</v>
      </c>
      <c r="E917" s="3">
        <v>23529</v>
      </c>
      <c r="F917" s="3">
        <v>8</v>
      </c>
      <c r="G917" s="3">
        <v>85954</v>
      </c>
      <c r="H917" s="3" t="s">
        <v>23</v>
      </c>
      <c r="I917" s="3">
        <v>1764</v>
      </c>
      <c r="J917" s="3">
        <v>40</v>
      </c>
      <c r="K917" s="4">
        <v>45079</v>
      </c>
      <c r="L917" s="10">
        <v>336885.51419999998</v>
      </c>
    </row>
    <row r="918" spans="1:12" x14ac:dyDescent="0.3">
      <c r="A918" s="2">
        <v>916</v>
      </c>
      <c r="B918" s="3" t="s">
        <v>44</v>
      </c>
      <c r="C918" s="3" t="s">
        <v>45</v>
      </c>
      <c r="D918" s="3" t="s">
        <v>18</v>
      </c>
      <c r="E918" s="3">
        <v>24797</v>
      </c>
      <c r="F918" s="3">
        <v>1</v>
      </c>
      <c r="G918" s="3">
        <v>60841</v>
      </c>
      <c r="H918" s="3" t="s">
        <v>21</v>
      </c>
      <c r="I918" s="3">
        <v>1483</v>
      </c>
      <c r="J918" s="3">
        <v>58</v>
      </c>
      <c r="K918" s="4">
        <v>44896</v>
      </c>
      <c r="L918" s="10">
        <v>378252.61829999997</v>
      </c>
    </row>
    <row r="919" spans="1:12" x14ac:dyDescent="0.3">
      <c r="A919" s="2">
        <v>917</v>
      </c>
      <c r="B919" s="3" t="s">
        <v>40</v>
      </c>
      <c r="C919" s="3" t="s">
        <v>103</v>
      </c>
      <c r="D919" s="3" t="s">
        <v>14</v>
      </c>
      <c r="E919" s="3">
        <v>16412</v>
      </c>
      <c r="F919" s="3">
        <v>3</v>
      </c>
      <c r="G919" s="3">
        <v>50988</v>
      </c>
      <c r="H919" s="3" t="s">
        <v>21</v>
      </c>
      <c r="I919" s="3">
        <v>2289</v>
      </c>
      <c r="J919" s="3">
        <v>33</v>
      </c>
      <c r="K919" s="4">
        <v>44107</v>
      </c>
      <c r="L919" s="10">
        <v>342847.72930000001</v>
      </c>
    </row>
    <row r="920" spans="1:12" x14ac:dyDescent="0.3">
      <c r="A920" s="2">
        <v>918</v>
      </c>
      <c r="B920" s="3" t="s">
        <v>24</v>
      </c>
      <c r="C920" s="3" t="s">
        <v>25</v>
      </c>
      <c r="D920" s="3" t="s">
        <v>14</v>
      </c>
      <c r="E920" s="3">
        <v>6654</v>
      </c>
      <c r="F920" s="3">
        <v>5</v>
      </c>
      <c r="G920" s="3">
        <v>83001</v>
      </c>
      <c r="H920" s="3" t="s">
        <v>15</v>
      </c>
      <c r="I920" s="3">
        <v>2817</v>
      </c>
      <c r="J920" s="3">
        <v>28</v>
      </c>
      <c r="K920" s="4">
        <v>45441</v>
      </c>
      <c r="L920" s="10">
        <v>328981.9828</v>
      </c>
    </row>
    <row r="921" spans="1:12" x14ac:dyDescent="0.3">
      <c r="A921" s="2">
        <v>919</v>
      </c>
      <c r="B921" s="3" t="s">
        <v>108</v>
      </c>
      <c r="C921" s="3" t="s">
        <v>203</v>
      </c>
      <c r="D921" s="3" t="s">
        <v>18</v>
      </c>
      <c r="E921" s="3">
        <v>28688</v>
      </c>
      <c r="F921" s="3">
        <v>7</v>
      </c>
      <c r="G921" s="3">
        <v>84767</v>
      </c>
      <c r="H921" s="3" t="s">
        <v>15</v>
      </c>
      <c r="I921" s="3">
        <v>1799</v>
      </c>
      <c r="J921" s="3">
        <v>98</v>
      </c>
      <c r="K921" s="4">
        <v>45353</v>
      </c>
      <c r="L921" s="10">
        <v>369402.30320000002</v>
      </c>
    </row>
    <row r="922" spans="1:12" x14ac:dyDescent="0.3">
      <c r="A922" s="2">
        <v>920</v>
      </c>
      <c r="B922" s="3" t="s">
        <v>29</v>
      </c>
      <c r="C922" s="3" t="s">
        <v>104</v>
      </c>
      <c r="D922" s="3" t="s">
        <v>18</v>
      </c>
      <c r="E922" s="3">
        <v>23586</v>
      </c>
      <c r="F922" s="3">
        <v>5</v>
      </c>
      <c r="G922" s="3">
        <v>92238</v>
      </c>
      <c r="H922" s="3" t="s">
        <v>23</v>
      </c>
      <c r="I922" s="3">
        <v>2089</v>
      </c>
      <c r="J922" s="3">
        <v>56</v>
      </c>
      <c r="K922" s="4">
        <v>43887</v>
      </c>
      <c r="L922" s="10">
        <v>385243.25150000001</v>
      </c>
    </row>
    <row r="923" spans="1:12" x14ac:dyDescent="0.3">
      <c r="A923" s="2">
        <v>921</v>
      </c>
      <c r="B923" s="3" t="s">
        <v>72</v>
      </c>
      <c r="C923" s="3" t="s">
        <v>180</v>
      </c>
      <c r="D923" s="3" t="s">
        <v>14</v>
      </c>
      <c r="E923" s="3">
        <v>27691</v>
      </c>
      <c r="F923" s="3">
        <v>2</v>
      </c>
      <c r="G923" s="3">
        <v>89703</v>
      </c>
      <c r="H923" s="3" t="s">
        <v>23</v>
      </c>
      <c r="I923" s="3">
        <v>2921</v>
      </c>
      <c r="J923" s="3">
        <v>78</v>
      </c>
      <c r="K923" s="4">
        <v>45124</v>
      </c>
      <c r="L923" s="10">
        <v>391689.99979999999</v>
      </c>
    </row>
    <row r="924" spans="1:12" x14ac:dyDescent="0.3">
      <c r="A924" s="2">
        <v>922</v>
      </c>
      <c r="B924" s="3" t="s">
        <v>24</v>
      </c>
      <c r="C924" s="3" t="s">
        <v>154</v>
      </c>
      <c r="D924" s="3" t="s">
        <v>14</v>
      </c>
      <c r="E924" s="3">
        <v>23372</v>
      </c>
      <c r="F924" s="3">
        <v>8</v>
      </c>
      <c r="G924" s="3">
        <v>77225</v>
      </c>
      <c r="H924" s="3" t="s">
        <v>21</v>
      </c>
      <c r="I924" s="3">
        <v>1898</v>
      </c>
      <c r="J924" s="3">
        <v>43</v>
      </c>
      <c r="K924" s="4">
        <v>43983</v>
      </c>
      <c r="L924" s="10">
        <v>349072.2231</v>
      </c>
    </row>
    <row r="925" spans="1:12" x14ac:dyDescent="0.3">
      <c r="A925" s="2">
        <v>923</v>
      </c>
      <c r="B925" s="3" t="s">
        <v>122</v>
      </c>
      <c r="C925" s="3" t="s">
        <v>222</v>
      </c>
      <c r="D925" s="3" t="s">
        <v>18</v>
      </c>
      <c r="E925" s="3">
        <v>17278</v>
      </c>
      <c r="F925" s="3">
        <v>9</v>
      </c>
      <c r="G925" s="3">
        <v>95676</v>
      </c>
      <c r="H925" s="3" t="s">
        <v>23</v>
      </c>
      <c r="I925" s="3">
        <v>1239</v>
      </c>
      <c r="J925" s="3">
        <v>81</v>
      </c>
      <c r="K925" s="4">
        <v>44388</v>
      </c>
      <c r="L925" s="10">
        <v>374655.89620000002</v>
      </c>
    </row>
    <row r="926" spans="1:12" x14ac:dyDescent="0.3">
      <c r="A926" s="2">
        <v>924</v>
      </c>
      <c r="B926" s="3" t="s">
        <v>57</v>
      </c>
      <c r="C926" s="3" t="s">
        <v>168</v>
      </c>
      <c r="D926" s="3" t="s">
        <v>14</v>
      </c>
      <c r="E926" s="3">
        <v>15604</v>
      </c>
      <c r="F926" s="3">
        <v>7</v>
      </c>
      <c r="G926" s="3">
        <v>78790</v>
      </c>
      <c r="H926" s="3" t="s">
        <v>23</v>
      </c>
      <c r="I926" s="3">
        <v>1680</v>
      </c>
      <c r="J926" s="3">
        <v>91</v>
      </c>
      <c r="K926" s="4">
        <v>44330</v>
      </c>
      <c r="L926" s="10">
        <v>335471.51169999997</v>
      </c>
    </row>
    <row r="927" spans="1:12" x14ac:dyDescent="0.3">
      <c r="A927" s="2">
        <v>925</v>
      </c>
      <c r="B927" s="3" t="s">
        <v>26</v>
      </c>
      <c r="C927" s="3" t="s">
        <v>27</v>
      </c>
      <c r="D927" s="3" t="s">
        <v>14</v>
      </c>
      <c r="E927" s="3">
        <v>16175</v>
      </c>
      <c r="F927" s="3">
        <v>7</v>
      </c>
      <c r="G927" s="3">
        <v>93326</v>
      </c>
      <c r="H927" s="3" t="s">
        <v>15</v>
      </c>
      <c r="I927" s="3">
        <v>1489</v>
      </c>
      <c r="J927" s="3">
        <v>78</v>
      </c>
      <c r="K927" s="4">
        <v>45500</v>
      </c>
      <c r="L927" s="10">
        <v>315404.54119999998</v>
      </c>
    </row>
    <row r="928" spans="1:12" x14ac:dyDescent="0.3">
      <c r="A928" s="2">
        <v>926</v>
      </c>
      <c r="B928" s="3" t="s">
        <v>122</v>
      </c>
      <c r="C928" s="3" t="s">
        <v>195</v>
      </c>
      <c r="D928" s="3" t="s">
        <v>18</v>
      </c>
      <c r="E928" s="3">
        <v>22941</v>
      </c>
      <c r="F928" s="3">
        <v>1</v>
      </c>
      <c r="G928" s="3">
        <v>93589</v>
      </c>
      <c r="H928" s="3" t="s">
        <v>15</v>
      </c>
      <c r="I928" s="3">
        <v>2757</v>
      </c>
      <c r="J928" s="3">
        <v>64</v>
      </c>
      <c r="K928" s="4">
        <v>44973</v>
      </c>
      <c r="L928" s="10">
        <v>392033.87300000002</v>
      </c>
    </row>
    <row r="929" spans="1:12" x14ac:dyDescent="0.3">
      <c r="A929" s="2">
        <v>927</v>
      </c>
      <c r="B929" s="3" t="s">
        <v>74</v>
      </c>
      <c r="C929" s="3" t="s">
        <v>153</v>
      </c>
      <c r="D929" s="3" t="s">
        <v>18</v>
      </c>
      <c r="E929" s="3">
        <v>27615</v>
      </c>
      <c r="F929" s="3">
        <v>7</v>
      </c>
      <c r="G929" s="3">
        <v>83182</v>
      </c>
      <c r="H929" s="3" t="s">
        <v>21</v>
      </c>
      <c r="I929" s="3">
        <v>2251</v>
      </c>
      <c r="J929" s="3">
        <v>31</v>
      </c>
      <c r="K929" s="4">
        <v>43968</v>
      </c>
      <c r="L929" s="10">
        <v>385487.45380000002</v>
      </c>
    </row>
    <row r="930" spans="1:12" x14ac:dyDescent="0.3">
      <c r="A930" s="2">
        <v>928</v>
      </c>
      <c r="B930" s="3" t="s">
        <v>108</v>
      </c>
      <c r="C930" s="3" t="s">
        <v>115</v>
      </c>
      <c r="D930" s="3" t="s">
        <v>14</v>
      </c>
      <c r="E930" s="3">
        <v>19010</v>
      </c>
      <c r="F930" s="3">
        <v>2</v>
      </c>
      <c r="G930" s="3">
        <v>91764</v>
      </c>
      <c r="H930" s="3" t="s">
        <v>23</v>
      </c>
      <c r="I930" s="3">
        <v>1041</v>
      </c>
      <c r="J930" s="3">
        <v>50</v>
      </c>
      <c r="K930" s="4">
        <v>44372</v>
      </c>
      <c r="L930" s="10">
        <v>327718.01319999999</v>
      </c>
    </row>
    <row r="931" spans="1:12" x14ac:dyDescent="0.3">
      <c r="A931" s="2">
        <v>929</v>
      </c>
      <c r="B931" s="3" t="s">
        <v>19</v>
      </c>
      <c r="C931" s="3" t="s">
        <v>129</v>
      </c>
      <c r="D931" s="3" t="s">
        <v>14</v>
      </c>
      <c r="E931" s="3">
        <v>27364</v>
      </c>
      <c r="F931" s="3">
        <v>3</v>
      </c>
      <c r="G931" s="3">
        <v>54724</v>
      </c>
      <c r="H931" s="3" t="s">
        <v>23</v>
      </c>
      <c r="I931" s="3">
        <v>2353</v>
      </c>
      <c r="J931" s="3">
        <v>76</v>
      </c>
      <c r="K931" s="4">
        <v>44558</v>
      </c>
      <c r="L931" s="10">
        <v>379574.77120000002</v>
      </c>
    </row>
    <row r="932" spans="1:12" x14ac:dyDescent="0.3">
      <c r="A932" s="2">
        <v>930</v>
      </c>
      <c r="B932" s="3" t="s">
        <v>57</v>
      </c>
      <c r="C932" s="3" t="s">
        <v>116</v>
      </c>
      <c r="D932" s="3" t="s">
        <v>14</v>
      </c>
      <c r="E932" s="3">
        <v>21525</v>
      </c>
      <c r="F932" s="3">
        <v>4</v>
      </c>
      <c r="G932" s="3">
        <v>65475</v>
      </c>
      <c r="H932" s="3" t="s">
        <v>23</v>
      </c>
      <c r="I932" s="3">
        <v>2930</v>
      </c>
      <c r="J932" s="3">
        <v>45</v>
      </c>
      <c r="K932" s="4">
        <v>45397</v>
      </c>
      <c r="L932" s="10">
        <v>359276.06599999999</v>
      </c>
    </row>
    <row r="933" spans="1:12" x14ac:dyDescent="0.3">
      <c r="A933" s="2">
        <v>931</v>
      </c>
      <c r="B933" s="3" t="s">
        <v>26</v>
      </c>
      <c r="C933" s="3" t="s">
        <v>159</v>
      </c>
      <c r="D933" s="3" t="s">
        <v>18</v>
      </c>
      <c r="E933" s="3">
        <v>28970</v>
      </c>
      <c r="F933" s="3">
        <v>3</v>
      </c>
      <c r="G933" s="3">
        <v>93799</v>
      </c>
      <c r="H933" s="3" t="s">
        <v>21</v>
      </c>
      <c r="I933" s="3">
        <v>1793</v>
      </c>
      <c r="J933" s="3">
        <v>63</v>
      </c>
      <c r="K933" s="4">
        <v>44493</v>
      </c>
      <c r="L933" s="10">
        <v>380461.75280000002</v>
      </c>
    </row>
    <row r="934" spans="1:12" x14ac:dyDescent="0.3">
      <c r="A934" s="2">
        <v>932</v>
      </c>
      <c r="B934" s="3" t="s">
        <v>16</v>
      </c>
      <c r="C934" s="3" t="s">
        <v>183</v>
      </c>
      <c r="D934" s="3" t="s">
        <v>18</v>
      </c>
      <c r="E934" s="3">
        <v>20169</v>
      </c>
      <c r="F934" s="3">
        <v>8</v>
      </c>
      <c r="G934" s="3">
        <v>54837</v>
      </c>
      <c r="H934" s="3" t="s">
        <v>15</v>
      </c>
      <c r="I934" s="3">
        <v>1940</v>
      </c>
      <c r="J934" s="3">
        <v>42</v>
      </c>
      <c r="K934" s="4">
        <v>44344</v>
      </c>
      <c r="L934" s="10">
        <v>338853.29399999999</v>
      </c>
    </row>
    <row r="935" spans="1:12" x14ac:dyDescent="0.3">
      <c r="A935" s="2">
        <v>933</v>
      </c>
      <c r="B935" s="3" t="s">
        <v>29</v>
      </c>
      <c r="C935" s="3" t="s">
        <v>164</v>
      </c>
      <c r="D935" s="3" t="s">
        <v>14</v>
      </c>
      <c r="E935" s="3">
        <v>8960</v>
      </c>
      <c r="F935" s="3">
        <v>3</v>
      </c>
      <c r="G935" s="3">
        <v>70684</v>
      </c>
      <c r="H935" s="3" t="s">
        <v>15</v>
      </c>
      <c r="I935" s="3">
        <v>2712</v>
      </c>
      <c r="J935" s="3">
        <v>71</v>
      </c>
      <c r="K935" s="4">
        <v>44183</v>
      </c>
      <c r="L935" s="10">
        <v>337299.44309999997</v>
      </c>
    </row>
    <row r="936" spans="1:12" x14ac:dyDescent="0.3">
      <c r="A936" s="2">
        <v>934</v>
      </c>
      <c r="B936" s="3" t="s">
        <v>37</v>
      </c>
      <c r="C936" s="3" t="s">
        <v>38</v>
      </c>
      <c r="D936" s="3" t="s">
        <v>14</v>
      </c>
      <c r="E936" s="3">
        <v>17669</v>
      </c>
      <c r="F936" s="3">
        <v>2</v>
      </c>
      <c r="G936" s="3">
        <v>91684</v>
      </c>
      <c r="H936" s="3" t="s">
        <v>21</v>
      </c>
      <c r="I936" s="3">
        <v>1268</v>
      </c>
      <c r="J936" s="3">
        <v>44</v>
      </c>
      <c r="K936" s="4">
        <v>45360</v>
      </c>
      <c r="L936" s="10">
        <v>325976.83370000002</v>
      </c>
    </row>
    <row r="937" spans="1:12" x14ac:dyDescent="0.3">
      <c r="A937" s="2">
        <v>935</v>
      </c>
      <c r="B937" s="3" t="s">
        <v>16</v>
      </c>
      <c r="C937" s="3" t="s">
        <v>51</v>
      </c>
      <c r="D937" s="3" t="s">
        <v>14</v>
      </c>
      <c r="E937" s="3">
        <v>27607</v>
      </c>
      <c r="F937" s="3">
        <v>7</v>
      </c>
      <c r="G937" s="3">
        <v>54583</v>
      </c>
      <c r="H937" s="3" t="s">
        <v>15</v>
      </c>
      <c r="I937" s="3">
        <v>1045</v>
      </c>
      <c r="J937" s="3">
        <v>38</v>
      </c>
      <c r="K937" s="4">
        <v>43986</v>
      </c>
      <c r="L937" s="10">
        <v>295346.53899999999</v>
      </c>
    </row>
    <row r="938" spans="1:12" x14ac:dyDescent="0.3">
      <c r="A938" s="2">
        <v>936</v>
      </c>
      <c r="B938" s="3" t="s">
        <v>55</v>
      </c>
      <c r="C938" s="3" t="s">
        <v>105</v>
      </c>
      <c r="D938" s="3" t="s">
        <v>18</v>
      </c>
      <c r="E938" s="3">
        <v>8093</v>
      </c>
      <c r="F938" s="3">
        <v>4</v>
      </c>
      <c r="G938" s="3">
        <v>73917</v>
      </c>
      <c r="H938" s="3" t="s">
        <v>21</v>
      </c>
      <c r="I938" s="3">
        <v>2262</v>
      </c>
      <c r="J938" s="3">
        <v>25</v>
      </c>
      <c r="K938" s="4">
        <v>44168</v>
      </c>
      <c r="L938" s="10">
        <v>359562.06349999999</v>
      </c>
    </row>
    <row r="939" spans="1:12" x14ac:dyDescent="0.3">
      <c r="A939" s="2">
        <v>937</v>
      </c>
      <c r="B939" s="3" t="s">
        <v>35</v>
      </c>
      <c r="C939" s="3" t="s">
        <v>36</v>
      </c>
      <c r="D939" s="3" t="s">
        <v>14</v>
      </c>
      <c r="E939" s="3">
        <v>19537</v>
      </c>
      <c r="F939" s="3">
        <v>6</v>
      </c>
      <c r="G939" s="3">
        <v>55176</v>
      </c>
      <c r="H939" s="3" t="s">
        <v>21</v>
      </c>
      <c r="I939" s="3">
        <v>2467</v>
      </c>
      <c r="J939" s="3">
        <v>43</v>
      </c>
      <c r="K939" s="4">
        <v>44136</v>
      </c>
      <c r="L939" s="10">
        <v>345003.57520000002</v>
      </c>
    </row>
    <row r="940" spans="1:12" x14ac:dyDescent="0.3">
      <c r="A940" s="2">
        <v>938</v>
      </c>
      <c r="B940" s="3" t="s">
        <v>31</v>
      </c>
      <c r="C940" s="3" t="s">
        <v>186</v>
      </c>
      <c r="D940" s="3" t="s">
        <v>14</v>
      </c>
      <c r="E940" s="3">
        <v>23007</v>
      </c>
      <c r="F940" s="3">
        <v>9</v>
      </c>
      <c r="G940" s="3">
        <v>85570</v>
      </c>
      <c r="H940" s="3" t="s">
        <v>23</v>
      </c>
      <c r="I940" s="3">
        <v>2027</v>
      </c>
      <c r="J940" s="3">
        <v>71</v>
      </c>
      <c r="K940" s="4">
        <v>44189</v>
      </c>
      <c r="L940" s="10">
        <v>342329.33179999999</v>
      </c>
    </row>
    <row r="941" spans="1:12" x14ac:dyDescent="0.3">
      <c r="A941" s="2">
        <v>939</v>
      </c>
      <c r="B941" s="3" t="s">
        <v>31</v>
      </c>
      <c r="C941" s="3" t="s">
        <v>170</v>
      </c>
      <c r="D941" s="3" t="s">
        <v>14</v>
      </c>
      <c r="E941" s="3">
        <v>25754</v>
      </c>
      <c r="F941" s="3">
        <v>9</v>
      </c>
      <c r="G941" s="3">
        <v>57120</v>
      </c>
      <c r="H941" s="3" t="s">
        <v>23</v>
      </c>
      <c r="I941" s="3">
        <v>1554</v>
      </c>
      <c r="J941" s="3">
        <v>60</v>
      </c>
      <c r="K941" s="4">
        <v>44932</v>
      </c>
      <c r="L941" s="10">
        <v>316492.34179999999</v>
      </c>
    </row>
    <row r="942" spans="1:12" x14ac:dyDescent="0.3">
      <c r="A942" s="2">
        <v>940</v>
      </c>
      <c r="B942" s="3" t="s">
        <v>26</v>
      </c>
      <c r="C942" s="3" t="s">
        <v>64</v>
      </c>
      <c r="D942" s="3" t="s">
        <v>18</v>
      </c>
      <c r="E942" s="3">
        <v>1125</v>
      </c>
      <c r="F942" s="3">
        <v>0</v>
      </c>
      <c r="G942" s="3">
        <v>69771</v>
      </c>
      <c r="H942" s="3" t="s">
        <v>23</v>
      </c>
      <c r="I942" s="3">
        <v>2154</v>
      </c>
      <c r="J942" s="3">
        <v>34</v>
      </c>
      <c r="K942" s="4">
        <v>44673</v>
      </c>
      <c r="L942" s="10">
        <v>371395.12190000003</v>
      </c>
    </row>
    <row r="943" spans="1:12" x14ac:dyDescent="0.3">
      <c r="A943" s="2">
        <v>941</v>
      </c>
      <c r="B943" s="3" t="s">
        <v>12</v>
      </c>
      <c r="C943" s="3" t="s">
        <v>140</v>
      </c>
      <c r="D943" s="3" t="s">
        <v>14</v>
      </c>
      <c r="E943" s="3">
        <v>24597</v>
      </c>
      <c r="F943" s="3">
        <v>0</v>
      </c>
      <c r="G943" s="3">
        <v>98070</v>
      </c>
      <c r="H943" s="3" t="s">
        <v>15</v>
      </c>
      <c r="I943" s="3">
        <v>2046</v>
      </c>
      <c r="J943" s="3">
        <v>39</v>
      </c>
      <c r="K943" s="4">
        <v>44320</v>
      </c>
      <c r="L943" s="10">
        <v>313772.9351</v>
      </c>
    </row>
    <row r="944" spans="1:12" x14ac:dyDescent="0.3">
      <c r="A944" s="2">
        <v>942</v>
      </c>
      <c r="B944" s="3" t="s">
        <v>26</v>
      </c>
      <c r="C944" s="3" t="s">
        <v>48</v>
      </c>
      <c r="D944" s="3" t="s">
        <v>18</v>
      </c>
      <c r="E944" s="3">
        <v>9346</v>
      </c>
      <c r="F944" s="3">
        <v>5</v>
      </c>
      <c r="G944" s="3">
        <v>99671</v>
      </c>
      <c r="H944" s="3" t="s">
        <v>23</v>
      </c>
      <c r="I944" s="3">
        <v>2160</v>
      </c>
      <c r="J944" s="3">
        <v>44</v>
      </c>
      <c r="K944" s="4">
        <v>44289</v>
      </c>
      <c r="L944" s="10">
        <v>378068.67719999998</v>
      </c>
    </row>
    <row r="945" spans="1:12" x14ac:dyDescent="0.3">
      <c r="A945" s="2">
        <v>943</v>
      </c>
      <c r="B945" s="3" t="s">
        <v>55</v>
      </c>
      <c r="C945" s="3" t="s">
        <v>105</v>
      </c>
      <c r="D945" s="3" t="s">
        <v>18</v>
      </c>
      <c r="E945" s="3">
        <v>11680</v>
      </c>
      <c r="F945" s="3">
        <v>0</v>
      </c>
      <c r="G945" s="3">
        <v>68062</v>
      </c>
      <c r="H945" s="3" t="s">
        <v>15</v>
      </c>
      <c r="I945" s="3">
        <v>2316</v>
      </c>
      <c r="J945" s="3">
        <v>86</v>
      </c>
      <c r="K945" s="4">
        <v>45486</v>
      </c>
      <c r="L945" s="10">
        <v>377453.8567</v>
      </c>
    </row>
    <row r="946" spans="1:12" x14ac:dyDescent="0.3">
      <c r="A946" s="2">
        <v>944</v>
      </c>
      <c r="B946" s="3" t="s">
        <v>12</v>
      </c>
      <c r="C946" s="3" t="s">
        <v>95</v>
      </c>
      <c r="D946" s="3" t="s">
        <v>14</v>
      </c>
      <c r="E946" s="3">
        <v>10451</v>
      </c>
      <c r="F946" s="3">
        <v>8</v>
      </c>
      <c r="G946" s="3">
        <v>90019</v>
      </c>
      <c r="H946" s="3" t="s">
        <v>21</v>
      </c>
      <c r="I946" s="3">
        <v>2996</v>
      </c>
      <c r="J946" s="3">
        <v>98</v>
      </c>
      <c r="K946" s="4">
        <v>44929</v>
      </c>
      <c r="L946" s="10">
        <v>357368.179</v>
      </c>
    </row>
    <row r="947" spans="1:12" x14ac:dyDescent="0.3">
      <c r="A947" s="2">
        <v>945</v>
      </c>
      <c r="B947" s="3" t="s">
        <v>57</v>
      </c>
      <c r="C947" s="3" t="s">
        <v>206</v>
      </c>
      <c r="D947" s="3" t="s">
        <v>18</v>
      </c>
      <c r="E947" s="3">
        <v>5985</v>
      </c>
      <c r="F947" s="3">
        <v>6</v>
      </c>
      <c r="G947" s="3">
        <v>67971</v>
      </c>
      <c r="H947" s="3" t="s">
        <v>21</v>
      </c>
      <c r="I947" s="3">
        <v>2770</v>
      </c>
      <c r="J947" s="3">
        <v>24</v>
      </c>
      <c r="K947" s="4">
        <v>44272</v>
      </c>
      <c r="L947" s="10">
        <v>376688.65629999997</v>
      </c>
    </row>
    <row r="948" spans="1:12" x14ac:dyDescent="0.3">
      <c r="A948" s="2">
        <v>946</v>
      </c>
      <c r="B948" s="3" t="s">
        <v>44</v>
      </c>
      <c r="C948" s="3" t="s">
        <v>217</v>
      </c>
      <c r="D948" s="3" t="s">
        <v>14</v>
      </c>
      <c r="E948" s="3">
        <v>7983</v>
      </c>
      <c r="F948" s="3">
        <v>5</v>
      </c>
      <c r="G948" s="3">
        <v>72331</v>
      </c>
      <c r="H948" s="3" t="s">
        <v>15</v>
      </c>
      <c r="I948" s="3">
        <v>1718</v>
      </c>
      <c r="J948" s="3">
        <v>56</v>
      </c>
      <c r="K948" s="4">
        <v>45283</v>
      </c>
      <c r="L948" s="10">
        <v>302222.79239999998</v>
      </c>
    </row>
    <row r="949" spans="1:12" x14ac:dyDescent="0.3">
      <c r="A949" s="2">
        <v>947</v>
      </c>
      <c r="B949" s="3" t="s">
        <v>44</v>
      </c>
      <c r="C949" s="3" t="s">
        <v>223</v>
      </c>
      <c r="D949" s="3" t="s">
        <v>14</v>
      </c>
      <c r="E949" s="3">
        <v>28858</v>
      </c>
      <c r="F949" s="3">
        <v>2</v>
      </c>
      <c r="G949" s="3">
        <v>56723</v>
      </c>
      <c r="H949" s="3" t="s">
        <v>15</v>
      </c>
      <c r="I949" s="3">
        <v>1486</v>
      </c>
      <c r="J949" s="3">
        <v>39</v>
      </c>
      <c r="K949" s="4">
        <v>45101</v>
      </c>
      <c r="L949" s="10">
        <v>302493.08169999998</v>
      </c>
    </row>
    <row r="950" spans="1:12" x14ac:dyDescent="0.3">
      <c r="A950" s="2">
        <v>948</v>
      </c>
      <c r="B950" s="3" t="s">
        <v>37</v>
      </c>
      <c r="C950" s="3" t="s">
        <v>114</v>
      </c>
      <c r="D950" s="3" t="s">
        <v>18</v>
      </c>
      <c r="E950" s="3">
        <v>17875</v>
      </c>
      <c r="F950" s="3">
        <v>9</v>
      </c>
      <c r="G950" s="3">
        <v>84810</v>
      </c>
      <c r="H950" s="3" t="s">
        <v>21</v>
      </c>
      <c r="I950" s="3">
        <v>2200</v>
      </c>
      <c r="J950" s="3">
        <v>99</v>
      </c>
      <c r="K950" s="4">
        <v>44588</v>
      </c>
      <c r="L950" s="10">
        <v>399626.72330000001</v>
      </c>
    </row>
    <row r="951" spans="1:12" x14ac:dyDescent="0.3">
      <c r="A951" s="2">
        <v>949</v>
      </c>
      <c r="B951" s="3" t="s">
        <v>40</v>
      </c>
      <c r="C951" s="3" t="s">
        <v>121</v>
      </c>
      <c r="D951" s="3" t="s">
        <v>18</v>
      </c>
      <c r="E951" s="3">
        <v>7773</v>
      </c>
      <c r="F951" s="3">
        <v>7</v>
      </c>
      <c r="G951" s="3">
        <v>59781</v>
      </c>
      <c r="H951" s="3" t="s">
        <v>23</v>
      </c>
      <c r="I951" s="3">
        <v>1028</v>
      </c>
      <c r="J951" s="3">
        <v>85</v>
      </c>
      <c r="K951" s="4">
        <v>44034</v>
      </c>
      <c r="L951" s="10">
        <v>361469.2634</v>
      </c>
    </row>
    <row r="952" spans="1:12" x14ac:dyDescent="0.3">
      <c r="A952" s="2">
        <v>950</v>
      </c>
      <c r="B952" s="3" t="s">
        <v>28</v>
      </c>
      <c r="C952" s="3" t="s">
        <v>181</v>
      </c>
      <c r="D952" s="3" t="s">
        <v>18</v>
      </c>
      <c r="E952" s="3">
        <v>14701</v>
      </c>
      <c r="F952" s="3">
        <v>8</v>
      </c>
      <c r="G952" s="3">
        <v>87756</v>
      </c>
      <c r="H952" s="3" t="s">
        <v>21</v>
      </c>
      <c r="I952" s="3">
        <v>1189</v>
      </c>
      <c r="J952" s="3">
        <v>21</v>
      </c>
      <c r="K952" s="4">
        <v>45263</v>
      </c>
      <c r="L952" s="10">
        <v>335018.98420000001</v>
      </c>
    </row>
    <row r="953" spans="1:12" x14ac:dyDescent="0.3">
      <c r="A953" s="2">
        <v>951</v>
      </c>
      <c r="B953" s="3" t="s">
        <v>72</v>
      </c>
      <c r="C953" s="3" t="s">
        <v>151</v>
      </c>
      <c r="D953" s="3" t="s">
        <v>18</v>
      </c>
      <c r="E953" s="3">
        <v>14729</v>
      </c>
      <c r="F953" s="3">
        <v>0</v>
      </c>
      <c r="G953" s="3">
        <v>76732</v>
      </c>
      <c r="H953" s="3" t="s">
        <v>15</v>
      </c>
      <c r="I953" s="3">
        <v>1041</v>
      </c>
      <c r="J953" s="3">
        <v>99</v>
      </c>
      <c r="K953" s="4">
        <v>43953</v>
      </c>
      <c r="L953" s="10">
        <v>354431.2647</v>
      </c>
    </row>
    <row r="954" spans="1:12" x14ac:dyDescent="0.3">
      <c r="A954" s="2">
        <v>952</v>
      </c>
      <c r="B954" s="3" t="s">
        <v>74</v>
      </c>
      <c r="C954" s="3" t="s">
        <v>75</v>
      </c>
      <c r="D954" s="3" t="s">
        <v>14</v>
      </c>
      <c r="E954" s="3">
        <v>28583</v>
      </c>
      <c r="F954" s="3">
        <v>3</v>
      </c>
      <c r="G954" s="3">
        <v>56344</v>
      </c>
      <c r="H954" s="3" t="s">
        <v>21</v>
      </c>
      <c r="I954" s="3">
        <v>1833</v>
      </c>
      <c r="J954" s="3">
        <v>21</v>
      </c>
      <c r="K954" s="4">
        <v>45002</v>
      </c>
      <c r="L954" s="10">
        <v>308964.22509999998</v>
      </c>
    </row>
    <row r="955" spans="1:12" x14ac:dyDescent="0.3">
      <c r="A955" s="2">
        <v>953</v>
      </c>
      <c r="B955" s="3" t="s">
        <v>28</v>
      </c>
      <c r="C955" s="3" t="s">
        <v>187</v>
      </c>
      <c r="D955" s="3" t="s">
        <v>18</v>
      </c>
      <c r="E955" s="3">
        <v>9757</v>
      </c>
      <c r="F955" s="3">
        <v>5</v>
      </c>
      <c r="G955" s="3">
        <v>94778</v>
      </c>
      <c r="H955" s="3" t="s">
        <v>15</v>
      </c>
      <c r="I955" s="3">
        <v>2395</v>
      </c>
      <c r="J955" s="3">
        <v>96</v>
      </c>
      <c r="K955" s="4">
        <v>44805</v>
      </c>
      <c r="L955" s="10">
        <v>374966.23359999998</v>
      </c>
    </row>
    <row r="956" spans="1:12" x14ac:dyDescent="0.3">
      <c r="A956" s="2">
        <v>954</v>
      </c>
      <c r="B956" s="3" t="s">
        <v>55</v>
      </c>
      <c r="C956" s="3" t="s">
        <v>56</v>
      </c>
      <c r="D956" s="3" t="s">
        <v>18</v>
      </c>
      <c r="E956" s="3">
        <v>26817</v>
      </c>
      <c r="F956" s="3">
        <v>1</v>
      </c>
      <c r="G956" s="3">
        <v>57570</v>
      </c>
      <c r="H956" s="3" t="s">
        <v>15</v>
      </c>
      <c r="I956" s="3">
        <v>1062</v>
      </c>
      <c r="J956" s="3">
        <v>40</v>
      </c>
      <c r="K956" s="4">
        <v>44403</v>
      </c>
      <c r="L956" s="10">
        <v>364102.23060000001</v>
      </c>
    </row>
    <row r="957" spans="1:12" x14ac:dyDescent="0.3">
      <c r="A957" s="2">
        <v>955</v>
      </c>
      <c r="B957" s="3" t="s">
        <v>122</v>
      </c>
      <c r="C957" s="3" t="s">
        <v>137</v>
      </c>
      <c r="D957" s="3" t="s">
        <v>18</v>
      </c>
      <c r="E957" s="3">
        <v>13699</v>
      </c>
      <c r="F957" s="3">
        <v>1</v>
      </c>
      <c r="G957" s="3">
        <v>53271</v>
      </c>
      <c r="H957" s="3" t="s">
        <v>21</v>
      </c>
      <c r="I957" s="3">
        <v>2530</v>
      </c>
      <c r="J957" s="3">
        <v>66</v>
      </c>
      <c r="K957" s="4">
        <v>44936</v>
      </c>
      <c r="L957" s="10">
        <v>382030.67749999999</v>
      </c>
    </row>
    <row r="958" spans="1:12" x14ac:dyDescent="0.3">
      <c r="A958" s="2">
        <v>956</v>
      </c>
      <c r="B958" s="3" t="s">
        <v>24</v>
      </c>
      <c r="C958" s="3" t="s">
        <v>39</v>
      </c>
      <c r="D958" s="3" t="s">
        <v>18</v>
      </c>
      <c r="E958" s="3">
        <v>3206</v>
      </c>
      <c r="F958" s="3">
        <v>4</v>
      </c>
      <c r="G958" s="3">
        <v>60917</v>
      </c>
      <c r="H958" s="3" t="s">
        <v>21</v>
      </c>
      <c r="I958" s="3">
        <v>2619</v>
      </c>
      <c r="J958" s="3">
        <v>26</v>
      </c>
      <c r="K958" s="4">
        <v>45438</v>
      </c>
      <c r="L958" s="10">
        <v>384251.24829999998</v>
      </c>
    </row>
    <row r="959" spans="1:12" x14ac:dyDescent="0.3">
      <c r="A959" s="2">
        <v>957</v>
      </c>
      <c r="B959" s="3" t="s">
        <v>37</v>
      </c>
      <c r="C959" s="3" t="s">
        <v>61</v>
      </c>
      <c r="D959" s="3" t="s">
        <v>14</v>
      </c>
      <c r="E959" s="3">
        <v>24027</v>
      </c>
      <c r="F959" s="3">
        <v>6</v>
      </c>
      <c r="G959" s="3">
        <v>56030</v>
      </c>
      <c r="H959" s="3" t="s">
        <v>21</v>
      </c>
      <c r="I959" s="3">
        <v>2714</v>
      </c>
      <c r="J959" s="3">
        <v>21</v>
      </c>
      <c r="K959" s="4">
        <v>45125</v>
      </c>
      <c r="L959" s="10">
        <v>347655.03080000001</v>
      </c>
    </row>
    <row r="960" spans="1:12" x14ac:dyDescent="0.3">
      <c r="A960" s="2">
        <v>958</v>
      </c>
      <c r="B960" s="3" t="s">
        <v>72</v>
      </c>
      <c r="C960" s="3" t="s">
        <v>213</v>
      </c>
      <c r="D960" s="3" t="s">
        <v>14</v>
      </c>
      <c r="E960" s="3">
        <v>8046</v>
      </c>
      <c r="F960" s="3">
        <v>3</v>
      </c>
      <c r="G960" s="3">
        <v>50147</v>
      </c>
      <c r="H960" s="3" t="s">
        <v>15</v>
      </c>
      <c r="I960" s="3">
        <v>1695</v>
      </c>
      <c r="J960" s="3">
        <v>73</v>
      </c>
      <c r="K960" s="4">
        <v>43874</v>
      </c>
      <c r="L960" s="10">
        <v>318409.0208</v>
      </c>
    </row>
    <row r="961" spans="1:12" x14ac:dyDescent="0.3">
      <c r="A961" s="2">
        <v>959</v>
      </c>
      <c r="B961" s="3" t="s">
        <v>35</v>
      </c>
      <c r="C961" s="3" t="s">
        <v>36</v>
      </c>
      <c r="D961" s="3" t="s">
        <v>14</v>
      </c>
      <c r="E961" s="3">
        <v>3610</v>
      </c>
      <c r="F961" s="3">
        <v>0</v>
      </c>
      <c r="G961" s="3">
        <v>78249</v>
      </c>
      <c r="H961" s="3" t="s">
        <v>15</v>
      </c>
      <c r="I961" s="3">
        <v>2286</v>
      </c>
      <c r="J961" s="3">
        <v>82</v>
      </c>
      <c r="K961" s="4">
        <v>44467</v>
      </c>
      <c r="L961" s="10">
        <v>315742.95669999998</v>
      </c>
    </row>
    <row r="962" spans="1:12" x14ac:dyDescent="0.3">
      <c r="A962" s="2">
        <v>960</v>
      </c>
      <c r="B962" s="3" t="s">
        <v>12</v>
      </c>
      <c r="C962" s="3" t="s">
        <v>126</v>
      </c>
      <c r="D962" s="3" t="s">
        <v>18</v>
      </c>
      <c r="E962" s="3">
        <v>25197</v>
      </c>
      <c r="F962" s="3">
        <v>3</v>
      </c>
      <c r="G962" s="3">
        <v>82753</v>
      </c>
      <c r="H962" s="3" t="s">
        <v>23</v>
      </c>
      <c r="I962" s="3">
        <v>1787</v>
      </c>
      <c r="J962" s="3">
        <v>76</v>
      </c>
      <c r="K962" s="4">
        <v>44873</v>
      </c>
      <c r="L962" s="10">
        <v>384058.11570000002</v>
      </c>
    </row>
    <row r="963" spans="1:12" x14ac:dyDescent="0.3">
      <c r="A963" s="2">
        <v>961</v>
      </c>
      <c r="B963" s="3" t="s">
        <v>24</v>
      </c>
      <c r="C963" s="3" t="s">
        <v>134</v>
      </c>
      <c r="D963" s="3" t="s">
        <v>18</v>
      </c>
      <c r="E963" s="3">
        <v>27386</v>
      </c>
      <c r="F963" s="3">
        <v>7</v>
      </c>
      <c r="G963" s="3">
        <v>54598</v>
      </c>
      <c r="H963" s="3" t="s">
        <v>21</v>
      </c>
      <c r="I963" s="3">
        <v>1363</v>
      </c>
      <c r="J963" s="3">
        <v>34</v>
      </c>
      <c r="K963" s="4">
        <v>45332</v>
      </c>
      <c r="L963" s="10">
        <v>377831.66119999997</v>
      </c>
    </row>
    <row r="964" spans="1:12" x14ac:dyDescent="0.3">
      <c r="A964" s="2">
        <v>962</v>
      </c>
      <c r="B964" s="3" t="s">
        <v>44</v>
      </c>
      <c r="C964" s="3" t="s">
        <v>144</v>
      </c>
      <c r="D964" s="3" t="s">
        <v>18</v>
      </c>
      <c r="E964" s="3">
        <v>25797</v>
      </c>
      <c r="F964" s="3">
        <v>0</v>
      </c>
      <c r="G964" s="3">
        <v>81392</v>
      </c>
      <c r="H964" s="3" t="s">
        <v>15</v>
      </c>
      <c r="I964" s="3">
        <v>2267</v>
      </c>
      <c r="J964" s="3">
        <v>70</v>
      </c>
      <c r="K964" s="4">
        <v>45274</v>
      </c>
      <c r="L964" s="10">
        <v>397230.2402</v>
      </c>
    </row>
    <row r="965" spans="1:12" x14ac:dyDescent="0.3">
      <c r="A965" s="2">
        <v>963</v>
      </c>
      <c r="B965" s="3" t="s">
        <v>35</v>
      </c>
      <c r="C965" s="3" t="s">
        <v>148</v>
      </c>
      <c r="D965" s="3" t="s">
        <v>18</v>
      </c>
      <c r="E965" s="3">
        <v>11994</v>
      </c>
      <c r="F965" s="3">
        <v>4</v>
      </c>
      <c r="G965" s="3">
        <v>52354</v>
      </c>
      <c r="H965" s="3" t="s">
        <v>23</v>
      </c>
      <c r="I965" s="3">
        <v>2382</v>
      </c>
      <c r="J965" s="3">
        <v>37</v>
      </c>
      <c r="K965" s="4">
        <v>43963</v>
      </c>
      <c r="L965" s="10">
        <v>360600.6128</v>
      </c>
    </row>
    <row r="966" spans="1:12" x14ac:dyDescent="0.3">
      <c r="A966" s="2">
        <v>964</v>
      </c>
      <c r="B966" s="3" t="s">
        <v>53</v>
      </c>
      <c r="C966" s="3" t="s">
        <v>141</v>
      </c>
      <c r="D966" s="3" t="s">
        <v>14</v>
      </c>
      <c r="E966" s="3">
        <v>12907</v>
      </c>
      <c r="F966" s="3">
        <v>4</v>
      </c>
      <c r="G966" s="3">
        <v>51530</v>
      </c>
      <c r="H966" s="3" t="s">
        <v>15</v>
      </c>
      <c r="I966" s="3">
        <v>1237</v>
      </c>
      <c r="J966" s="3">
        <v>84</v>
      </c>
      <c r="K966" s="4">
        <v>44881</v>
      </c>
      <c r="L966" s="10">
        <v>304927.4325</v>
      </c>
    </row>
    <row r="967" spans="1:12" x14ac:dyDescent="0.3">
      <c r="A967" s="2">
        <v>965</v>
      </c>
      <c r="B967" s="3" t="s">
        <v>74</v>
      </c>
      <c r="C967" s="3" t="s">
        <v>221</v>
      </c>
      <c r="D967" s="3" t="s">
        <v>18</v>
      </c>
      <c r="E967" s="3">
        <v>13528</v>
      </c>
      <c r="F967" s="3">
        <v>7</v>
      </c>
      <c r="G967" s="3">
        <v>51372</v>
      </c>
      <c r="H967" s="3" t="s">
        <v>21</v>
      </c>
      <c r="I967" s="3">
        <v>1773</v>
      </c>
      <c r="J967" s="3">
        <v>60</v>
      </c>
      <c r="K967" s="4">
        <v>43990</v>
      </c>
      <c r="L967" s="10">
        <v>378120.58</v>
      </c>
    </row>
    <row r="968" spans="1:12" x14ac:dyDescent="0.3">
      <c r="A968" s="2">
        <v>966</v>
      </c>
      <c r="B968" s="3" t="s">
        <v>16</v>
      </c>
      <c r="C968" s="3" t="s">
        <v>17</v>
      </c>
      <c r="D968" s="3" t="s">
        <v>14</v>
      </c>
      <c r="E968" s="3">
        <v>20131</v>
      </c>
      <c r="F968" s="3">
        <v>7</v>
      </c>
      <c r="G968" s="3">
        <v>95492</v>
      </c>
      <c r="H968" s="3" t="s">
        <v>23</v>
      </c>
      <c r="I968" s="3">
        <v>1230</v>
      </c>
      <c r="J968" s="3">
        <v>27</v>
      </c>
      <c r="K968" s="4">
        <v>45121</v>
      </c>
      <c r="L968" s="10">
        <v>316258.7403</v>
      </c>
    </row>
    <row r="969" spans="1:12" x14ac:dyDescent="0.3">
      <c r="A969" s="2">
        <v>967</v>
      </c>
      <c r="B969" s="3" t="s">
        <v>12</v>
      </c>
      <c r="C969" s="3" t="s">
        <v>196</v>
      </c>
      <c r="D969" s="3" t="s">
        <v>18</v>
      </c>
      <c r="E969" s="3">
        <v>2093</v>
      </c>
      <c r="F969" s="3">
        <v>7</v>
      </c>
      <c r="G969" s="3">
        <v>68298</v>
      </c>
      <c r="H969" s="3" t="s">
        <v>23</v>
      </c>
      <c r="I969" s="3">
        <v>1851</v>
      </c>
      <c r="J969" s="3">
        <v>62</v>
      </c>
      <c r="K969" s="4">
        <v>44749</v>
      </c>
      <c r="L969" s="10">
        <v>357267.88400000002</v>
      </c>
    </row>
    <row r="970" spans="1:12" x14ac:dyDescent="0.3">
      <c r="A970" s="2">
        <v>968</v>
      </c>
      <c r="B970" s="3" t="s">
        <v>57</v>
      </c>
      <c r="C970" s="3" t="s">
        <v>162</v>
      </c>
      <c r="D970" s="3" t="s">
        <v>14</v>
      </c>
      <c r="E970" s="3">
        <v>17976</v>
      </c>
      <c r="F970" s="3">
        <v>3</v>
      </c>
      <c r="G970" s="3">
        <v>64358</v>
      </c>
      <c r="H970" s="3" t="s">
        <v>23</v>
      </c>
      <c r="I970" s="3">
        <v>2290</v>
      </c>
      <c r="J970" s="3">
        <v>90</v>
      </c>
      <c r="K970" s="4">
        <v>44919</v>
      </c>
      <c r="L970" s="10">
        <v>367459.712</v>
      </c>
    </row>
    <row r="971" spans="1:12" x14ac:dyDescent="0.3">
      <c r="A971" s="2">
        <v>969</v>
      </c>
      <c r="B971" s="3" t="s">
        <v>35</v>
      </c>
      <c r="C971" s="3" t="s">
        <v>200</v>
      </c>
      <c r="D971" s="3" t="s">
        <v>18</v>
      </c>
      <c r="E971" s="3">
        <v>2362</v>
      </c>
      <c r="F971" s="3">
        <v>3</v>
      </c>
      <c r="G971" s="3">
        <v>55055</v>
      </c>
      <c r="H971" s="3" t="s">
        <v>23</v>
      </c>
      <c r="I971" s="3">
        <v>2551</v>
      </c>
      <c r="J971" s="3">
        <v>51</v>
      </c>
      <c r="K971" s="4">
        <v>45205</v>
      </c>
      <c r="L971" s="10">
        <v>364193.74780000001</v>
      </c>
    </row>
    <row r="972" spans="1:12" x14ac:dyDescent="0.3">
      <c r="A972" s="2">
        <v>970</v>
      </c>
      <c r="B972" s="3" t="s">
        <v>37</v>
      </c>
      <c r="C972" s="3" t="s">
        <v>114</v>
      </c>
      <c r="D972" s="3" t="s">
        <v>14</v>
      </c>
      <c r="E972" s="3">
        <v>12005</v>
      </c>
      <c r="F972" s="3">
        <v>4</v>
      </c>
      <c r="G972" s="3">
        <v>58685</v>
      </c>
      <c r="H972" s="3" t="s">
        <v>15</v>
      </c>
      <c r="I972" s="3">
        <v>2954</v>
      </c>
      <c r="J972" s="3">
        <v>82</v>
      </c>
      <c r="K972" s="4">
        <v>44834</v>
      </c>
      <c r="L972" s="10">
        <v>330391.51079999999</v>
      </c>
    </row>
    <row r="973" spans="1:12" x14ac:dyDescent="0.3">
      <c r="A973" s="2">
        <v>971</v>
      </c>
      <c r="B973" s="3" t="s">
        <v>44</v>
      </c>
      <c r="C973" s="3" t="s">
        <v>82</v>
      </c>
      <c r="D973" s="3" t="s">
        <v>14</v>
      </c>
      <c r="E973" s="3">
        <v>3088</v>
      </c>
      <c r="F973" s="3">
        <v>2</v>
      </c>
      <c r="G973" s="3">
        <v>82946</v>
      </c>
      <c r="H973" s="3" t="s">
        <v>15</v>
      </c>
      <c r="I973" s="3">
        <v>2027</v>
      </c>
      <c r="J973" s="3">
        <v>30</v>
      </c>
      <c r="K973" s="4">
        <v>44784</v>
      </c>
      <c r="L973" s="10">
        <v>310895.21889999998</v>
      </c>
    </row>
    <row r="974" spans="1:12" x14ac:dyDescent="0.3">
      <c r="A974" s="2">
        <v>972</v>
      </c>
      <c r="B974" s="3" t="s">
        <v>16</v>
      </c>
      <c r="C974" s="3" t="s">
        <v>183</v>
      </c>
      <c r="D974" s="3" t="s">
        <v>18</v>
      </c>
      <c r="E974" s="3">
        <v>7933</v>
      </c>
      <c r="F974" s="3">
        <v>7</v>
      </c>
      <c r="G974" s="3">
        <v>57555</v>
      </c>
      <c r="H974" s="3" t="s">
        <v>15</v>
      </c>
      <c r="I974" s="3">
        <v>2502</v>
      </c>
      <c r="J974" s="3">
        <v>89</v>
      </c>
      <c r="K974" s="4">
        <v>44387</v>
      </c>
      <c r="L974" s="10">
        <v>353211.09389999998</v>
      </c>
    </row>
    <row r="975" spans="1:12" x14ac:dyDescent="0.3">
      <c r="A975" s="2">
        <v>973</v>
      </c>
      <c r="B975" s="3" t="s">
        <v>122</v>
      </c>
      <c r="C975" s="3" t="s">
        <v>138</v>
      </c>
      <c r="D975" s="3" t="s">
        <v>18</v>
      </c>
      <c r="E975" s="3">
        <v>26345</v>
      </c>
      <c r="F975" s="3">
        <v>8</v>
      </c>
      <c r="G975" s="3">
        <v>63903</v>
      </c>
      <c r="H975" s="3" t="s">
        <v>21</v>
      </c>
      <c r="I975" s="3">
        <v>2196</v>
      </c>
      <c r="J975" s="3">
        <v>74</v>
      </c>
      <c r="K975" s="4">
        <v>44043</v>
      </c>
      <c r="L975" s="10">
        <v>386255.902</v>
      </c>
    </row>
    <row r="976" spans="1:12" x14ac:dyDescent="0.3">
      <c r="A976" s="2">
        <v>974</v>
      </c>
      <c r="B976" s="3" t="s">
        <v>35</v>
      </c>
      <c r="C976" s="3" t="s">
        <v>62</v>
      </c>
      <c r="D976" s="3" t="s">
        <v>14</v>
      </c>
      <c r="E976" s="3">
        <v>12314</v>
      </c>
      <c r="F976" s="3">
        <v>7</v>
      </c>
      <c r="G976" s="3">
        <v>54429</v>
      </c>
      <c r="H976" s="3" t="s">
        <v>15</v>
      </c>
      <c r="I976" s="3">
        <v>1094</v>
      </c>
      <c r="J976" s="3">
        <v>40</v>
      </c>
      <c r="K976" s="4">
        <v>45399</v>
      </c>
      <c r="L976" s="10">
        <v>274192.45990000002</v>
      </c>
    </row>
    <row r="977" spans="1:12" x14ac:dyDescent="0.3">
      <c r="A977" s="2">
        <v>975</v>
      </c>
      <c r="B977" s="3" t="s">
        <v>57</v>
      </c>
      <c r="C977" s="3" t="s">
        <v>67</v>
      </c>
      <c r="D977" s="3" t="s">
        <v>18</v>
      </c>
      <c r="E977" s="3">
        <v>24562</v>
      </c>
      <c r="F977" s="3">
        <v>9</v>
      </c>
      <c r="G977" s="3">
        <v>54360</v>
      </c>
      <c r="H977" s="3" t="s">
        <v>21</v>
      </c>
      <c r="I977" s="3">
        <v>1151</v>
      </c>
      <c r="J977" s="3">
        <v>86</v>
      </c>
      <c r="K977" s="4">
        <v>45455</v>
      </c>
      <c r="L977" s="10">
        <v>360220.64189999999</v>
      </c>
    </row>
    <row r="978" spans="1:12" x14ac:dyDescent="0.3">
      <c r="A978" s="2">
        <v>976</v>
      </c>
      <c r="B978" s="3" t="s">
        <v>24</v>
      </c>
      <c r="C978" s="3" t="s">
        <v>94</v>
      </c>
      <c r="D978" s="3" t="s">
        <v>18</v>
      </c>
      <c r="E978" s="3">
        <v>28836</v>
      </c>
      <c r="F978" s="3">
        <v>9</v>
      </c>
      <c r="G978" s="3">
        <v>68793</v>
      </c>
      <c r="H978" s="3" t="s">
        <v>21</v>
      </c>
      <c r="I978" s="3">
        <v>1853</v>
      </c>
      <c r="J978" s="3">
        <v>75</v>
      </c>
      <c r="K978" s="4">
        <v>45324</v>
      </c>
      <c r="L978" s="10">
        <v>373695.3627</v>
      </c>
    </row>
    <row r="979" spans="1:12" x14ac:dyDescent="0.3">
      <c r="A979" s="2">
        <v>977</v>
      </c>
      <c r="B979" s="3" t="s">
        <v>53</v>
      </c>
      <c r="C979" s="3" t="s">
        <v>149</v>
      </c>
      <c r="D979" s="3" t="s">
        <v>14</v>
      </c>
      <c r="E979" s="3">
        <v>16099</v>
      </c>
      <c r="F979" s="3">
        <v>6</v>
      </c>
      <c r="G979" s="3">
        <v>60803</v>
      </c>
      <c r="H979" s="3" t="s">
        <v>15</v>
      </c>
      <c r="I979" s="3">
        <v>1492</v>
      </c>
      <c r="J979" s="3">
        <v>55</v>
      </c>
      <c r="K979" s="4">
        <v>44614</v>
      </c>
      <c r="L979" s="10">
        <v>288925.4804</v>
      </c>
    </row>
    <row r="980" spans="1:12" x14ac:dyDescent="0.3">
      <c r="A980" s="2">
        <v>978</v>
      </c>
      <c r="B980" s="3" t="s">
        <v>72</v>
      </c>
      <c r="C980" s="3" t="s">
        <v>213</v>
      </c>
      <c r="D980" s="3" t="s">
        <v>14</v>
      </c>
      <c r="E980" s="3">
        <v>21962</v>
      </c>
      <c r="F980" s="3">
        <v>1</v>
      </c>
      <c r="G980" s="3">
        <v>77565</v>
      </c>
      <c r="H980" s="3" t="s">
        <v>23</v>
      </c>
      <c r="I980" s="3">
        <v>2106</v>
      </c>
      <c r="J980" s="3">
        <v>54</v>
      </c>
      <c r="K980" s="4">
        <v>44117</v>
      </c>
      <c r="L980" s="10">
        <v>354336.14169999998</v>
      </c>
    </row>
    <row r="981" spans="1:12" x14ac:dyDescent="0.3">
      <c r="A981" s="2">
        <v>979</v>
      </c>
      <c r="B981" s="3" t="s">
        <v>55</v>
      </c>
      <c r="C981" s="3" t="s">
        <v>66</v>
      </c>
      <c r="D981" s="3" t="s">
        <v>14</v>
      </c>
      <c r="E981" s="3">
        <v>27165</v>
      </c>
      <c r="F981" s="3">
        <v>2</v>
      </c>
      <c r="G981" s="3">
        <v>85867</v>
      </c>
      <c r="H981" s="3" t="s">
        <v>23</v>
      </c>
      <c r="I981" s="3">
        <v>2730</v>
      </c>
      <c r="J981" s="3">
        <v>57</v>
      </c>
      <c r="K981" s="4">
        <v>44315</v>
      </c>
      <c r="L981" s="10">
        <v>347685.93780000001</v>
      </c>
    </row>
    <row r="982" spans="1:12" x14ac:dyDescent="0.3">
      <c r="A982" s="2">
        <v>980</v>
      </c>
      <c r="B982" s="3" t="s">
        <v>40</v>
      </c>
      <c r="C982" s="3" t="s">
        <v>136</v>
      </c>
      <c r="D982" s="3" t="s">
        <v>14</v>
      </c>
      <c r="E982" s="3">
        <v>27967</v>
      </c>
      <c r="F982" s="3">
        <v>3</v>
      </c>
      <c r="G982" s="3">
        <v>60840</v>
      </c>
      <c r="H982" s="3" t="s">
        <v>21</v>
      </c>
      <c r="I982" s="3">
        <v>2360</v>
      </c>
      <c r="J982" s="3">
        <v>30</v>
      </c>
      <c r="K982" s="4">
        <v>45163</v>
      </c>
      <c r="L982" s="10">
        <v>372093.20120000001</v>
      </c>
    </row>
    <row r="983" spans="1:12" x14ac:dyDescent="0.3">
      <c r="A983" s="2">
        <v>981</v>
      </c>
      <c r="B983" s="3" t="s">
        <v>108</v>
      </c>
      <c r="C983" s="3" t="s">
        <v>227</v>
      </c>
      <c r="D983" s="3" t="s">
        <v>14</v>
      </c>
      <c r="E983" s="3">
        <v>3048</v>
      </c>
      <c r="F983" s="3">
        <v>8</v>
      </c>
      <c r="G983" s="3">
        <v>69769</v>
      </c>
      <c r="H983" s="3" t="s">
        <v>21</v>
      </c>
      <c r="I983" s="3">
        <v>2884</v>
      </c>
      <c r="J983" s="3">
        <v>72</v>
      </c>
      <c r="K983" s="4">
        <v>45227</v>
      </c>
      <c r="L983" s="10">
        <v>338104.24489999999</v>
      </c>
    </row>
    <row r="984" spans="1:12" x14ac:dyDescent="0.3">
      <c r="A984" s="2">
        <v>982</v>
      </c>
      <c r="B984" s="3" t="s">
        <v>35</v>
      </c>
      <c r="C984" s="3" t="s">
        <v>177</v>
      </c>
      <c r="D984" s="3" t="s">
        <v>18</v>
      </c>
      <c r="E984" s="3">
        <v>7095</v>
      </c>
      <c r="F984" s="3">
        <v>6</v>
      </c>
      <c r="G984" s="3">
        <v>77936</v>
      </c>
      <c r="H984" s="3" t="s">
        <v>21</v>
      </c>
      <c r="I984" s="3">
        <v>1224</v>
      </c>
      <c r="J984" s="3">
        <v>83</v>
      </c>
      <c r="K984" s="4">
        <v>44752</v>
      </c>
      <c r="L984" s="10">
        <v>368937.16310000001</v>
      </c>
    </row>
    <row r="985" spans="1:12" x14ac:dyDescent="0.3">
      <c r="A985" s="2">
        <v>983</v>
      </c>
      <c r="B985" s="3" t="s">
        <v>16</v>
      </c>
      <c r="C985" s="3" t="s">
        <v>22</v>
      </c>
      <c r="D985" s="3" t="s">
        <v>18</v>
      </c>
      <c r="E985" s="3">
        <v>23490</v>
      </c>
      <c r="F985" s="3">
        <v>5</v>
      </c>
      <c r="G985" s="3">
        <v>51619</v>
      </c>
      <c r="H985" s="3" t="s">
        <v>21</v>
      </c>
      <c r="I985" s="3">
        <v>1128</v>
      </c>
      <c r="J985" s="3">
        <v>82</v>
      </c>
      <c r="K985" s="4">
        <v>43921</v>
      </c>
      <c r="L985" s="10">
        <v>371777.57339999999</v>
      </c>
    </row>
    <row r="986" spans="1:12" x14ac:dyDescent="0.3">
      <c r="A986" s="2">
        <v>984</v>
      </c>
      <c r="B986" s="3" t="s">
        <v>53</v>
      </c>
      <c r="C986" s="3" t="s">
        <v>131</v>
      </c>
      <c r="D986" s="3" t="s">
        <v>18</v>
      </c>
      <c r="E986" s="3">
        <v>19935</v>
      </c>
      <c r="F986" s="3">
        <v>4</v>
      </c>
      <c r="G986" s="3">
        <v>73281</v>
      </c>
      <c r="H986" s="3" t="s">
        <v>15</v>
      </c>
      <c r="I986" s="3">
        <v>2563</v>
      </c>
      <c r="J986" s="3">
        <v>91</v>
      </c>
      <c r="K986" s="4">
        <v>44872</v>
      </c>
      <c r="L986" s="10">
        <v>393692.24229999998</v>
      </c>
    </row>
    <row r="987" spans="1:12" x14ac:dyDescent="0.3">
      <c r="A987" s="2">
        <v>985</v>
      </c>
      <c r="B987" s="3" t="s">
        <v>57</v>
      </c>
      <c r="C987" s="3" t="s">
        <v>174</v>
      </c>
      <c r="D987" s="3" t="s">
        <v>18</v>
      </c>
      <c r="E987" s="3">
        <v>3017</v>
      </c>
      <c r="F987" s="3">
        <v>7</v>
      </c>
      <c r="G987" s="3">
        <v>72669</v>
      </c>
      <c r="H987" s="3" t="s">
        <v>21</v>
      </c>
      <c r="I987" s="3">
        <v>1352</v>
      </c>
      <c r="J987" s="3">
        <v>59</v>
      </c>
      <c r="K987" s="4">
        <v>44632</v>
      </c>
      <c r="L987" s="10">
        <v>353578.63789999997</v>
      </c>
    </row>
    <row r="988" spans="1:12" x14ac:dyDescent="0.3">
      <c r="A988" s="2">
        <v>986</v>
      </c>
      <c r="B988" s="3" t="s">
        <v>19</v>
      </c>
      <c r="C988" s="3" t="s">
        <v>130</v>
      </c>
      <c r="D988" s="3" t="s">
        <v>14</v>
      </c>
      <c r="E988" s="3">
        <v>10386</v>
      </c>
      <c r="F988" s="3">
        <v>0</v>
      </c>
      <c r="G988" s="3">
        <v>79357</v>
      </c>
      <c r="H988" s="3" t="s">
        <v>21</v>
      </c>
      <c r="I988" s="3">
        <v>2068</v>
      </c>
      <c r="J988" s="3">
        <v>31</v>
      </c>
      <c r="K988" s="4">
        <v>43980</v>
      </c>
      <c r="L988" s="10">
        <v>328391.41320000001</v>
      </c>
    </row>
    <row r="989" spans="1:12" x14ac:dyDescent="0.3">
      <c r="A989" s="2">
        <v>987</v>
      </c>
      <c r="B989" s="3" t="s">
        <v>57</v>
      </c>
      <c r="C989" s="3" t="s">
        <v>78</v>
      </c>
      <c r="D989" s="3" t="s">
        <v>14</v>
      </c>
      <c r="E989" s="3">
        <v>4944</v>
      </c>
      <c r="F989" s="3">
        <v>6</v>
      </c>
      <c r="G989" s="3">
        <v>86468</v>
      </c>
      <c r="H989" s="3" t="s">
        <v>23</v>
      </c>
      <c r="I989" s="3">
        <v>2807</v>
      </c>
      <c r="J989" s="3">
        <v>37</v>
      </c>
      <c r="K989" s="4">
        <v>44506</v>
      </c>
      <c r="L989" s="10">
        <v>333058.62589999998</v>
      </c>
    </row>
    <row r="990" spans="1:12" x14ac:dyDescent="0.3">
      <c r="A990" s="2">
        <v>988</v>
      </c>
      <c r="B990" s="3" t="s">
        <v>74</v>
      </c>
      <c r="C990" s="3" t="s">
        <v>89</v>
      </c>
      <c r="D990" s="3" t="s">
        <v>18</v>
      </c>
      <c r="E990" s="3">
        <v>26470</v>
      </c>
      <c r="F990" s="3">
        <v>3</v>
      </c>
      <c r="G990" s="3">
        <v>76073</v>
      </c>
      <c r="H990" s="3" t="s">
        <v>15</v>
      </c>
      <c r="I990" s="3">
        <v>1955</v>
      </c>
      <c r="J990" s="3">
        <v>57</v>
      </c>
      <c r="K990" s="4">
        <v>44930</v>
      </c>
      <c r="L990" s="10">
        <v>366963.5858</v>
      </c>
    </row>
    <row r="991" spans="1:12" x14ac:dyDescent="0.3">
      <c r="A991" s="2">
        <v>989</v>
      </c>
      <c r="B991" s="3" t="s">
        <v>53</v>
      </c>
      <c r="C991" s="3" t="s">
        <v>141</v>
      </c>
      <c r="D991" s="3" t="s">
        <v>18</v>
      </c>
      <c r="E991" s="3">
        <v>28501</v>
      </c>
      <c r="F991" s="3">
        <v>4</v>
      </c>
      <c r="G991" s="3">
        <v>52061</v>
      </c>
      <c r="H991" s="3" t="s">
        <v>23</v>
      </c>
      <c r="I991" s="3">
        <v>1041</v>
      </c>
      <c r="J991" s="3">
        <v>27</v>
      </c>
      <c r="K991" s="4">
        <v>44652</v>
      </c>
      <c r="L991" s="10">
        <v>360234.20039999997</v>
      </c>
    </row>
    <row r="992" spans="1:12" x14ac:dyDescent="0.3">
      <c r="A992" s="2">
        <v>990</v>
      </c>
      <c r="B992" s="3" t="s">
        <v>37</v>
      </c>
      <c r="C992" s="3" t="s">
        <v>128</v>
      </c>
      <c r="D992" s="3" t="s">
        <v>14</v>
      </c>
      <c r="E992" s="3">
        <v>9848</v>
      </c>
      <c r="F992" s="3">
        <v>6</v>
      </c>
      <c r="G992" s="3">
        <v>75616</v>
      </c>
      <c r="H992" s="3" t="s">
        <v>23</v>
      </c>
      <c r="I992" s="3">
        <v>2251</v>
      </c>
      <c r="J992" s="3">
        <v>43</v>
      </c>
      <c r="K992" s="4">
        <v>44831</v>
      </c>
      <c r="L992" s="10">
        <v>359489.99190000002</v>
      </c>
    </row>
    <row r="993" spans="1:12" x14ac:dyDescent="0.3">
      <c r="A993" s="2">
        <v>991</v>
      </c>
      <c r="B993" s="3" t="s">
        <v>122</v>
      </c>
      <c r="C993" s="3" t="s">
        <v>133</v>
      </c>
      <c r="D993" s="3" t="s">
        <v>18</v>
      </c>
      <c r="E993" s="3">
        <v>28451</v>
      </c>
      <c r="F993" s="3">
        <v>2</v>
      </c>
      <c r="G993" s="3">
        <v>65171</v>
      </c>
      <c r="H993" s="3" t="s">
        <v>23</v>
      </c>
      <c r="I993" s="3">
        <v>1113</v>
      </c>
      <c r="J993" s="3">
        <v>61</v>
      </c>
      <c r="K993" s="4">
        <v>44771</v>
      </c>
      <c r="L993" s="10">
        <v>336178.95689999999</v>
      </c>
    </row>
    <row r="994" spans="1:12" x14ac:dyDescent="0.3">
      <c r="A994" s="2">
        <v>992</v>
      </c>
      <c r="B994" s="3" t="s">
        <v>16</v>
      </c>
      <c r="C994" s="3" t="s">
        <v>87</v>
      </c>
      <c r="D994" s="3" t="s">
        <v>14</v>
      </c>
      <c r="E994" s="3">
        <v>21042</v>
      </c>
      <c r="F994" s="3">
        <v>1</v>
      </c>
      <c r="G994" s="3">
        <v>93086</v>
      </c>
      <c r="H994" s="3" t="s">
        <v>23</v>
      </c>
      <c r="I994" s="3">
        <v>1013</v>
      </c>
      <c r="J994" s="3">
        <v>36</v>
      </c>
      <c r="K994" s="4">
        <v>45407</v>
      </c>
      <c r="L994" s="10">
        <v>318525.85739999998</v>
      </c>
    </row>
    <row r="995" spans="1:12" x14ac:dyDescent="0.3">
      <c r="A995" s="2">
        <v>993</v>
      </c>
      <c r="B995" s="3" t="s">
        <v>53</v>
      </c>
      <c r="C995" s="3" t="s">
        <v>149</v>
      </c>
      <c r="D995" s="3" t="s">
        <v>18</v>
      </c>
      <c r="E995" s="3">
        <v>690</v>
      </c>
      <c r="F995" s="3">
        <v>0</v>
      </c>
      <c r="G995" s="3">
        <v>71845</v>
      </c>
      <c r="H995" s="3" t="s">
        <v>15</v>
      </c>
      <c r="I995" s="3">
        <v>2487</v>
      </c>
      <c r="J995" s="3">
        <v>20</v>
      </c>
      <c r="K995" s="4">
        <v>44285</v>
      </c>
      <c r="L995" s="10">
        <v>360607.31550000003</v>
      </c>
    </row>
    <row r="996" spans="1:12" x14ac:dyDescent="0.3">
      <c r="A996" s="2">
        <v>994</v>
      </c>
      <c r="B996" s="3" t="s">
        <v>29</v>
      </c>
      <c r="C996" s="3" t="s">
        <v>135</v>
      </c>
      <c r="D996" s="3" t="s">
        <v>14</v>
      </c>
      <c r="E996" s="3">
        <v>24979</v>
      </c>
      <c r="F996" s="3">
        <v>5</v>
      </c>
      <c r="G996" s="3">
        <v>82388</v>
      </c>
      <c r="H996" s="3" t="s">
        <v>21</v>
      </c>
      <c r="I996" s="3">
        <v>2511</v>
      </c>
      <c r="J996" s="3">
        <v>25</v>
      </c>
      <c r="K996" s="4">
        <v>44837</v>
      </c>
      <c r="L996" s="10">
        <v>328948.74560000002</v>
      </c>
    </row>
    <row r="997" spans="1:12" x14ac:dyDescent="0.3">
      <c r="A997" s="2">
        <v>995</v>
      </c>
      <c r="B997" s="3" t="s">
        <v>44</v>
      </c>
      <c r="C997" s="3" t="s">
        <v>82</v>
      </c>
      <c r="D997" s="3" t="s">
        <v>18</v>
      </c>
      <c r="E997" s="3">
        <v>19798</v>
      </c>
      <c r="F997" s="3">
        <v>1</v>
      </c>
      <c r="G997" s="3">
        <v>97050</v>
      </c>
      <c r="H997" s="3" t="s">
        <v>15</v>
      </c>
      <c r="I997" s="3">
        <v>2304</v>
      </c>
      <c r="J997" s="3">
        <v>90</v>
      </c>
      <c r="K997" s="4">
        <v>45544</v>
      </c>
      <c r="L997" s="10">
        <v>406706.92719999998</v>
      </c>
    </row>
    <row r="998" spans="1:12" x14ac:dyDescent="0.3">
      <c r="A998" s="2">
        <v>996</v>
      </c>
      <c r="B998" s="3" t="s">
        <v>35</v>
      </c>
      <c r="C998" s="3" t="s">
        <v>62</v>
      </c>
      <c r="D998" s="3" t="s">
        <v>18</v>
      </c>
      <c r="E998" s="3">
        <v>5964</v>
      </c>
      <c r="F998" s="3">
        <v>2</v>
      </c>
      <c r="G998" s="3">
        <v>86616</v>
      </c>
      <c r="H998" s="3" t="s">
        <v>15</v>
      </c>
      <c r="I998" s="3">
        <v>2933</v>
      </c>
      <c r="J998" s="3">
        <v>54</v>
      </c>
      <c r="K998" s="4">
        <v>44639</v>
      </c>
      <c r="L998" s="10">
        <v>375107.69890000002</v>
      </c>
    </row>
    <row r="999" spans="1:12" x14ac:dyDescent="0.3">
      <c r="A999" s="2">
        <v>997</v>
      </c>
      <c r="B999" s="3" t="s">
        <v>44</v>
      </c>
      <c r="C999" s="3" t="s">
        <v>111</v>
      </c>
      <c r="D999" s="3" t="s">
        <v>18</v>
      </c>
      <c r="E999" s="3">
        <v>8703</v>
      </c>
      <c r="F999" s="3">
        <v>3</v>
      </c>
      <c r="G999" s="3">
        <v>90733</v>
      </c>
      <c r="H999" s="3" t="s">
        <v>15</v>
      </c>
      <c r="I999" s="3">
        <v>2160</v>
      </c>
      <c r="J999" s="3">
        <v>64</v>
      </c>
      <c r="K999" s="4">
        <v>44928</v>
      </c>
      <c r="L999" s="10">
        <v>359580.90240000002</v>
      </c>
    </row>
    <row r="1000" spans="1:12" x14ac:dyDescent="0.3">
      <c r="A1000" s="2">
        <v>998</v>
      </c>
      <c r="B1000" s="3" t="s">
        <v>31</v>
      </c>
      <c r="C1000" s="3" t="s">
        <v>63</v>
      </c>
      <c r="D1000" s="3" t="s">
        <v>18</v>
      </c>
      <c r="E1000" s="3">
        <v>8980</v>
      </c>
      <c r="F1000" s="3">
        <v>8</v>
      </c>
      <c r="G1000" s="3">
        <v>86523</v>
      </c>
      <c r="H1000" s="3" t="s">
        <v>21</v>
      </c>
      <c r="I1000" s="3">
        <v>1697</v>
      </c>
      <c r="J1000" s="3">
        <v>82</v>
      </c>
      <c r="K1000" s="4">
        <v>44954</v>
      </c>
      <c r="L1000" s="10">
        <v>377200.10080000001</v>
      </c>
    </row>
    <row r="1001" spans="1:12" x14ac:dyDescent="0.3">
      <c r="A1001" s="5">
        <v>999</v>
      </c>
      <c r="B1001" s="6" t="s">
        <v>55</v>
      </c>
      <c r="C1001" s="6" t="s">
        <v>148</v>
      </c>
      <c r="D1001" s="6" t="s">
        <v>14</v>
      </c>
      <c r="E1001" s="6">
        <v>23667</v>
      </c>
      <c r="F1001" s="6">
        <v>9</v>
      </c>
      <c r="G1001" s="6">
        <v>69133</v>
      </c>
      <c r="H1001" s="6" t="s">
        <v>21</v>
      </c>
      <c r="I1001" s="6">
        <v>2978</v>
      </c>
      <c r="J1001" s="6">
        <v>52</v>
      </c>
      <c r="K1001" s="7">
        <v>44445</v>
      </c>
      <c r="L1001" s="11">
        <v>360777.52299999999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8AEB-3EF6-43DC-A689-69CE6013BF47}">
  <dimension ref="A1:Q25"/>
  <sheetViews>
    <sheetView topLeftCell="A2" workbookViewId="0">
      <selection activeCell="A16" sqref="A16:B25"/>
    </sheetView>
  </sheetViews>
  <sheetFormatPr defaultRowHeight="14.4" x14ac:dyDescent="0.3"/>
  <cols>
    <col min="1" max="1" width="23.7773437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9" width="12.6640625" bestFit="1" customWidth="1"/>
  </cols>
  <sheetData>
    <row r="1" spans="1:17" x14ac:dyDescent="0.3">
      <c r="A1" t="s">
        <v>230</v>
      </c>
    </row>
    <row r="2" spans="1:17" ht="15" thickBot="1" x14ac:dyDescent="0.35"/>
    <row r="3" spans="1:17" x14ac:dyDescent="0.3">
      <c r="A3" s="15" t="s">
        <v>231</v>
      </c>
      <c r="B3" s="15"/>
    </row>
    <row r="4" spans="1:17" x14ac:dyDescent="0.3">
      <c r="A4" s="12" t="s">
        <v>232</v>
      </c>
      <c r="B4" s="12">
        <v>0.91239681017951324</v>
      </c>
    </row>
    <row r="5" spans="1:17" x14ac:dyDescent="0.3">
      <c r="A5" s="16" t="s">
        <v>233</v>
      </c>
      <c r="B5" s="16">
        <v>0.8324679392257508</v>
      </c>
    </row>
    <row r="6" spans="1:17" x14ac:dyDescent="0.3">
      <c r="A6" s="16" t="s">
        <v>234</v>
      </c>
      <c r="B6" s="16">
        <v>0.83111551088448532</v>
      </c>
    </row>
    <row r="7" spans="1:17" x14ac:dyDescent="0.3">
      <c r="A7" s="12" t="s">
        <v>235</v>
      </c>
      <c r="B7" s="12">
        <v>12841.325822868206</v>
      </c>
      <c r="K7" s="1"/>
    </row>
    <row r="8" spans="1:17" ht="15" thickBot="1" x14ac:dyDescent="0.35">
      <c r="A8" s="13" t="s">
        <v>236</v>
      </c>
      <c r="B8" s="13">
        <v>1000</v>
      </c>
      <c r="K8" s="22" t="s">
        <v>256</v>
      </c>
      <c r="L8" s="23"/>
      <c r="M8" s="23"/>
      <c r="N8" s="23"/>
      <c r="O8" s="23"/>
      <c r="P8" s="24"/>
    </row>
    <row r="9" spans="1:17" x14ac:dyDescent="0.3">
      <c r="K9" s="25"/>
      <c r="L9" s="20"/>
      <c r="M9" s="20"/>
      <c r="N9" s="20"/>
      <c r="O9" s="20"/>
      <c r="P9" s="26"/>
    </row>
    <row r="10" spans="1:17" ht="15" thickBot="1" x14ac:dyDescent="0.35">
      <c r="A10" t="s">
        <v>237</v>
      </c>
      <c r="K10" s="27"/>
      <c r="L10" s="21"/>
      <c r="M10" s="21"/>
      <c r="N10" s="21"/>
      <c r="O10" s="21"/>
      <c r="P10" s="28"/>
    </row>
    <row r="11" spans="1:17" ht="15.6" x14ac:dyDescent="0.3">
      <c r="A11" s="14"/>
      <c r="B11" s="14" t="s">
        <v>242</v>
      </c>
      <c r="C11" s="14" t="s">
        <v>243</v>
      </c>
      <c r="D11" s="14" t="s">
        <v>244</v>
      </c>
      <c r="E11" s="14" t="s">
        <v>245</v>
      </c>
      <c r="F11" s="14" t="s">
        <v>246</v>
      </c>
      <c r="K11" s="29" t="s">
        <v>254</v>
      </c>
      <c r="L11" s="30"/>
      <c r="M11" s="30"/>
      <c r="N11" s="30"/>
      <c r="O11" s="30"/>
      <c r="P11" s="31"/>
    </row>
    <row r="12" spans="1:17" ht="20.399999999999999" customHeight="1" x14ac:dyDescent="0.3">
      <c r="A12" s="12" t="s">
        <v>238</v>
      </c>
      <c r="B12" s="12">
        <v>8</v>
      </c>
      <c r="C12" s="12">
        <v>812012979623.23901</v>
      </c>
      <c r="D12" s="12">
        <v>101501622452.90488</v>
      </c>
      <c r="E12" s="12">
        <v>615.535709971046</v>
      </c>
      <c r="F12" s="12">
        <v>0</v>
      </c>
      <c r="K12" s="38" t="s">
        <v>255</v>
      </c>
      <c r="L12" s="39"/>
      <c r="M12" s="39"/>
      <c r="N12" s="39"/>
      <c r="O12" s="39"/>
      <c r="P12" s="40"/>
    </row>
    <row r="13" spans="1:17" ht="20.399999999999999" customHeight="1" x14ac:dyDescent="0.3">
      <c r="A13" s="12" t="s">
        <v>239</v>
      </c>
      <c r="B13" s="12">
        <v>991</v>
      </c>
      <c r="C13" s="12">
        <v>163415552049.06024</v>
      </c>
      <c r="D13" s="12">
        <v>164899648.88906181</v>
      </c>
      <c r="E13" s="12"/>
      <c r="F13" s="12"/>
      <c r="K13" s="32" t="s">
        <v>259</v>
      </c>
      <c r="L13" s="33"/>
      <c r="M13" s="33"/>
      <c r="N13" s="33"/>
      <c r="O13" s="33"/>
      <c r="P13" s="34"/>
    </row>
    <row r="14" spans="1:17" ht="20.399999999999999" customHeight="1" thickBot="1" x14ac:dyDescent="0.35">
      <c r="A14" s="13" t="s">
        <v>240</v>
      </c>
      <c r="B14" s="13">
        <v>999</v>
      </c>
      <c r="C14" s="13">
        <v>975428531672.29932</v>
      </c>
      <c r="D14" s="13"/>
      <c r="E14" s="13"/>
      <c r="F14" s="13"/>
      <c r="K14" s="32" t="s">
        <v>258</v>
      </c>
      <c r="L14" s="33"/>
      <c r="M14" s="33"/>
      <c r="N14" s="33"/>
      <c r="O14" s="33"/>
      <c r="P14" s="34"/>
    </row>
    <row r="15" spans="1:17" ht="20.399999999999999" customHeight="1" thickBot="1" x14ac:dyDescent="0.35">
      <c r="K15" s="35" t="s">
        <v>257</v>
      </c>
      <c r="L15" s="36"/>
      <c r="M15" s="36"/>
      <c r="N15" s="36"/>
      <c r="O15" s="36"/>
      <c r="P15" s="37"/>
    </row>
    <row r="16" spans="1:17" ht="20.399999999999999" customHeight="1" x14ac:dyDescent="0.3">
      <c r="A16" s="14"/>
      <c r="B16" s="14" t="s">
        <v>247</v>
      </c>
      <c r="C16" s="14" t="s">
        <v>235</v>
      </c>
      <c r="D16" s="14" t="s">
        <v>248</v>
      </c>
      <c r="E16" s="17" t="s">
        <v>249</v>
      </c>
      <c r="F16" s="14" t="s">
        <v>250</v>
      </c>
      <c r="G16" s="14" t="s">
        <v>251</v>
      </c>
      <c r="H16" s="14" t="s">
        <v>252</v>
      </c>
      <c r="I16" s="14" t="s">
        <v>253</v>
      </c>
      <c r="K16" s="33"/>
      <c r="L16" s="33"/>
      <c r="M16" s="33"/>
      <c r="N16" s="33"/>
      <c r="O16" s="33"/>
      <c r="P16" s="33"/>
      <c r="Q16" s="41"/>
    </row>
    <row r="17" spans="1:17" x14ac:dyDescent="0.3">
      <c r="A17" s="16" t="s">
        <v>241</v>
      </c>
      <c r="B17" s="12">
        <v>265536.23536582728</v>
      </c>
      <c r="C17" s="12">
        <v>3039.8271823457344</v>
      </c>
      <c r="D17" s="12">
        <v>87.352411646283699</v>
      </c>
      <c r="E17" s="12">
        <v>0</v>
      </c>
      <c r="F17" s="12">
        <v>259570.99803911874</v>
      </c>
      <c r="G17" s="12">
        <v>271501.47269253584</v>
      </c>
      <c r="H17" s="12">
        <v>259570.99803911874</v>
      </c>
      <c r="I17" s="12">
        <v>271501.47269253584</v>
      </c>
      <c r="K17" s="41"/>
      <c r="L17" s="41"/>
      <c r="M17" s="41"/>
      <c r="N17" s="41"/>
      <c r="O17" s="41"/>
      <c r="P17" s="41"/>
      <c r="Q17" s="41"/>
    </row>
    <row r="18" spans="1:17" x14ac:dyDescent="0.3">
      <c r="A18" s="16" t="s">
        <v>18</v>
      </c>
      <c r="B18" s="12">
        <v>44718.22984324165</v>
      </c>
      <c r="C18" s="12">
        <v>814.85565980194713</v>
      </c>
      <c r="D18" s="12">
        <v>54.878712941762636</v>
      </c>
      <c r="E18" s="12">
        <v>1.1361332472644152E-302</v>
      </c>
      <c r="F18" s="12">
        <v>43119.189139230519</v>
      </c>
      <c r="G18" s="12">
        <v>46317.270547252781</v>
      </c>
      <c r="H18" s="12">
        <v>43119.189139230519</v>
      </c>
      <c r="I18" s="12">
        <v>46317.270547252781</v>
      </c>
      <c r="K18" s="41"/>
      <c r="L18" s="41"/>
      <c r="M18" s="41"/>
      <c r="N18" s="41"/>
      <c r="O18" s="41"/>
      <c r="P18" s="41"/>
      <c r="Q18" s="41"/>
    </row>
    <row r="19" spans="1:17" x14ac:dyDescent="0.3">
      <c r="A19" s="16" t="s">
        <v>4</v>
      </c>
      <c r="B19" s="12">
        <v>0.55122252916038883</v>
      </c>
      <c r="C19" s="12">
        <v>4.8890121742524391E-2</v>
      </c>
      <c r="D19" s="12">
        <v>11.274721958422495</v>
      </c>
      <c r="E19" s="12">
        <v>7.9651970266247603E-28</v>
      </c>
      <c r="F19" s="12">
        <v>0.45528247677202188</v>
      </c>
      <c r="G19" s="12">
        <v>0.64716258154875583</v>
      </c>
      <c r="H19" s="12">
        <v>0.45528247677202188</v>
      </c>
      <c r="I19" s="12">
        <v>0.64716258154875583</v>
      </c>
      <c r="K19" s="41"/>
      <c r="L19" s="41"/>
      <c r="M19" s="41"/>
      <c r="N19" s="41"/>
      <c r="O19" s="41"/>
      <c r="P19" s="41"/>
      <c r="Q19" s="41"/>
    </row>
    <row r="20" spans="1:17" x14ac:dyDescent="0.3">
      <c r="A20" s="16" t="s">
        <v>5</v>
      </c>
      <c r="B20" s="12">
        <v>-950.09765435120642</v>
      </c>
      <c r="C20" s="12">
        <v>143.57673299453467</v>
      </c>
      <c r="D20" s="12">
        <v>-6.6173511162659793</v>
      </c>
      <c r="E20" s="12">
        <v>5.9772730419669208E-11</v>
      </c>
      <c r="F20" s="12">
        <v>-1231.8469892739095</v>
      </c>
      <c r="G20" s="12">
        <v>-668.34831942850337</v>
      </c>
      <c r="H20" s="12">
        <v>-1231.8469892739095</v>
      </c>
      <c r="I20" s="12">
        <v>-668.34831942850337</v>
      </c>
    </row>
    <row r="21" spans="1:17" x14ac:dyDescent="0.3">
      <c r="A21" s="19" t="s">
        <v>6</v>
      </c>
      <c r="B21" s="12">
        <v>0.12327461062224949</v>
      </c>
      <c r="C21" s="12">
        <v>2.8141501452064888E-2</v>
      </c>
      <c r="D21" s="12">
        <v>4.3805271311564722</v>
      </c>
      <c r="E21" s="19">
        <v>1.3099076066104154E-5</v>
      </c>
      <c r="F21" s="12">
        <v>6.8050834788407524E-2</v>
      </c>
      <c r="G21" s="12">
        <v>0.17849838645609145</v>
      </c>
      <c r="H21" s="12">
        <v>6.8050834788407524E-2</v>
      </c>
      <c r="I21" s="12">
        <v>0.17849838645609145</v>
      </c>
    </row>
    <row r="22" spans="1:17" x14ac:dyDescent="0.3">
      <c r="A22" s="16" t="s">
        <v>228</v>
      </c>
      <c r="B22" s="12">
        <v>-18937.510254502824</v>
      </c>
      <c r="C22" s="12">
        <v>1017.0952072183792</v>
      </c>
      <c r="D22" s="12">
        <v>-18.619210984480411</v>
      </c>
      <c r="E22" s="12">
        <v>1.3916555799574841E-66</v>
      </c>
      <c r="F22" s="12">
        <v>-20933.417893644852</v>
      </c>
      <c r="G22" s="12">
        <v>-16941.602615360796</v>
      </c>
      <c r="H22" s="12">
        <v>-20933.417893644852</v>
      </c>
      <c r="I22" s="12">
        <v>-16941.602615360796</v>
      </c>
    </row>
    <row r="23" spans="1:17" x14ac:dyDescent="0.3">
      <c r="A23" s="12" t="s">
        <v>229</v>
      </c>
      <c r="B23" s="12">
        <v>1284.3113547290618</v>
      </c>
      <c r="C23" s="12">
        <v>997.94972668812738</v>
      </c>
      <c r="D23" s="12">
        <v>1.2869499538732037</v>
      </c>
      <c r="E23" s="12">
        <v>0.19841225096702314</v>
      </c>
      <c r="F23" s="12">
        <v>-674.02594628318593</v>
      </c>
      <c r="G23" s="12">
        <v>3242.6486557413095</v>
      </c>
      <c r="H23" s="12">
        <v>-674.02594628318593</v>
      </c>
      <c r="I23" s="12">
        <v>3242.6486557413095</v>
      </c>
    </row>
    <row r="24" spans="1:17" x14ac:dyDescent="0.3">
      <c r="A24" s="16" t="s">
        <v>8</v>
      </c>
      <c r="B24" s="12">
        <v>19.957050683223457</v>
      </c>
      <c r="C24" s="12">
        <v>0.69568747776784756</v>
      </c>
      <c r="D24" s="12">
        <v>28.686804522135109</v>
      </c>
      <c r="E24" s="12">
        <v>3.0380625626692531E-132</v>
      </c>
      <c r="F24" s="12">
        <v>18.591860933554162</v>
      </c>
      <c r="G24" s="12">
        <v>21.322240432892752</v>
      </c>
      <c r="H24" s="12">
        <v>18.591860933554162</v>
      </c>
      <c r="I24" s="12">
        <v>21.322240432892752</v>
      </c>
    </row>
    <row r="25" spans="1:17" ht="15" thickBot="1" x14ac:dyDescent="0.35">
      <c r="A25" s="18" t="s">
        <v>9</v>
      </c>
      <c r="B25" s="13">
        <v>308.23003274341255</v>
      </c>
      <c r="C25" s="13">
        <v>17.927645583913673</v>
      </c>
      <c r="D25" s="13">
        <v>17.193001239381083</v>
      </c>
      <c r="E25" s="13">
        <v>3.5240839707231111E-58</v>
      </c>
      <c r="F25" s="13">
        <v>273.04952602308003</v>
      </c>
      <c r="G25" s="13">
        <v>343.41053946374507</v>
      </c>
      <c r="H25" s="13">
        <v>273.04952602308003</v>
      </c>
      <c r="I25" s="13">
        <v>343.41053946374507</v>
      </c>
    </row>
  </sheetData>
  <mergeCells count="3">
    <mergeCell ref="K8:P9"/>
    <mergeCell ref="K10:P10"/>
    <mergeCell ref="K11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F200-3F05-4EEF-B22F-3C2C53F20A2B}">
  <dimension ref="A1:O1001"/>
  <sheetViews>
    <sheetView workbookViewId="0">
      <selection activeCell="E2" sqref="E2"/>
    </sheetView>
  </sheetViews>
  <sheetFormatPr defaultRowHeight="14.4" x14ac:dyDescent="0.3"/>
  <cols>
    <col min="1" max="1" width="8.77734375" style="1" bestFit="1" customWidth="1"/>
    <col min="2" max="2" width="5.77734375" style="1" bestFit="1" customWidth="1"/>
    <col min="3" max="3" width="14.44140625" style="1" bestFit="1" customWidth="1"/>
    <col min="4" max="4" width="14.21875" style="1" bestFit="1" customWidth="1"/>
    <col min="5" max="5" width="20.109375" style="1" bestFit="1" customWidth="1"/>
    <col min="6" max="6" width="14.21875" style="1" customWidth="1"/>
    <col min="7" max="7" width="19.109375" style="1" bestFit="1" customWidth="1"/>
    <col min="8" max="8" width="23.88671875" style="1" bestFit="1" customWidth="1"/>
    <col min="9" max="9" width="27.21875" style="1" bestFit="1" customWidth="1"/>
    <col min="10" max="11" width="20.109375" style="1" customWidth="1"/>
    <col min="12" max="12" width="10.5546875" style="1" bestFit="1" customWidth="1"/>
    <col min="13" max="13" width="14.77734375" style="1" bestFit="1" customWidth="1"/>
    <col min="14" max="14" width="14.109375" style="1" bestFit="1" customWidth="1"/>
    <col min="15" max="15" width="12" style="1" bestFit="1" customWidth="1"/>
    <col min="16" max="16384" width="8.88671875" style="1"/>
  </cols>
  <sheetData>
    <row r="1" spans="1:15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7</v>
      </c>
      <c r="F1" s="8" t="s">
        <v>18</v>
      </c>
      <c r="G1" s="8" t="s">
        <v>4</v>
      </c>
      <c r="H1" s="8" t="s">
        <v>5</v>
      </c>
      <c r="I1" s="8" t="s">
        <v>6</v>
      </c>
      <c r="J1" s="8" t="s">
        <v>228</v>
      </c>
      <c r="K1" s="8" t="s">
        <v>229</v>
      </c>
      <c r="L1" s="8" t="s">
        <v>8</v>
      </c>
      <c r="M1" s="8" t="s">
        <v>9</v>
      </c>
      <c r="N1" s="8" t="s">
        <v>10</v>
      </c>
      <c r="O1" s="8" t="s">
        <v>11</v>
      </c>
    </row>
    <row r="2" spans="1:15" x14ac:dyDescent="0.3">
      <c r="A2" s="2">
        <v>0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f>IF(D2=$F$1,1,0)</f>
        <v>0</v>
      </c>
      <c r="G2" s="3">
        <v>4421</v>
      </c>
      <c r="H2" s="3">
        <v>8</v>
      </c>
      <c r="I2" s="3">
        <v>85246</v>
      </c>
      <c r="J2" s="3">
        <f>IF(E2="Cold",1,0)</f>
        <v>1</v>
      </c>
      <c r="K2" s="3">
        <f>IF(E2="Hot",1,0)</f>
        <v>0</v>
      </c>
      <c r="L2" s="3">
        <v>1994</v>
      </c>
      <c r="M2" s="3">
        <v>22</v>
      </c>
      <c r="N2" s="4">
        <v>44110</v>
      </c>
      <c r="O2" s="9">
        <v>292504.02039999998</v>
      </c>
    </row>
    <row r="3" spans="1:15" x14ac:dyDescent="0.3">
      <c r="A3" s="2">
        <v>1</v>
      </c>
      <c r="B3" s="3" t="s">
        <v>16</v>
      </c>
      <c r="C3" s="3" t="s">
        <v>17</v>
      </c>
      <c r="D3" s="3" t="s">
        <v>18</v>
      </c>
      <c r="E3" s="3" t="s">
        <v>15</v>
      </c>
      <c r="F3" s="3">
        <f t="shared" ref="F3:F66" si="0">IF(D3=$F$1,1,0)</f>
        <v>1</v>
      </c>
      <c r="G3" s="3">
        <v>1003</v>
      </c>
      <c r="H3" s="3">
        <v>6</v>
      </c>
      <c r="I3" s="3">
        <v>72018</v>
      </c>
      <c r="J3" s="3">
        <f>IF(E3="Cold",1,0)</f>
        <v>1</v>
      </c>
      <c r="K3" s="3">
        <f>IF(E3="Hot",1,0)</f>
        <v>0</v>
      </c>
      <c r="L3" s="3">
        <v>1006</v>
      </c>
      <c r="M3" s="3">
        <v>50</v>
      </c>
      <c r="N3" s="4">
        <v>44354</v>
      </c>
      <c r="O3" s="10">
        <v>349046.79139999999</v>
      </c>
    </row>
    <row r="4" spans="1:15" x14ac:dyDescent="0.3">
      <c r="A4" s="2">
        <v>2</v>
      </c>
      <c r="B4" s="3" t="s">
        <v>19</v>
      </c>
      <c r="C4" s="3" t="s">
        <v>20</v>
      </c>
      <c r="D4" s="3" t="s">
        <v>18</v>
      </c>
      <c r="E4" s="3" t="s">
        <v>21</v>
      </c>
      <c r="F4" s="3">
        <f t="shared" si="0"/>
        <v>1</v>
      </c>
      <c r="G4" s="3">
        <v>21636</v>
      </c>
      <c r="H4" s="3">
        <v>2</v>
      </c>
      <c r="I4" s="3">
        <v>87882</v>
      </c>
      <c r="J4" s="3">
        <f>IF(E4="Cold",1,0)</f>
        <v>0</v>
      </c>
      <c r="K4" s="3">
        <f>IF(E4="Hot",1,0)</f>
        <v>1</v>
      </c>
      <c r="L4" s="3">
        <v>2112</v>
      </c>
      <c r="M4" s="3">
        <v>49</v>
      </c>
      <c r="N4" s="4">
        <v>45517</v>
      </c>
      <c r="O4" s="10">
        <v>387145.66729999997</v>
      </c>
    </row>
    <row r="5" spans="1:15" x14ac:dyDescent="0.3">
      <c r="A5" s="2">
        <v>3</v>
      </c>
      <c r="B5" s="3" t="s">
        <v>16</v>
      </c>
      <c r="C5" s="3" t="s">
        <v>22</v>
      </c>
      <c r="D5" s="3" t="s">
        <v>18</v>
      </c>
      <c r="E5" s="3" t="s">
        <v>23</v>
      </c>
      <c r="F5" s="3">
        <f t="shared" si="0"/>
        <v>1</v>
      </c>
      <c r="G5" s="3">
        <v>6186</v>
      </c>
      <c r="H5" s="3">
        <v>9</v>
      </c>
      <c r="I5" s="3">
        <v>91333</v>
      </c>
      <c r="J5" s="3">
        <f>IF(E5="Cold",1,0)</f>
        <v>0</v>
      </c>
      <c r="K5" s="3">
        <f>IF(E5="Hot",1,0)</f>
        <v>0</v>
      </c>
      <c r="L5" s="3">
        <v>1162</v>
      </c>
      <c r="M5" s="3">
        <v>98</v>
      </c>
      <c r="N5" s="4">
        <v>44247</v>
      </c>
      <c r="O5" s="10">
        <v>366571.79879999999</v>
      </c>
    </row>
    <row r="6" spans="1:15" x14ac:dyDescent="0.3">
      <c r="A6" s="2">
        <v>4</v>
      </c>
      <c r="B6" s="3" t="s">
        <v>24</v>
      </c>
      <c r="C6" s="3" t="s">
        <v>25</v>
      </c>
      <c r="D6" s="3" t="s">
        <v>14</v>
      </c>
      <c r="E6" s="3" t="s">
        <v>23</v>
      </c>
      <c r="F6" s="3">
        <f t="shared" si="0"/>
        <v>0</v>
      </c>
      <c r="G6" s="3">
        <v>29822</v>
      </c>
      <c r="H6" s="3">
        <v>6</v>
      </c>
      <c r="I6" s="3">
        <v>93144</v>
      </c>
      <c r="J6" s="3">
        <f>IF(E6="Cold",1,0)</f>
        <v>0</v>
      </c>
      <c r="K6" s="3">
        <f>IF(E6="Hot",1,0)</f>
        <v>0</v>
      </c>
      <c r="L6" s="3">
        <v>1495</v>
      </c>
      <c r="M6" s="3">
        <v>32</v>
      </c>
      <c r="N6" s="4">
        <v>44821</v>
      </c>
      <c r="O6" s="10">
        <v>344911.7095</v>
      </c>
    </row>
    <row r="7" spans="1:15" x14ac:dyDescent="0.3">
      <c r="A7" s="2">
        <v>5</v>
      </c>
      <c r="B7" s="3" t="s">
        <v>26</v>
      </c>
      <c r="C7" s="3" t="s">
        <v>27</v>
      </c>
      <c r="D7" s="3" t="s">
        <v>18</v>
      </c>
      <c r="E7" s="3" t="s">
        <v>15</v>
      </c>
      <c r="F7" s="3">
        <f t="shared" si="0"/>
        <v>1</v>
      </c>
      <c r="G7" s="3">
        <v>1605</v>
      </c>
      <c r="H7" s="3">
        <v>1</v>
      </c>
      <c r="I7" s="3">
        <v>96860</v>
      </c>
      <c r="J7" s="3">
        <f>IF(E7="Cold",1,0)</f>
        <v>1</v>
      </c>
      <c r="K7" s="3">
        <f>IF(E7="Hot",1,0)</f>
        <v>0</v>
      </c>
      <c r="L7" s="3">
        <v>1701</v>
      </c>
      <c r="M7" s="3">
        <v>63</v>
      </c>
      <c r="N7" s="4">
        <v>44281</v>
      </c>
      <c r="O7" s="10">
        <v>339285.53570000001</v>
      </c>
    </row>
    <row r="8" spans="1:15" x14ac:dyDescent="0.3">
      <c r="A8" s="2">
        <v>6</v>
      </c>
      <c r="B8" s="3" t="s">
        <v>28</v>
      </c>
      <c r="C8" s="3" t="s">
        <v>20</v>
      </c>
      <c r="D8" s="3" t="s">
        <v>14</v>
      </c>
      <c r="E8" s="3" t="s">
        <v>21</v>
      </c>
      <c r="F8" s="3">
        <f t="shared" si="0"/>
        <v>0</v>
      </c>
      <c r="G8" s="3">
        <v>7970</v>
      </c>
      <c r="H8" s="3">
        <v>2</v>
      </c>
      <c r="I8" s="3">
        <v>64646</v>
      </c>
      <c r="J8" s="3">
        <f>IF(E8="Cold",1,0)</f>
        <v>0</v>
      </c>
      <c r="K8" s="3">
        <f>IF(E8="Hot",1,0)</f>
        <v>1</v>
      </c>
      <c r="L8" s="3">
        <v>2511</v>
      </c>
      <c r="M8" s="3">
        <v>87</v>
      </c>
      <c r="N8" s="4">
        <v>45419</v>
      </c>
      <c r="O8" s="10">
        <v>375705.26870000002</v>
      </c>
    </row>
    <row r="9" spans="1:15" x14ac:dyDescent="0.3">
      <c r="A9" s="2">
        <v>7</v>
      </c>
      <c r="B9" s="3" t="s">
        <v>29</v>
      </c>
      <c r="C9" s="3" t="s">
        <v>30</v>
      </c>
      <c r="D9" s="3" t="s">
        <v>14</v>
      </c>
      <c r="E9" s="3" t="s">
        <v>23</v>
      </c>
      <c r="F9" s="3">
        <f t="shared" si="0"/>
        <v>0</v>
      </c>
      <c r="G9" s="3">
        <v>24241</v>
      </c>
      <c r="H9" s="3">
        <v>1</v>
      </c>
      <c r="I9" s="3">
        <v>80916</v>
      </c>
      <c r="J9" s="3">
        <f>IF(E9="Cold",1,0)</f>
        <v>0</v>
      </c>
      <c r="K9" s="3">
        <f>IF(E9="Hot",1,0)</f>
        <v>0</v>
      </c>
      <c r="L9" s="3">
        <v>2445</v>
      </c>
      <c r="M9" s="3">
        <v>77</v>
      </c>
      <c r="N9" s="4">
        <v>44701</v>
      </c>
      <c r="O9" s="10">
        <v>362291.28110000002</v>
      </c>
    </row>
    <row r="10" spans="1:15" x14ac:dyDescent="0.3">
      <c r="A10" s="2">
        <v>8</v>
      </c>
      <c r="B10" s="3" t="s">
        <v>31</v>
      </c>
      <c r="C10" s="3" t="s">
        <v>32</v>
      </c>
      <c r="D10" s="3" t="s">
        <v>18</v>
      </c>
      <c r="E10" s="3" t="s">
        <v>21</v>
      </c>
      <c r="F10" s="3">
        <f t="shared" si="0"/>
        <v>1</v>
      </c>
      <c r="G10" s="3">
        <v>17821</v>
      </c>
      <c r="H10" s="3">
        <v>3</v>
      </c>
      <c r="I10" s="3">
        <v>59800</v>
      </c>
      <c r="J10" s="3">
        <f>IF(E10="Cold",1,0)</f>
        <v>0</v>
      </c>
      <c r="K10" s="3">
        <f>IF(E10="Hot",1,0)</f>
        <v>1</v>
      </c>
      <c r="L10" s="3">
        <v>1104</v>
      </c>
      <c r="M10" s="3">
        <v>54</v>
      </c>
      <c r="N10" s="4">
        <v>44268</v>
      </c>
      <c r="O10" s="10">
        <v>367056.68790000002</v>
      </c>
    </row>
    <row r="11" spans="1:15" x14ac:dyDescent="0.3">
      <c r="A11" s="2">
        <v>9</v>
      </c>
      <c r="B11" s="3" t="s">
        <v>33</v>
      </c>
      <c r="C11" s="3" t="s">
        <v>34</v>
      </c>
      <c r="D11" s="3" t="s">
        <v>18</v>
      </c>
      <c r="E11" s="3" t="s">
        <v>23</v>
      </c>
      <c r="F11" s="3">
        <f t="shared" si="0"/>
        <v>1</v>
      </c>
      <c r="G11" s="3">
        <v>24488</v>
      </c>
      <c r="H11" s="3">
        <v>7</v>
      </c>
      <c r="I11" s="3">
        <v>58091</v>
      </c>
      <c r="J11" s="3">
        <f>IF(E11="Cold",1,0)</f>
        <v>0</v>
      </c>
      <c r="K11" s="3">
        <f>IF(E11="Hot",1,0)</f>
        <v>0</v>
      </c>
      <c r="L11" s="3">
        <v>1863</v>
      </c>
      <c r="M11" s="3">
        <v>41</v>
      </c>
      <c r="N11" s="4">
        <v>44218</v>
      </c>
      <c r="O11" s="10">
        <v>360674.67849999998</v>
      </c>
    </row>
    <row r="12" spans="1:15" x14ac:dyDescent="0.3">
      <c r="A12" s="2">
        <v>10</v>
      </c>
      <c r="B12" s="3" t="s">
        <v>35</v>
      </c>
      <c r="C12" s="3" t="s">
        <v>36</v>
      </c>
      <c r="D12" s="3" t="s">
        <v>18</v>
      </c>
      <c r="E12" s="3" t="s">
        <v>21</v>
      </c>
      <c r="F12" s="3">
        <f t="shared" si="0"/>
        <v>1</v>
      </c>
      <c r="G12" s="3">
        <v>12381</v>
      </c>
      <c r="H12" s="3">
        <v>2</v>
      </c>
      <c r="I12" s="3">
        <v>67275</v>
      </c>
      <c r="J12" s="3">
        <f>IF(E12="Cold",1,0)</f>
        <v>0</v>
      </c>
      <c r="K12" s="3">
        <f>IF(E12="Hot",1,0)</f>
        <v>1</v>
      </c>
      <c r="L12" s="3">
        <v>1494</v>
      </c>
      <c r="M12" s="3">
        <v>56</v>
      </c>
      <c r="N12" s="4">
        <v>45178</v>
      </c>
      <c r="O12" s="10">
        <v>361361.4901</v>
      </c>
    </row>
    <row r="13" spans="1:15" x14ac:dyDescent="0.3">
      <c r="A13" s="2">
        <v>11</v>
      </c>
      <c r="B13" s="3" t="s">
        <v>37</v>
      </c>
      <c r="C13" s="3" t="s">
        <v>38</v>
      </c>
      <c r="D13" s="3" t="s">
        <v>18</v>
      </c>
      <c r="E13" s="3" t="s">
        <v>21</v>
      </c>
      <c r="F13" s="3">
        <f t="shared" si="0"/>
        <v>1</v>
      </c>
      <c r="G13" s="3">
        <v>17305</v>
      </c>
      <c r="H13" s="3">
        <v>5</v>
      </c>
      <c r="I13" s="3">
        <v>99501</v>
      </c>
      <c r="J13" s="3">
        <f>IF(E13="Cold",1,0)</f>
        <v>0</v>
      </c>
      <c r="K13" s="3">
        <f>IF(E13="Hot",1,0)</f>
        <v>1</v>
      </c>
      <c r="L13" s="3">
        <v>1901</v>
      </c>
      <c r="M13" s="3">
        <v>58</v>
      </c>
      <c r="N13" s="4">
        <v>44242</v>
      </c>
      <c r="O13" s="10">
        <v>385884.98629999999</v>
      </c>
    </row>
    <row r="14" spans="1:15" x14ac:dyDescent="0.3">
      <c r="A14" s="2">
        <v>12</v>
      </c>
      <c r="B14" s="3" t="s">
        <v>24</v>
      </c>
      <c r="C14" s="3" t="s">
        <v>39</v>
      </c>
      <c r="D14" s="3" t="s">
        <v>14</v>
      </c>
      <c r="E14" s="3" t="s">
        <v>15</v>
      </c>
      <c r="F14" s="3">
        <f t="shared" si="0"/>
        <v>0</v>
      </c>
      <c r="G14" s="3">
        <v>3338</v>
      </c>
      <c r="H14" s="3">
        <v>3</v>
      </c>
      <c r="I14" s="3">
        <v>95768</v>
      </c>
      <c r="J14" s="3">
        <f>IF(E14="Cold",1,0)</f>
        <v>1</v>
      </c>
      <c r="K14" s="3">
        <f>IF(E14="Hot",1,0)</f>
        <v>0</v>
      </c>
      <c r="L14" s="3">
        <v>2580</v>
      </c>
      <c r="M14" s="3">
        <v>70</v>
      </c>
      <c r="N14" s="4">
        <v>44546</v>
      </c>
      <c r="O14" s="10">
        <v>343201.23979999998</v>
      </c>
    </row>
    <row r="15" spans="1:15" x14ac:dyDescent="0.3">
      <c r="A15" s="2">
        <v>13</v>
      </c>
      <c r="B15" s="3" t="s">
        <v>40</v>
      </c>
      <c r="C15" s="3" t="s">
        <v>41</v>
      </c>
      <c r="D15" s="3" t="s">
        <v>18</v>
      </c>
      <c r="E15" s="3" t="s">
        <v>21</v>
      </c>
      <c r="F15" s="3">
        <f t="shared" si="0"/>
        <v>1</v>
      </c>
      <c r="G15" s="3">
        <v>23007</v>
      </c>
      <c r="H15" s="3">
        <v>4</v>
      </c>
      <c r="I15" s="3">
        <v>82092</v>
      </c>
      <c r="J15" s="3">
        <f>IF(E15="Cold",1,0)</f>
        <v>0</v>
      </c>
      <c r="K15" s="3">
        <f>IF(E15="Hot",1,0)</f>
        <v>1</v>
      </c>
      <c r="L15" s="3">
        <v>2864</v>
      </c>
      <c r="M15" s="3">
        <v>77</v>
      </c>
      <c r="N15" s="4">
        <v>44462</v>
      </c>
      <c r="O15" s="10">
        <v>408282.20250000001</v>
      </c>
    </row>
    <row r="16" spans="1:15" x14ac:dyDescent="0.3">
      <c r="A16" s="2">
        <v>14</v>
      </c>
      <c r="B16" s="3" t="s">
        <v>40</v>
      </c>
      <c r="C16" s="3" t="s">
        <v>42</v>
      </c>
      <c r="D16" s="3" t="s">
        <v>18</v>
      </c>
      <c r="E16" s="3" t="s">
        <v>23</v>
      </c>
      <c r="F16" s="3">
        <f t="shared" si="0"/>
        <v>1</v>
      </c>
      <c r="G16" s="3">
        <v>1189</v>
      </c>
      <c r="H16" s="3">
        <v>1</v>
      </c>
      <c r="I16" s="3">
        <v>78860</v>
      </c>
      <c r="J16" s="3">
        <f>IF(E16="Cold",1,0)</f>
        <v>0</v>
      </c>
      <c r="K16" s="3">
        <f>IF(E16="Hot",1,0)</f>
        <v>0</v>
      </c>
      <c r="L16" s="3">
        <v>2298</v>
      </c>
      <c r="M16" s="3">
        <v>66</v>
      </c>
      <c r="N16" s="4">
        <v>44963</v>
      </c>
      <c r="O16" s="10">
        <v>382455.79550000001</v>
      </c>
    </row>
    <row r="17" spans="1:15" x14ac:dyDescent="0.3">
      <c r="A17" s="2">
        <v>15</v>
      </c>
      <c r="B17" s="3" t="s">
        <v>28</v>
      </c>
      <c r="C17" s="3" t="s">
        <v>43</v>
      </c>
      <c r="D17" s="3" t="s">
        <v>14</v>
      </c>
      <c r="E17" s="3" t="s">
        <v>23</v>
      </c>
      <c r="F17" s="3">
        <f t="shared" si="0"/>
        <v>0</v>
      </c>
      <c r="G17" s="3">
        <v>22069</v>
      </c>
      <c r="H17" s="3">
        <v>2</v>
      </c>
      <c r="I17" s="3">
        <v>96888</v>
      </c>
      <c r="J17" s="3">
        <f>IF(E17="Cold",1,0)</f>
        <v>0</v>
      </c>
      <c r="K17" s="3">
        <f>IF(E17="Hot",1,0)</f>
        <v>0</v>
      </c>
      <c r="L17" s="3">
        <v>1991</v>
      </c>
      <c r="M17" s="3">
        <v>36</v>
      </c>
      <c r="N17" s="4">
        <v>43981</v>
      </c>
      <c r="O17" s="10">
        <v>345537.11090000003</v>
      </c>
    </row>
    <row r="18" spans="1:15" x14ac:dyDescent="0.3">
      <c r="A18" s="2">
        <v>16</v>
      </c>
      <c r="B18" s="3" t="s">
        <v>44</v>
      </c>
      <c r="C18" s="3" t="s">
        <v>45</v>
      </c>
      <c r="D18" s="3" t="s">
        <v>18</v>
      </c>
      <c r="E18" s="3" t="s">
        <v>23</v>
      </c>
      <c r="F18" s="3">
        <f t="shared" si="0"/>
        <v>1</v>
      </c>
      <c r="G18" s="3">
        <v>29670</v>
      </c>
      <c r="H18" s="3">
        <v>0</v>
      </c>
      <c r="I18" s="3">
        <v>61965</v>
      </c>
      <c r="J18" s="3">
        <f>IF(E18="Cold",1,0)</f>
        <v>0</v>
      </c>
      <c r="K18" s="3">
        <f>IF(E18="Hot",1,0)</f>
        <v>0</v>
      </c>
      <c r="L18" s="3">
        <v>1279</v>
      </c>
      <c r="M18" s="3">
        <v>66</v>
      </c>
      <c r="N18" s="4">
        <v>45447</v>
      </c>
      <c r="O18" s="10">
        <v>356845.15399999998</v>
      </c>
    </row>
    <row r="19" spans="1:15" x14ac:dyDescent="0.3">
      <c r="A19" s="2">
        <v>17</v>
      </c>
      <c r="B19" s="3" t="s">
        <v>28</v>
      </c>
      <c r="C19" s="3" t="s">
        <v>46</v>
      </c>
      <c r="D19" s="3" t="s">
        <v>14</v>
      </c>
      <c r="E19" s="3" t="s">
        <v>23</v>
      </c>
      <c r="F19" s="3">
        <f t="shared" si="0"/>
        <v>0</v>
      </c>
      <c r="G19" s="3">
        <v>24280</v>
      </c>
      <c r="H19" s="3">
        <v>7</v>
      </c>
      <c r="I19" s="3">
        <v>76986</v>
      </c>
      <c r="J19" s="3">
        <f>IF(E19="Cold",1,0)</f>
        <v>0</v>
      </c>
      <c r="K19" s="3">
        <f>IF(E19="Hot",1,0)</f>
        <v>0</v>
      </c>
      <c r="L19" s="3">
        <v>1397</v>
      </c>
      <c r="M19" s="3">
        <v>91</v>
      </c>
      <c r="N19" s="4">
        <v>45080</v>
      </c>
      <c r="O19" s="10">
        <v>315720.83100000001</v>
      </c>
    </row>
    <row r="20" spans="1:15" x14ac:dyDescent="0.3">
      <c r="A20" s="2">
        <v>18</v>
      </c>
      <c r="B20" s="3" t="s">
        <v>12</v>
      </c>
      <c r="C20" s="3" t="s">
        <v>47</v>
      </c>
      <c r="D20" s="3" t="s">
        <v>14</v>
      </c>
      <c r="E20" s="3" t="s">
        <v>21</v>
      </c>
      <c r="F20" s="3">
        <f t="shared" si="0"/>
        <v>0</v>
      </c>
      <c r="G20" s="3">
        <v>26084</v>
      </c>
      <c r="H20" s="3">
        <v>7</v>
      </c>
      <c r="I20" s="3">
        <v>70353</v>
      </c>
      <c r="J20" s="3">
        <f>IF(E20="Cold",1,0)</f>
        <v>0</v>
      </c>
      <c r="K20" s="3">
        <f>IF(E20="Hot",1,0)</f>
        <v>1</v>
      </c>
      <c r="L20" s="3">
        <v>2433</v>
      </c>
      <c r="M20" s="3">
        <v>28</v>
      </c>
      <c r="N20" s="4">
        <v>44573</v>
      </c>
      <c r="O20" s="10">
        <v>349511.96399999998</v>
      </c>
    </row>
    <row r="21" spans="1:15" x14ac:dyDescent="0.3">
      <c r="A21" s="2">
        <v>19</v>
      </c>
      <c r="B21" s="3" t="s">
        <v>26</v>
      </c>
      <c r="C21" s="3" t="s">
        <v>48</v>
      </c>
      <c r="D21" s="3" t="s">
        <v>14</v>
      </c>
      <c r="E21" s="3" t="s">
        <v>23</v>
      </c>
      <c r="F21" s="3">
        <f t="shared" si="0"/>
        <v>0</v>
      </c>
      <c r="G21" s="3">
        <v>20892</v>
      </c>
      <c r="H21" s="3">
        <v>0</v>
      </c>
      <c r="I21" s="3">
        <v>62579</v>
      </c>
      <c r="J21" s="3">
        <f>IF(E21="Cold",1,0)</f>
        <v>0</v>
      </c>
      <c r="K21" s="3">
        <f>IF(E21="Hot",1,0)</f>
        <v>0</v>
      </c>
      <c r="L21" s="3">
        <v>2392</v>
      </c>
      <c r="M21" s="3">
        <v>53</v>
      </c>
      <c r="N21" s="4">
        <v>45004</v>
      </c>
      <c r="O21" s="10">
        <v>330432.74099999998</v>
      </c>
    </row>
    <row r="22" spans="1:15" x14ac:dyDescent="0.3">
      <c r="A22" s="2">
        <v>20</v>
      </c>
      <c r="B22" s="3" t="s">
        <v>28</v>
      </c>
      <c r="C22" s="3" t="s">
        <v>20</v>
      </c>
      <c r="D22" s="3" t="s">
        <v>14</v>
      </c>
      <c r="E22" s="3" t="s">
        <v>23</v>
      </c>
      <c r="F22" s="3">
        <f t="shared" si="0"/>
        <v>0</v>
      </c>
      <c r="G22" s="3">
        <v>11533</v>
      </c>
      <c r="H22" s="3">
        <v>0</v>
      </c>
      <c r="I22" s="3">
        <v>70354</v>
      </c>
      <c r="J22" s="3">
        <f>IF(E22="Cold",1,0)</f>
        <v>0</v>
      </c>
      <c r="K22" s="3">
        <f>IF(E22="Hot",1,0)</f>
        <v>0</v>
      </c>
      <c r="L22" s="3">
        <v>1879</v>
      </c>
      <c r="M22" s="3">
        <v>52</v>
      </c>
      <c r="N22" s="4">
        <v>45059</v>
      </c>
      <c r="O22" s="10">
        <v>343233.15610000002</v>
      </c>
    </row>
    <row r="23" spans="1:15" x14ac:dyDescent="0.3">
      <c r="A23" s="2">
        <v>21</v>
      </c>
      <c r="B23" s="3" t="s">
        <v>28</v>
      </c>
      <c r="C23" s="3" t="s">
        <v>49</v>
      </c>
      <c r="D23" s="3" t="s">
        <v>18</v>
      </c>
      <c r="E23" s="3" t="s">
        <v>23</v>
      </c>
      <c r="F23" s="3">
        <f t="shared" si="0"/>
        <v>1</v>
      </c>
      <c r="G23" s="3">
        <v>1640</v>
      </c>
      <c r="H23" s="3">
        <v>6</v>
      </c>
      <c r="I23" s="3">
        <v>53267</v>
      </c>
      <c r="J23" s="3">
        <f>IF(E23="Cold",1,0)</f>
        <v>0</v>
      </c>
      <c r="K23" s="3">
        <f>IF(E23="Hot",1,0)</f>
        <v>0</v>
      </c>
      <c r="L23" s="3">
        <v>1439</v>
      </c>
      <c r="M23" s="3">
        <v>26</v>
      </c>
      <c r="N23" s="4">
        <v>44288</v>
      </c>
      <c r="O23" s="10">
        <v>384292.07740000001</v>
      </c>
    </row>
    <row r="24" spans="1:15" x14ac:dyDescent="0.3">
      <c r="A24" s="2">
        <v>22</v>
      </c>
      <c r="B24" s="3" t="s">
        <v>12</v>
      </c>
      <c r="C24" s="3" t="s">
        <v>50</v>
      </c>
      <c r="D24" s="3" t="s">
        <v>18</v>
      </c>
      <c r="E24" s="3" t="s">
        <v>23</v>
      </c>
      <c r="F24" s="3">
        <f t="shared" si="0"/>
        <v>1</v>
      </c>
      <c r="G24" s="3">
        <v>7238</v>
      </c>
      <c r="H24" s="3">
        <v>5</v>
      </c>
      <c r="I24" s="3">
        <v>56962</v>
      </c>
      <c r="J24" s="3">
        <f>IF(E24="Cold",1,0)</f>
        <v>0</v>
      </c>
      <c r="K24" s="3">
        <f>IF(E24="Hot",1,0)</f>
        <v>0</v>
      </c>
      <c r="L24" s="3">
        <v>2669</v>
      </c>
      <c r="M24" s="3">
        <v>85</v>
      </c>
      <c r="N24" s="4">
        <v>44133</v>
      </c>
      <c r="O24" s="10">
        <v>388524.81719999999</v>
      </c>
    </row>
    <row r="25" spans="1:15" x14ac:dyDescent="0.3">
      <c r="A25" s="2">
        <v>23</v>
      </c>
      <c r="B25" s="3" t="s">
        <v>16</v>
      </c>
      <c r="C25" s="3" t="s">
        <v>51</v>
      </c>
      <c r="D25" s="3" t="s">
        <v>18</v>
      </c>
      <c r="E25" s="3" t="s">
        <v>23</v>
      </c>
      <c r="F25" s="3">
        <f t="shared" si="0"/>
        <v>1</v>
      </c>
      <c r="G25" s="3">
        <v>14972</v>
      </c>
      <c r="H25" s="3">
        <v>2</v>
      </c>
      <c r="I25" s="3">
        <v>76754</v>
      </c>
      <c r="J25" s="3">
        <f>IF(E25="Cold",1,0)</f>
        <v>0</v>
      </c>
      <c r="K25" s="3">
        <f>IF(E25="Hot",1,0)</f>
        <v>0</v>
      </c>
      <c r="L25" s="3">
        <v>2212</v>
      </c>
      <c r="M25" s="3">
        <v>36</v>
      </c>
      <c r="N25" s="4">
        <v>45051</v>
      </c>
      <c r="O25" s="10">
        <v>396775.43040000001</v>
      </c>
    </row>
    <row r="26" spans="1:15" x14ac:dyDescent="0.3">
      <c r="A26" s="2">
        <v>24</v>
      </c>
      <c r="B26" s="3" t="s">
        <v>19</v>
      </c>
      <c r="C26" s="3" t="s">
        <v>52</v>
      </c>
      <c r="D26" s="3" t="s">
        <v>14</v>
      </c>
      <c r="E26" s="3" t="s">
        <v>15</v>
      </c>
      <c r="F26" s="3">
        <f t="shared" si="0"/>
        <v>0</v>
      </c>
      <c r="G26" s="3">
        <v>14678</v>
      </c>
      <c r="H26" s="3">
        <v>2</v>
      </c>
      <c r="I26" s="3">
        <v>64296</v>
      </c>
      <c r="J26" s="3">
        <f>IF(E26="Cold",1,0)</f>
        <v>1</v>
      </c>
      <c r="K26" s="3">
        <f>IF(E26="Hot",1,0)</f>
        <v>0</v>
      </c>
      <c r="L26" s="3">
        <v>2294</v>
      </c>
      <c r="M26" s="3">
        <v>59</v>
      </c>
      <c r="N26" s="4">
        <v>44957</v>
      </c>
      <c r="O26" s="10">
        <v>326834.71629999997</v>
      </c>
    </row>
    <row r="27" spans="1:15" x14ac:dyDescent="0.3">
      <c r="A27" s="2">
        <v>25</v>
      </c>
      <c r="B27" s="3" t="s">
        <v>53</v>
      </c>
      <c r="C27" s="3" t="s">
        <v>54</v>
      </c>
      <c r="D27" s="3" t="s">
        <v>18</v>
      </c>
      <c r="E27" s="3" t="s">
        <v>21</v>
      </c>
      <c r="F27" s="3">
        <f t="shared" si="0"/>
        <v>1</v>
      </c>
      <c r="G27" s="3">
        <v>25298</v>
      </c>
      <c r="H27" s="3">
        <v>7</v>
      </c>
      <c r="I27" s="3">
        <v>90751</v>
      </c>
      <c r="J27" s="3">
        <f>IF(E27="Cold",1,0)</f>
        <v>0</v>
      </c>
      <c r="K27" s="3">
        <f>IF(E27="Hot",1,0)</f>
        <v>1</v>
      </c>
      <c r="L27" s="3">
        <v>2525</v>
      </c>
      <c r="M27" s="3">
        <v>45</v>
      </c>
      <c r="N27" s="4">
        <v>44398</v>
      </c>
      <c r="O27" s="10">
        <v>382896.10830000002</v>
      </c>
    </row>
    <row r="28" spans="1:15" x14ac:dyDescent="0.3">
      <c r="A28" s="2">
        <v>26</v>
      </c>
      <c r="B28" s="3" t="s">
        <v>55</v>
      </c>
      <c r="C28" s="3" t="s">
        <v>56</v>
      </c>
      <c r="D28" s="3" t="s">
        <v>18</v>
      </c>
      <c r="E28" s="3" t="s">
        <v>23</v>
      </c>
      <c r="F28" s="3">
        <f t="shared" si="0"/>
        <v>1</v>
      </c>
      <c r="G28" s="3">
        <v>15393</v>
      </c>
      <c r="H28" s="3">
        <v>0</v>
      </c>
      <c r="I28" s="3">
        <v>58510</v>
      </c>
      <c r="J28" s="3">
        <f>IF(E28="Cold",1,0)</f>
        <v>0</v>
      </c>
      <c r="K28" s="3">
        <f>IF(E28="Hot",1,0)</f>
        <v>0</v>
      </c>
      <c r="L28" s="3">
        <v>2412</v>
      </c>
      <c r="M28" s="3">
        <v>77</v>
      </c>
      <c r="N28" s="4">
        <v>44993</v>
      </c>
      <c r="O28" s="10">
        <v>391103.51140000002</v>
      </c>
    </row>
    <row r="29" spans="1:15" x14ac:dyDescent="0.3">
      <c r="A29" s="2">
        <v>27</v>
      </c>
      <c r="B29" s="3" t="s">
        <v>57</v>
      </c>
      <c r="C29" s="3" t="s">
        <v>58</v>
      </c>
      <c r="D29" s="3" t="s">
        <v>14</v>
      </c>
      <c r="E29" s="3" t="s">
        <v>21</v>
      </c>
      <c r="F29" s="3">
        <f t="shared" si="0"/>
        <v>0</v>
      </c>
      <c r="G29" s="3">
        <v>21684</v>
      </c>
      <c r="H29" s="3">
        <v>9</v>
      </c>
      <c r="I29" s="3">
        <v>57398</v>
      </c>
      <c r="J29" s="3">
        <f>IF(E29="Cold",1,0)</f>
        <v>0</v>
      </c>
      <c r="K29" s="3">
        <f>IF(E29="Hot",1,0)</f>
        <v>1</v>
      </c>
      <c r="L29" s="3">
        <v>1251</v>
      </c>
      <c r="M29" s="3">
        <v>72</v>
      </c>
      <c r="N29" s="4">
        <v>45096</v>
      </c>
      <c r="O29" s="10">
        <v>335791.50799999997</v>
      </c>
    </row>
    <row r="30" spans="1:15" x14ac:dyDescent="0.3">
      <c r="A30" s="2">
        <v>28</v>
      </c>
      <c r="B30" s="3" t="s">
        <v>29</v>
      </c>
      <c r="C30" s="3" t="s">
        <v>59</v>
      </c>
      <c r="D30" s="3" t="s">
        <v>14</v>
      </c>
      <c r="E30" s="3" t="s">
        <v>15</v>
      </c>
      <c r="F30" s="3">
        <f t="shared" si="0"/>
        <v>0</v>
      </c>
      <c r="G30" s="3">
        <v>20677</v>
      </c>
      <c r="H30" s="3">
        <v>7</v>
      </c>
      <c r="I30" s="3">
        <v>72853</v>
      </c>
      <c r="J30" s="3">
        <f>IF(E30="Cold",1,0)</f>
        <v>1</v>
      </c>
      <c r="K30" s="3">
        <f>IF(E30="Hot",1,0)</f>
        <v>0</v>
      </c>
      <c r="L30" s="3">
        <v>2350</v>
      </c>
      <c r="M30" s="3">
        <v>68</v>
      </c>
      <c r="N30" s="4">
        <v>44766</v>
      </c>
      <c r="O30" s="10">
        <v>329192.9866</v>
      </c>
    </row>
    <row r="31" spans="1:15" x14ac:dyDescent="0.3">
      <c r="A31" s="2">
        <v>29</v>
      </c>
      <c r="B31" s="3" t="s">
        <v>19</v>
      </c>
      <c r="C31" s="3" t="s">
        <v>60</v>
      </c>
      <c r="D31" s="3" t="s">
        <v>14</v>
      </c>
      <c r="E31" s="3" t="s">
        <v>21</v>
      </c>
      <c r="F31" s="3">
        <f t="shared" si="0"/>
        <v>0</v>
      </c>
      <c r="G31" s="3">
        <v>14389</v>
      </c>
      <c r="H31" s="3">
        <v>4</v>
      </c>
      <c r="I31" s="3">
        <v>58940</v>
      </c>
      <c r="J31" s="3">
        <f>IF(E31="Cold",1,0)</f>
        <v>0</v>
      </c>
      <c r="K31" s="3">
        <f>IF(E31="Hot",1,0)</f>
        <v>1</v>
      </c>
      <c r="L31" s="3">
        <v>1467</v>
      </c>
      <c r="M31" s="3">
        <v>89</v>
      </c>
      <c r="N31" s="4">
        <v>44495</v>
      </c>
      <c r="O31" s="10">
        <v>325892.32439999998</v>
      </c>
    </row>
    <row r="32" spans="1:15" x14ac:dyDescent="0.3">
      <c r="A32" s="2">
        <v>30</v>
      </c>
      <c r="B32" s="3" t="s">
        <v>28</v>
      </c>
      <c r="C32" s="3" t="s">
        <v>43</v>
      </c>
      <c r="D32" s="3" t="s">
        <v>14</v>
      </c>
      <c r="E32" s="3" t="s">
        <v>23</v>
      </c>
      <c r="F32" s="3">
        <f t="shared" si="0"/>
        <v>0</v>
      </c>
      <c r="G32" s="3">
        <v>9579</v>
      </c>
      <c r="H32" s="3">
        <v>3</v>
      </c>
      <c r="I32" s="3">
        <v>74908</v>
      </c>
      <c r="J32" s="3">
        <f>IF(E32="Cold",1,0)</f>
        <v>0</v>
      </c>
      <c r="K32" s="3">
        <f>IF(E32="Hot",1,0)</f>
        <v>0</v>
      </c>
      <c r="L32" s="3">
        <v>2678</v>
      </c>
      <c r="M32" s="3">
        <v>24</v>
      </c>
      <c r="N32" s="4">
        <v>45437</v>
      </c>
      <c r="O32" s="10">
        <v>328033.96159999998</v>
      </c>
    </row>
    <row r="33" spans="1:15" x14ac:dyDescent="0.3">
      <c r="A33" s="2">
        <v>31</v>
      </c>
      <c r="B33" s="3" t="s">
        <v>37</v>
      </c>
      <c r="C33" s="3" t="s">
        <v>61</v>
      </c>
      <c r="D33" s="3" t="s">
        <v>14</v>
      </c>
      <c r="E33" s="3" t="s">
        <v>15</v>
      </c>
      <c r="F33" s="3">
        <f t="shared" si="0"/>
        <v>0</v>
      </c>
      <c r="G33" s="3">
        <v>2558</v>
      </c>
      <c r="H33" s="3">
        <v>6</v>
      </c>
      <c r="I33" s="3">
        <v>77245</v>
      </c>
      <c r="J33" s="3">
        <f>IF(E33="Cold",1,0)</f>
        <v>1</v>
      </c>
      <c r="K33" s="3">
        <f>IF(E33="Hot",1,0)</f>
        <v>0</v>
      </c>
      <c r="L33" s="3">
        <v>1496</v>
      </c>
      <c r="M33" s="3">
        <v>44</v>
      </c>
      <c r="N33" s="4">
        <v>43953</v>
      </c>
      <c r="O33" s="10">
        <v>281594.78279999999</v>
      </c>
    </row>
    <row r="34" spans="1:15" x14ac:dyDescent="0.3">
      <c r="A34" s="2">
        <v>32</v>
      </c>
      <c r="B34" s="3" t="s">
        <v>26</v>
      </c>
      <c r="C34" s="3" t="s">
        <v>47</v>
      </c>
      <c r="D34" s="3" t="s">
        <v>14</v>
      </c>
      <c r="E34" s="3" t="s">
        <v>15</v>
      </c>
      <c r="F34" s="3">
        <f t="shared" si="0"/>
        <v>0</v>
      </c>
      <c r="G34" s="3">
        <v>19602</v>
      </c>
      <c r="H34" s="3">
        <v>4</v>
      </c>
      <c r="I34" s="3">
        <v>97049</v>
      </c>
      <c r="J34" s="3">
        <f>IF(E34="Cold",1,0)</f>
        <v>1</v>
      </c>
      <c r="K34" s="3">
        <f>IF(E34="Hot",1,0)</f>
        <v>0</v>
      </c>
      <c r="L34" s="3">
        <v>1577</v>
      </c>
      <c r="M34" s="3">
        <v>74</v>
      </c>
      <c r="N34" s="4">
        <v>43838</v>
      </c>
      <c r="O34" s="10">
        <v>301248.18959999998</v>
      </c>
    </row>
    <row r="35" spans="1:15" x14ac:dyDescent="0.3">
      <c r="A35" s="2">
        <v>33</v>
      </c>
      <c r="B35" s="3" t="s">
        <v>35</v>
      </c>
      <c r="C35" s="3" t="s">
        <v>62</v>
      </c>
      <c r="D35" s="3" t="s">
        <v>14</v>
      </c>
      <c r="E35" s="3" t="s">
        <v>21</v>
      </c>
      <c r="F35" s="3">
        <f t="shared" si="0"/>
        <v>0</v>
      </c>
      <c r="G35" s="3">
        <v>25097</v>
      </c>
      <c r="H35" s="3">
        <v>3</v>
      </c>
      <c r="I35" s="3">
        <v>93528</v>
      </c>
      <c r="J35" s="3">
        <f>IF(E35="Cold",1,0)</f>
        <v>0</v>
      </c>
      <c r="K35" s="3">
        <f>IF(E35="Hot",1,0)</f>
        <v>1</v>
      </c>
      <c r="L35" s="3">
        <v>1731</v>
      </c>
      <c r="M35" s="3">
        <v>24</v>
      </c>
      <c r="N35" s="4">
        <v>44052</v>
      </c>
      <c r="O35" s="10">
        <v>336629.54810000001</v>
      </c>
    </row>
    <row r="36" spans="1:15" x14ac:dyDescent="0.3">
      <c r="A36" s="2">
        <v>34</v>
      </c>
      <c r="B36" s="3" t="s">
        <v>31</v>
      </c>
      <c r="C36" s="3" t="s">
        <v>63</v>
      </c>
      <c r="D36" s="3" t="s">
        <v>18</v>
      </c>
      <c r="E36" s="3" t="s">
        <v>21</v>
      </c>
      <c r="F36" s="3">
        <f t="shared" si="0"/>
        <v>1</v>
      </c>
      <c r="G36" s="3">
        <v>25433</v>
      </c>
      <c r="H36" s="3">
        <v>4</v>
      </c>
      <c r="I36" s="3">
        <v>66553</v>
      </c>
      <c r="J36" s="3">
        <f>IF(E36="Cold",1,0)</f>
        <v>0</v>
      </c>
      <c r="K36" s="3">
        <f>IF(E36="Hot",1,0)</f>
        <v>1</v>
      </c>
      <c r="L36" s="3">
        <v>2154</v>
      </c>
      <c r="M36" s="3">
        <v>26</v>
      </c>
      <c r="N36" s="4">
        <v>44122</v>
      </c>
      <c r="O36" s="10">
        <v>385352.4583</v>
      </c>
    </row>
    <row r="37" spans="1:15" x14ac:dyDescent="0.3">
      <c r="A37" s="2">
        <v>35</v>
      </c>
      <c r="B37" s="3" t="s">
        <v>28</v>
      </c>
      <c r="C37" s="3" t="s">
        <v>49</v>
      </c>
      <c r="D37" s="3" t="s">
        <v>18</v>
      </c>
      <c r="E37" s="3" t="s">
        <v>23</v>
      </c>
      <c r="F37" s="3">
        <f t="shared" si="0"/>
        <v>1</v>
      </c>
      <c r="G37" s="3">
        <v>17681</v>
      </c>
      <c r="H37" s="3">
        <v>9</v>
      </c>
      <c r="I37" s="3">
        <v>72726</v>
      </c>
      <c r="J37" s="3">
        <f>IF(E37="Cold",1,0)</f>
        <v>0</v>
      </c>
      <c r="K37" s="3">
        <f>IF(E37="Hot",1,0)</f>
        <v>0</v>
      </c>
      <c r="L37" s="3">
        <v>2730</v>
      </c>
      <c r="M37" s="3">
        <v>77</v>
      </c>
      <c r="N37" s="4">
        <v>44558</v>
      </c>
      <c r="O37" s="10">
        <v>391061.07319999998</v>
      </c>
    </row>
    <row r="38" spans="1:15" x14ac:dyDescent="0.3">
      <c r="A38" s="2">
        <v>36</v>
      </c>
      <c r="B38" s="3" t="s">
        <v>26</v>
      </c>
      <c r="C38" s="3" t="s">
        <v>64</v>
      </c>
      <c r="D38" s="3" t="s">
        <v>18</v>
      </c>
      <c r="E38" s="3" t="s">
        <v>15</v>
      </c>
      <c r="F38" s="3">
        <f t="shared" si="0"/>
        <v>1</v>
      </c>
      <c r="G38" s="3">
        <v>24947</v>
      </c>
      <c r="H38" s="3">
        <v>7</v>
      </c>
      <c r="I38" s="3">
        <v>71588</v>
      </c>
      <c r="J38" s="3">
        <f>IF(E38="Cold",1,0)</f>
        <v>1</v>
      </c>
      <c r="K38" s="3">
        <f>IF(E38="Hot",1,0)</f>
        <v>0</v>
      </c>
      <c r="L38" s="3">
        <v>2056</v>
      </c>
      <c r="M38" s="3">
        <v>84</v>
      </c>
      <c r="N38" s="4">
        <v>45442</v>
      </c>
      <c r="O38" s="10">
        <v>371971.348</v>
      </c>
    </row>
    <row r="39" spans="1:15" x14ac:dyDescent="0.3">
      <c r="A39" s="2">
        <v>37</v>
      </c>
      <c r="B39" s="3" t="s">
        <v>29</v>
      </c>
      <c r="C39" s="3" t="s">
        <v>59</v>
      </c>
      <c r="D39" s="3" t="s">
        <v>18</v>
      </c>
      <c r="E39" s="3" t="s">
        <v>21</v>
      </c>
      <c r="F39" s="3">
        <f t="shared" si="0"/>
        <v>1</v>
      </c>
      <c r="G39" s="3">
        <v>17415</v>
      </c>
      <c r="H39" s="3">
        <v>4</v>
      </c>
      <c r="I39" s="3">
        <v>54743</v>
      </c>
      <c r="J39" s="3">
        <f>IF(E39="Cold",1,0)</f>
        <v>0</v>
      </c>
      <c r="K39" s="3">
        <f>IF(E39="Hot",1,0)</f>
        <v>1</v>
      </c>
      <c r="L39" s="3">
        <v>1721</v>
      </c>
      <c r="M39" s="3">
        <v>93</v>
      </c>
      <c r="N39" s="4">
        <v>45483</v>
      </c>
      <c r="O39" s="10">
        <v>351576.92109999998</v>
      </c>
    </row>
    <row r="40" spans="1:15" x14ac:dyDescent="0.3">
      <c r="A40" s="2">
        <v>38</v>
      </c>
      <c r="B40" s="3" t="s">
        <v>44</v>
      </c>
      <c r="C40" s="3" t="s">
        <v>65</v>
      </c>
      <c r="D40" s="3" t="s">
        <v>14</v>
      </c>
      <c r="E40" s="3" t="s">
        <v>15</v>
      </c>
      <c r="F40" s="3">
        <f t="shared" si="0"/>
        <v>0</v>
      </c>
      <c r="G40" s="3">
        <v>12808</v>
      </c>
      <c r="H40" s="3">
        <v>3</v>
      </c>
      <c r="I40" s="3">
        <v>69099</v>
      </c>
      <c r="J40" s="3">
        <f>IF(E40="Cold",1,0)</f>
        <v>1</v>
      </c>
      <c r="K40" s="3">
        <f>IF(E40="Hot",1,0)</f>
        <v>0</v>
      </c>
      <c r="L40" s="3">
        <v>2913</v>
      </c>
      <c r="M40" s="3">
        <v>71</v>
      </c>
      <c r="N40" s="4">
        <v>44940</v>
      </c>
      <c r="O40" s="10">
        <v>345219.97859999997</v>
      </c>
    </row>
    <row r="41" spans="1:15" x14ac:dyDescent="0.3">
      <c r="A41" s="2">
        <v>39</v>
      </c>
      <c r="B41" s="3" t="s">
        <v>55</v>
      </c>
      <c r="C41" s="3" t="s">
        <v>66</v>
      </c>
      <c r="D41" s="3" t="s">
        <v>18</v>
      </c>
      <c r="E41" s="3" t="s">
        <v>21</v>
      </c>
      <c r="F41" s="3">
        <f t="shared" si="0"/>
        <v>1</v>
      </c>
      <c r="G41" s="3">
        <v>4098</v>
      </c>
      <c r="H41" s="3">
        <v>9</v>
      </c>
      <c r="I41" s="3">
        <v>80670</v>
      </c>
      <c r="J41" s="3">
        <f>IF(E41="Cold",1,0)</f>
        <v>0</v>
      </c>
      <c r="K41" s="3">
        <f>IF(E41="Hot",1,0)</f>
        <v>1</v>
      </c>
      <c r="L41" s="3">
        <v>2428</v>
      </c>
      <c r="M41" s="3">
        <v>27</v>
      </c>
      <c r="N41" s="4">
        <v>44544</v>
      </c>
      <c r="O41" s="10">
        <v>393400.1434</v>
      </c>
    </row>
    <row r="42" spans="1:15" x14ac:dyDescent="0.3">
      <c r="A42" s="2">
        <v>40</v>
      </c>
      <c r="B42" s="3" t="s">
        <v>26</v>
      </c>
      <c r="C42" s="3" t="s">
        <v>67</v>
      </c>
      <c r="D42" s="3" t="s">
        <v>18</v>
      </c>
      <c r="E42" s="3" t="s">
        <v>15</v>
      </c>
      <c r="F42" s="3">
        <f t="shared" si="0"/>
        <v>1</v>
      </c>
      <c r="G42" s="3">
        <v>11598</v>
      </c>
      <c r="H42" s="3">
        <v>0</v>
      </c>
      <c r="I42" s="3">
        <v>82818</v>
      </c>
      <c r="J42" s="3">
        <f>IF(E42="Cold",1,0)</f>
        <v>1</v>
      </c>
      <c r="K42" s="3">
        <f>IF(E42="Hot",1,0)</f>
        <v>0</v>
      </c>
      <c r="L42" s="3">
        <v>1027</v>
      </c>
      <c r="M42" s="3">
        <v>97</v>
      </c>
      <c r="N42" s="4">
        <v>44375</v>
      </c>
      <c r="O42" s="10">
        <v>377695.2941</v>
      </c>
    </row>
    <row r="43" spans="1:15" x14ac:dyDescent="0.3">
      <c r="A43" s="2">
        <v>41</v>
      </c>
      <c r="B43" s="3" t="s">
        <v>33</v>
      </c>
      <c r="C43" s="3" t="s">
        <v>68</v>
      </c>
      <c r="D43" s="3" t="s">
        <v>18</v>
      </c>
      <c r="E43" s="3" t="s">
        <v>23</v>
      </c>
      <c r="F43" s="3">
        <f t="shared" si="0"/>
        <v>1</v>
      </c>
      <c r="G43" s="3">
        <v>2289</v>
      </c>
      <c r="H43" s="3">
        <v>3</v>
      </c>
      <c r="I43" s="3">
        <v>94659</v>
      </c>
      <c r="J43" s="3">
        <f>IF(E43="Cold",1,0)</f>
        <v>0</v>
      </c>
      <c r="K43" s="3">
        <f>IF(E43="Hot",1,0)</f>
        <v>0</v>
      </c>
      <c r="L43" s="3">
        <v>2297</v>
      </c>
      <c r="M43" s="3">
        <v>26</v>
      </c>
      <c r="N43" s="4">
        <v>44704</v>
      </c>
      <c r="O43" s="10">
        <v>379892.03350000002</v>
      </c>
    </row>
    <row r="44" spans="1:15" x14ac:dyDescent="0.3">
      <c r="A44" s="2">
        <v>42</v>
      </c>
      <c r="B44" s="3" t="s">
        <v>26</v>
      </c>
      <c r="C44" s="3" t="s">
        <v>69</v>
      </c>
      <c r="D44" s="3" t="s">
        <v>18</v>
      </c>
      <c r="E44" s="3" t="s">
        <v>15</v>
      </c>
      <c r="F44" s="3">
        <f t="shared" si="0"/>
        <v>1</v>
      </c>
      <c r="G44" s="3">
        <v>20878</v>
      </c>
      <c r="H44" s="3">
        <v>1</v>
      </c>
      <c r="I44" s="3">
        <v>76030</v>
      </c>
      <c r="J44" s="3">
        <f>IF(E44="Cold",1,0)</f>
        <v>1</v>
      </c>
      <c r="K44" s="3">
        <f>IF(E44="Hot",1,0)</f>
        <v>0</v>
      </c>
      <c r="L44" s="3">
        <v>1238</v>
      </c>
      <c r="M44" s="3">
        <v>78</v>
      </c>
      <c r="N44" s="4">
        <v>45226</v>
      </c>
      <c r="O44" s="10">
        <v>372575.88089999999</v>
      </c>
    </row>
    <row r="45" spans="1:15" x14ac:dyDescent="0.3">
      <c r="A45" s="2">
        <v>43</v>
      </c>
      <c r="B45" s="3" t="s">
        <v>12</v>
      </c>
      <c r="C45" s="3" t="s">
        <v>50</v>
      </c>
      <c r="D45" s="3" t="s">
        <v>18</v>
      </c>
      <c r="E45" s="3" t="s">
        <v>23</v>
      </c>
      <c r="F45" s="3">
        <f t="shared" si="0"/>
        <v>1</v>
      </c>
      <c r="G45" s="3">
        <v>18984</v>
      </c>
      <c r="H45" s="3">
        <v>5</v>
      </c>
      <c r="I45" s="3">
        <v>98955</v>
      </c>
      <c r="J45" s="3">
        <f>IF(E45="Cold",1,0)</f>
        <v>0</v>
      </c>
      <c r="K45" s="3">
        <f>IF(E45="Hot",1,0)</f>
        <v>0</v>
      </c>
      <c r="L45" s="3">
        <v>2288</v>
      </c>
      <c r="M45" s="3">
        <v>89</v>
      </c>
      <c r="N45" s="4">
        <v>45503</v>
      </c>
      <c r="O45" s="10">
        <v>420642.141</v>
      </c>
    </row>
    <row r="46" spans="1:15" x14ac:dyDescent="0.3">
      <c r="A46" s="2">
        <v>44</v>
      </c>
      <c r="B46" s="3" t="s">
        <v>40</v>
      </c>
      <c r="C46" s="3" t="s">
        <v>70</v>
      </c>
      <c r="D46" s="3" t="s">
        <v>18</v>
      </c>
      <c r="E46" s="3" t="s">
        <v>15</v>
      </c>
      <c r="F46" s="3">
        <f t="shared" si="0"/>
        <v>1</v>
      </c>
      <c r="G46" s="3">
        <v>15792</v>
      </c>
      <c r="H46" s="3">
        <v>1</v>
      </c>
      <c r="I46" s="3">
        <v>95726</v>
      </c>
      <c r="J46" s="3">
        <f>IF(E46="Cold",1,0)</f>
        <v>1</v>
      </c>
      <c r="K46" s="3">
        <f>IF(E46="Hot",1,0)</f>
        <v>0</v>
      </c>
      <c r="L46" s="3">
        <v>2939</v>
      </c>
      <c r="M46" s="3">
        <v>24</v>
      </c>
      <c r="N46" s="4">
        <v>45455</v>
      </c>
      <c r="O46" s="10">
        <v>382561.77110000001</v>
      </c>
    </row>
    <row r="47" spans="1:15" x14ac:dyDescent="0.3">
      <c r="A47" s="2">
        <v>45</v>
      </c>
      <c r="B47" s="3" t="s">
        <v>40</v>
      </c>
      <c r="C47" s="3" t="s">
        <v>71</v>
      </c>
      <c r="D47" s="3" t="s">
        <v>18</v>
      </c>
      <c r="E47" s="3" t="s">
        <v>21</v>
      </c>
      <c r="F47" s="3">
        <f t="shared" si="0"/>
        <v>1</v>
      </c>
      <c r="G47" s="3">
        <v>25943</v>
      </c>
      <c r="H47" s="3">
        <v>9</v>
      </c>
      <c r="I47" s="3">
        <v>70833</v>
      </c>
      <c r="J47" s="3">
        <f>IF(E47="Cold",1,0)</f>
        <v>0</v>
      </c>
      <c r="K47" s="3">
        <f>IF(E47="Hot",1,0)</f>
        <v>1</v>
      </c>
      <c r="L47" s="3">
        <v>1557</v>
      </c>
      <c r="M47" s="3">
        <v>46</v>
      </c>
      <c r="N47" s="4">
        <v>43843</v>
      </c>
      <c r="O47" s="10">
        <v>387915.83049999998</v>
      </c>
    </row>
    <row r="48" spans="1:15" x14ac:dyDescent="0.3">
      <c r="A48" s="2">
        <v>46</v>
      </c>
      <c r="B48" s="3" t="s">
        <v>31</v>
      </c>
      <c r="C48" s="3" t="s">
        <v>32</v>
      </c>
      <c r="D48" s="3" t="s">
        <v>18</v>
      </c>
      <c r="E48" s="3" t="s">
        <v>15</v>
      </c>
      <c r="F48" s="3">
        <f t="shared" si="0"/>
        <v>1</v>
      </c>
      <c r="G48" s="3">
        <v>21447</v>
      </c>
      <c r="H48" s="3">
        <v>4</v>
      </c>
      <c r="I48" s="3">
        <v>65767</v>
      </c>
      <c r="J48" s="3">
        <f>IF(E48="Cold",1,0)</f>
        <v>1</v>
      </c>
      <c r="K48" s="3">
        <f>IF(E48="Hot",1,0)</f>
        <v>0</v>
      </c>
      <c r="L48" s="3">
        <v>1852</v>
      </c>
      <c r="M48" s="3">
        <v>68</v>
      </c>
      <c r="N48" s="4">
        <v>44961</v>
      </c>
      <c r="O48" s="10">
        <v>376131.39189999999</v>
      </c>
    </row>
    <row r="49" spans="1:15" x14ac:dyDescent="0.3">
      <c r="A49" s="2">
        <v>47</v>
      </c>
      <c r="B49" s="3" t="s">
        <v>72</v>
      </c>
      <c r="C49" s="3" t="s">
        <v>73</v>
      </c>
      <c r="D49" s="3" t="s">
        <v>18</v>
      </c>
      <c r="E49" s="3" t="s">
        <v>15</v>
      </c>
      <c r="F49" s="3">
        <f t="shared" si="0"/>
        <v>1</v>
      </c>
      <c r="G49" s="3">
        <v>14882</v>
      </c>
      <c r="H49" s="3">
        <v>1</v>
      </c>
      <c r="I49" s="3">
        <v>74649</v>
      </c>
      <c r="J49" s="3">
        <f>IF(E49="Cold",1,0)</f>
        <v>1</v>
      </c>
      <c r="K49" s="3">
        <f>IF(E49="Hot",1,0)</f>
        <v>0</v>
      </c>
      <c r="L49" s="3">
        <v>1448</v>
      </c>
      <c r="M49" s="3">
        <v>99</v>
      </c>
      <c r="N49" s="4">
        <v>43916</v>
      </c>
      <c r="O49" s="10">
        <v>340234.50809999998</v>
      </c>
    </row>
    <row r="50" spans="1:15" x14ac:dyDescent="0.3">
      <c r="A50" s="2">
        <v>48</v>
      </c>
      <c r="B50" s="3" t="s">
        <v>19</v>
      </c>
      <c r="C50" s="3" t="s">
        <v>20</v>
      </c>
      <c r="D50" s="3" t="s">
        <v>18</v>
      </c>
      <c r="E50" s="3" t="s">
        <v>21</v>
      </c>
      <c r="F50" s="3">
        <f t="shared" si="0"/>
        <v>1</v>
      </c>
      <c r="G50" s="3">
        <v>13707</v>
      </c>
      <c r="H50" s="3">
        <v>0</v>
      </c>
      <c r="I50" s="3">
        <v>56955</v>
      </c>
      <c r="J50" s="3">
        <f>IF(E50="Cold",1,0)</f>
        <v>0</v>
      </c>
      <c r="K50" s="3">
        <f>IF(E50="Hot",1,0)</f>
        <v>1</v>
      </c>
      <c r="L50" s="3">
        <v>1151</v>
      </c>
      <c r="M50" s="3">
        <v>58</v>
      </c>
      <c r="N50" s="4">
        <v>43897</v>
      </c>
      <c r="O50" s="10">
        <v>364932.21360000002</v>
      </c>
    </row>
    <row r="51" spans="1:15" x14ac:dyDescent="0.3">
      <c r="A51" s="2">
        <v>49</v>
      </c>
      <c r="B51" s="3" t="s">
        <v>74</v>
      </c>
      <c r="C51" s="3" t="s">
        <v>75</v>
      </c>
      <c r="D51" s="3" t="s">
        <v>18</v>
      </c>
      <c r="E51" s="3" t="s">
        <v>15</v>
      </c>
      <c r="F51" s="3">
        <f t="shared" si="0"/>
        <v>1</v>
      </c>
      <c r="G51" s="3">
        <v>26927</v>
      </c>
      <c r="H51" s="3">
        <v>8</v>
      </c>
      <c r="I51" s="3">
        <v>53407</v>
      </c>
      <c r="J51" s="3">
        <f>IF(E51="Cold",1,0)</f>
        <v>1</v>
      </c>
      <c r="K51" s="3">
        <f>IF(E51="Hot",1,0)</f>
        <v>0</v>
      </c>
      <c r="L51" s="3">
        <v>2442</v>
      </c>
      <c r="M51" s="3">
        <v>66</v>
      </c>
      <c r="N51" s="4">
        <v>45033</v>
      </c>
      <c r="O51" s="10">
        <v>398332.00630000001</v>
      </c>
    </row>
    <row r="52" spans="1:15" x14ac:dyDescent="0.3">
      <c r="A52" s="2">
        <v>50</v>
      </c>
      <c r="B52" s="3" t="s">
        <v>57</v>
      </c>
      <c r="C52" s="3" t="s">
        <v>58</v>
      </c>
      <c r="D52" s="3" t="s">
        <v>18</v>
      </c>
      <c r="E52" s="3" t="s">
        <v>21</v>
      </c>
      <c r="F52" s="3">
        <f t="shared" si="0"/>
        <v>1</v>
      </c>
      <c r="G52" s="3">
        <v>6869</v>
      </c>
      <c r="H52" s="3">
        <v>5</v>
      </c>
      <c r="I52" s="3">
        <v>73584</v>
      </c>
      <c r="J52" s="3">
        <f>IF(E52="Cold",1,0)</f>
        <v>0</v>
      </c>
      <c r="K52" s="3">
        <f>IF(E52="Hot",1,0)</f>
        <v>1</v>
      </c>
      <c r="L52" s="3">
        <v>1440</v>
      </c>
      <c r="M52" s="3">
        <v>81</v>
      </c>
      <c r="N52" s="4">
        <v>44213</v>
      </c>
      <c r="O52" s="10">
        <v>364226.88429999998</v>
      </c>
    </row>
    <row r="53" spans="1:15" x14ac:dyDescent="0.3">
      <c r="A53" s="2">
        <v>51</v>
      </c>
      <c r="B53" s="3" t="s">
        <v>12</v>
      </c>
      <c r="C53" s="3" t="s">
        <v>76</v>
      </c>
      <c r="D53" s="3" t="s">
        <v>14</v>
      </c>
      <c r="E53" s="3" t="s">
        <v>15</v>
      </c>
      <c r="F53" s="3">
        <f t="shared" si="0"/>
        <v>0</v>
      </c>
      <c r="G53" s="3">
        <v>24589</v>
      </c>
      <c r="H53" s="3">
        <v>0</v>
      </c>
      <c r="I53" s="3">
        <v>67027</v>
      </c>
      <c r="J53" s="3">
        <f>IF(E53="Cold",1,0)</f>
        <v>1</v>
      </c>
      <c r="K53" s="3">
        <f>IF(E53="Hot",1,0)</f>
        <v>0</v>
      </c>
      <c r="L53" s="3">
        <v>1640</v>
      </c>
      <c r="M53" s="3">
        <v>67</v>
      </c>
      <c r="N53" s="4">
        <v>45454</v>
      </c>
      <c r="O53" s="10">
        <v>309096.08860000002</v>
      </c>
    </row>
    <row r="54" spans="1:15" x14ac:dyDescent="0.3">
      <c r="A54" s="2">
        <v>52</v>
      </c>
      <c r="B54" s="3" t="s">
        <v>24</v>
      </c>
      <c r="C54" s="3" t="s">
        <v>77</v>
      </c>
      <c r="D54" s="3" t="s">
        <v>14</v>
      </c>
      <c r="E54" s="3" t="s">
        <v>23</v>
      </c>
      <c r="F54" s="3">
        <f t="shared" si="0"/>
        <v>0</v>
      </c>
      <c r="G54" s="3">
        <v>1044</v>
      </c>
      <c r="H54" s="3">
        <v>7</v>
      </c>
      <c r="I54" s="3">
        <v>56486</v>
      </c>
      <c r="J54" s="3">
        <f>IF(E54="Cold",1,0)</f>
        <v>0</v>
      </c>
      <c r="K54" s="3">
        <f>IF(E54="Hot",1,0)</f>
        <v>0</v>
      </c>
      <c r="L54" s="3">
        <v>2036</v>
      </c>
      <c r="M54" s="3">
        <v>74</v>
      </c>
      <c r="N54" s="4">
        <v>45008</v>
      </c>
      <c r="O54" s="10">
        <v>331444.03730000003</v>
      </c>
    </row>
    <row r="55" spans="1:15" x14ac:dyDescent="0.3">
      <c r="A55" s="2">
        <v>53</v>
      </c>
      <c r="B55" s="3" t="s">
        <v>57</v>
      </c>
      <c r="C55" s="3" t="s">
        <v>78</v>
      </c>
      <c r="D55" s="3" t="s">
        <v>18</v>
      </c>
      <c r="E55" s="3" t="s">
        <v>15</v>
      </c>
      <c r="F55" s="3">
        <f t="shared" si="0"/>
        <v>1</v>
      </c>
      <c r="G55" s="3">
        <v>28914</v>
      </c>
      <c r="H55" s="3">
        <v>5</v>
      </c>
      <c r="I55" s="3">
        <v>55999</v>
      </c>
      <c r="J55" s="3">
        <f>IF(E55="Cold",1,0)</f>
        <v>1</v>
      </c>
      <c r="K55" s="3">
        <f>IF(E55="Hot",1,0)</f>
        <v>0</v>
      </c>
      <c r="L55" s="3">
        <v>1332</v>
      </c>
      <c r="M55" s="3">
        <v>26</v>
      </c>
      <c r="N55" s="4">
        <v>43987</v>
      </c>
      <c r="O55" s="10">
        <v>363854.62550000002</v>
      </c>
    </row>
    <row r="56" spans="1:15" x14ac:dyDescent="0.3">
      <c r="A56" s="2">
        <v>54</v>
      </c>
      <c r="B56" s="3" t="s">
        <v>33</v>
      </c>
      <c r="C56" s="3" t="s">
        <v>79</v>
      </c>
      <c r="D56" s="3" t="s">
        <v>18</v>
      </c>
      <c r="E56" s="3" t="s">
        <v>15</v>
      </c>
      <c r="F56" s="3">
        <f t="shared" si="0"/>
        <v>1</v>
      </c>
      <c r="G56" s="3">
        <v>3379</v>
      </c>
      <c r="H56" s="3">
        <v>4</v>
      </c>
      <c r="I56" s="3">
        <v>91371</v>
      </c>
      <c r="J56" s="3">
        <f>IF(E56="Cold",1,0)</f>
        <v>1</v>
      </c>
      <c r="K56" s="3">
        <f>IF(E56="Hot",1,0)</f>
        <v>0</v>
      </c>
      <c r="L56" s="3">
        <v>1851</v>
      </c>
      <c r="M56" s="3">
        <v>23</v>
      </c>
      <c r="N56" s="4">
        <v>43846</v>
      </c>
      <c r="O56" s="10">
        <v>354567.71710000001</v>
      </c>
    </row>
    <row r="57" spans="1:15" x14ac:dyDescent="0.3">
      <c r="A57" s="2">
        <v>55</v>
      </c>
      <c r="B57" s="3" t="s">
        <v>28</v>
      </c>
      <c r="C57" s="3" t="s">
        <v>49</v>
      </c>
      <c r="D57" s="3" t="s">
        <v>14</v>
      </c>
      <c r="E57" s="3" t="s">
        <v>15</v>
      </c>
      <c r="F57" s="3">
        <f t="shared" si="0"/>
        <v>0</v>
      </c>
      <c r="G57" s="3">
        <v>5560</v>
      </c>
      <c r="H57" s="3">
        <v>3</v>
      </c>
      <c r="I57" s="3">
        <v>93673</v>
      </c>
      <c r="J57" s="3">
        <f>IF(E57="Cold",1,0)</f>
        <v>1</v>
      </c>
      <c r="K57" s="3">
        <f>IF(E57="Hot",1,0)</f>
        <v>0</v>
      </c>
      <c r="L57" s="3">
        <v>1514</v>
      </c>
      <c r="M57" s="3">
        <v>34</v>
      </c>
      <c r="N57" s="4">
        <v>44578</v>
      </c>
      <c r="O57" s="10">
        <v>307912.0477</v>
      </c>
    </row>
    <row r="58" spans="1:15" x14ac:dyDescent="0.3">
      <c r="A58" s="2">
        <v>56</v>
      </c>
      <c r="B58" s="3" t="s">
        <v>33</v>
      </c>
      <c r="C58" s="3" t="s">
        <v>80</v>
      </c>
      <c r="D58" s="3" t="s">
        <v>18</v>
      </c>
      <c r="E58" s="3" t="s">
        <v>15</v>
      </c>
      <c r="F58" s="3">
        <f t="shared" si="0"/>
        <v>1</v>
      </c>
      <c r="G58" s="3">
        <v>11163</v>
      </c>
      <c r="H58" s="3">
        <v>9</v>
      </c>
      <c r="I58" s="3">
        <v>69830</v>
      </c>
      <c r="J58" s="3">
        <f>IF(E58="Cold",1,0)</f>
        <v>1</v>
      </c>
      <c r="K58" s="3">
        <f>IF(E58="Hot",1,0)</f>
        <v>0</v>
      </c>
      <c r="L58" s="3">
        <v>1422</v>
      </c>
      <c r="M58" s="3">
        <v>40</v>
      </c>
      <c r="N58" s="4">
        <v>43923</v>
      </c>
      <c r="O58" s="10">
        <v>329598.27879999997</v>
      </c>
    </row>
    <row r="59" spans="1:15" x14ac:dyDescent="0.3">
      <c r="A59" s="2">
        <v>57</v>
      </c>
      <c r="B59" s="3" t="s">
        <v>31</v>
      </c>
      <c r="C59" s="3" t="s">
        <v>81</v>
      </c>
      <c r="D59" s="3" t="s">
        <v>14</v>
      </c>
      <c r="E59" s="3" t="s">
        <v>21</v>
      </c>
      <c r="F59" s="3">
        <f t="shared" si="0"/>
        <v>0</v>
      </c>
      <c r="G59" s="3">
        <v>24385</v>
      </c>
      <c r="H59" s="3">
        <v>6</v>
      </c>
      <c r="I59" s="3">
        <v>60090</v>
      </c>
      <c r="J59" s="3">
        <f>IF(E59="Cold",1,0)</f>
        <v>0</v>
      </c>
      <c r="K59" s="3">
        <f>IF(E59="Hot",1,0)</f>
        <v>1</v>
      </c>
      <c r="L59" s="3">
        <v>1979</v>
      </c>
      <c r="M59" s="3">
        <v>74</v>
      </c>
      <c r="N59" s="4">
        <v>44956</v>
      </c>
      <c r="O59" s="10">
        <v>353047.95039999997</v>
      </c>
    </row>
    <row r="60" spans="1:15" x14ac:dyDescent="0.3">
      <c r="A60" s="2">
        <v>58</v>
      </c>
      <c r="B60" s="3" t="s">
        <v>44</v>
      </c>
      <c r="C60" s="3" t="s">
        <v>82</v>
      </c>
      <c r="D60" s="3" t="s">
        <v>14</v>
      </c>
      <c r="E60" s="3" t="s">
        <v>21</v>
      </c>
      <c r="F60" s="3">
        <f t="shared" si="0"/>
        <v>0</v>
      </c>
      <c r="G60" s="3">
        <v>1278</v>
      </c>
      <c r="H60" s="3">
        <v>7</v>
      </c>
      <c r="I60" s="3">
        <v>79249</v>
      </c>
      <c r="J60" s="3">
        <f>IF(E60="Cold",1,0)</f>
        <v>0</v>
      </c>
      <c r="K60" s="3">
        <f>IF(E60="Hot",1,0)</f>
        <v>1</v>
      </c>
      <c r="L60" s="3">
        <v>2529</v>
      </c>
      <c r="M60" s="3">
        <v>27</v>
      </c>
      <c r="N60" s="4">
        <v>44840</v>
      </c>
      <c r="O60" s="10">
        <v>339891.71289999998</v>
      </c>
    </row>
    <row r="61" spans="1:15" x14ac:dyDescent="0.3">
      <c r="A61" s="2">
        <v>59</v>
      </c>
      <c r="B61" s="3" t="s">
        <v>55</v>
      </c>
      <c r="C61" s="3" t="s">
        <v>67</v>
      </c>
      <c r="D61" s="3" t="s">
        <v>14</v>
      </c>
      <c r="E61" s="3" t="s">
        <v>21</v>
      </c>
      <c r="F61" s="3">
        <f t="shared" si="0"/>
        <v>0</v>
      </c>
      <c r="G61" s="3">
        <v>13514</v>
      </c>
      <c r="H61" s="3">
        <v>6</v>
      </c>
      <c r="I61" s="3">
        <v>64826</v>
      </c>
      <c r="J61" s="3">
        <f>IF(E61="Cold",1,0)</f>
        <v>0</v>
      </c>
      <c r="K61" s="3">
        <f>IF(E61="Hot",1,0)</f>
        <v>1</v>
      </c>
      <c r="L61" s="3">
        <v>2131</v>
      </c>
      <c r="M61" s="3">
        <v>90</v>
      </c>
      <c r="N61" s="4">
        <v>44756</v>
      </c>
      <c r="O61" s="10">
        <v>347792.55239999999</v>
      </c>
    </row>
    <row r="62" spans="1:15" x14ac:dyDescent="0.3">
      <c r="A62" s="2">
        <v>60</v>
      </c>
      <c r="B62" s="3" t="s">
        <v>29</v>
      </c>
      <c r="C62" s="3" t="s">
        <v>83</v>
      </c>
      <c r="D62" s="3" t="s">
        <v>14</v>
      </c>
      <c r="E62" s="3" t="s">
        <v>23</v>
      </c>
      <c r="F62" s="3">
        <f t="shared" si="0"/>
        <v>0</v>
      </c>
      <c r="G62" s="3">
        <v>24839</v>
      </c>
      <c r="H62" s="3">
        <v>1</v>
      </c>
      <c r="I62" s="3">
        <v>82731</v>
      </c>
      <c r="J62" s="3">
        <f>IF(E62="Cold",1,0)</f>
        <v>0</v>
      </c>
      <c r="K62" s="3">
        <f>IF(E62="Hot",1,0)</f>
        <v>0</v>
      </c>
      <c r="L62" s="3">
        <v>1952</v>
      </c>
      <c r="M62" s="3">
        <v>40</v>
      </c>
      <c r="N62" s="4">
        <v>45147</v>
      </c>
      <c r="O62" s="10">
        <v>332271.85389999999</v>
      </c>
    </row>
    <row r="63" spans="1:15" x14ac:dyDescent="0.3">
      <c r="A63" s="2">
        <v>61</v>
      </c>
      <c r="B63" s="3" t="s">
        <v>16</v>
      </c>
      <c r="C63" s="3" t="s">
        <v>84</v>
      </c>
      <c r="D63" s="3" t="s">
        <v>18</v>
      </c>
      <c r="E63" s="3" t="s">
        <v>21</v>
      </c>
      <c r="F63" s="3">
        <f t="shared" si="0"/>
        <v>1</v>
      </c>
      <c r="G63" s="3">
        <v>12649</v>
      </c>
      <c r="H63" s="3">
        <v>8</v>
      </c>
      <c r="I63" s="3">
        <v>75511</v>
      </c>
      <c r="J63" s="3">
        <f>IF(E63="Cold",1,0)</f>
        <v>0</v>
      </c>
      <c r="K63" s="3">
        <f>IF(E63="Hot",1,0)</f>
        <v>1</v>
      </c>
      <c r="L63" s="3">
        <v>2177</v>
      </c>
      <c r="M63" s="3">
        <v>56</v>
      </c>
      <c r="N63" s="4">
        <v>44211</v>
      </c>
      <c r="O63" s="10">
        <v>383489.11</v>
      </c>
    </row>
    <row r="64" spans="1:15" x14ac:dyDescent="0.3">
      <c r="A64" s="2">
        <v>62</v>
      </c>
      <c r="B64" s="3" t="s">
        <v>24</v>
      </c>
      <c r="C64" s="3" t="s">
        <v>25</v>
      </c>
      <c r="D64" s="3" t="s">
        <v>18</v>
      </c>
      <c r="E64" s="3" t="s">
        <v>21</v>
      </c>
      <c r="F64" s="3">
        <f t="shared" si="0"/>
        <v>1</v>
      </c>
      <c r="G64" s="3">
        <v>13511</v>
      </c>
      <c r="H64" s="3">
        <v>0</v>
      </c>
      <c r="I64" s="3">
        <v>69249</v>
      </c>
      <c r="J64" s="3">
        <f>IF(E64="Cold",1,0)</f>
        <v>0</v>
      </c>
      <c r="K64" s="3">
        <f>IF(E64="Hot",1,0)</f>
        <v>1</v>
      </c>
      <c r="L64" s="3">
        <v>1802</v>
      </c>
      <c r="M64" s="3">
        <v>74</v>
      </c>
      <c r="N64" s="4">
        <v>45423</v>
      </c>
      <c r="O64" s="10">
        <v>393174.22269999998</v>
      </c>
    </row>
    <row r="65" spans="1:15" x14ac:dyDescent="0.3">
      <c r="A65" s="2">
        <v>63</v>
      </c>
      <c r="B65" s="3" t="s">
        <v>12</v>
      </c>
      <c r="C65" s="3" t="s">
        <v>85</v>
      </c>
      <c r="D65" s="3" t="s">
        <v>14</v>
      </c>
      <c r="E65" s="3" t="s">
        <v>23</v>
      </c>
      <c r="F65" s="3">
        <f t="shared" si="0"/>
        <v>0</v>
      </c>
      <c r="G65" s="3">
        <v>17612</v>
      </c>
      <c r="H65" s="3">
        <v>7</v>
      </c>
      <c r="I65" s="3">
        <v>71095</v>
      </c>
      <c r="J65" s="3">
        <f>IF(E65="Cold",1,0)</f>
        <v>0</v>
      </c>
      <c r="K65" s="3">
        <f>IF(E65="Hot",1,0)</f>
        <v>0</v>
      </c>
      <c r="L65" s="3">
        <v>1139</v>
      </c>
      <c r="M65" s="3">
        <v>66</v>
      </c>
      <c r="N65" s="4">
        <v>44562</v>
      </c>
      <c r="O65" s="10">
        <v>312603.73690000002</v>
      </c>
    </row>
    <row r="66" spans="1:15" x14ac:dyDescent="0.3">
      <c r="A66" s="2">
        <v>64</v>
      </c>
      <c r="B66" s="3" t="s">
        <v>57</v>
      </c>
      <c r="C66" s="3" t="s">
        <v>86</v>
      </c>
      <c r="D66" s="3" t="s">
        <v>18</v>
      </c>
      <c r="E66" s="3" t="s">
        <v>23</v>
      </c>
      <c r="F66" s="3">
        <f t="shared" si="0"/>
        <v>1</v>
      </c>
      <c r="G66" s="3">
        <v>13466</v>
      </c>
      <c r="H66" s="3">
        <v>7</v>
      </c>
      <c r="I66" s="3">
        <v>67969</v>
      </c>
      <c r="J66" s="3">
        <f>IF(E66="Cold",1,0)</f>
        <v>0</v>
      </c>
      <c r="K66" s="3">
        <f>IF(E66="Hot",1,0)</f>
        <v>0</v>
      </c>
      <c r="L66" s="3">
        <v>2661</v>
      </c>
      <c r="M66" s="3">
        <v>73</v>
      </c>
      <c r="N66" s="4">
        <v>45045</v>
      </c>
      <c r="O66" s="10">
        <v>380768.9964</v>
      </c>
    </row>
    <row r="67" spans="1:15" x14ac:dyDescent="0.3">
      <c r="A67" s="2">
        <v>65</v>
      </c>
      <c r="B67" s="3" t="s">
        <v>16</v>
      </c>
      <c r="C67" s="3" t="s">
        <v>87</v>
      </c>
      <c r="D67" s="3" t="s">
        <v>18</v>
      </c>
      <c r="E67" s="3" t="s">
        <v>23</v>
      </c>
      <c r="F67" s="3">
        <f t="shared" ref="F67:F130" si="1">IF(D67=$F$1,1,0)</f>
        <v>1</v>
      </c>
      <c r="G67" s="3">
        <v>14357</v>
      </c>
      <c r="H67" s="3">
        <v>5</v>
      </c>
      <c r="I67" s="3">
        <v>73943</v>
      </c>
      <c r="J67" s="3">
        <f>IF(E67="Cold",1,0)</f>
        <v>0</v>
      </c>
      <c r="K67" s="3">
        <f>IF(E67="Hot",1,0)</f>
        <v>0</v>
      </c>
      <c r="L67" s="3">
        <v>1390</v>
      </c>
      <c r="M67" s="3">
        <v>48</v>
      </c>
      <c r="N67" s="4">
        <v>44676</v>
      </c>
      <c r="O67" s="10">
        <v>372074.94540000003</v>
      </c>
    </row>
    <row r="68" spans="1:15" x14ac:dyDescent="0.3">
      <c r="A68" s="2">
        <v>66</v>
      </c>
      <c r="B68" s="3" t="s">
        <v>12</v>
      </c>
      <c r="C68" s="3" t="s">
        <v>85</v>
      </c>
      <c r="D68" s="3" t="s">
        <v>18</v>
      </c>
      <c r="E68" s="3" t="s">
        <v>21</v>
      </c>
      <c r="F68" s="3">
        <f t="shared" si="1"/>
        <v>1</v>
      </c>
      <c r="G68" s="3">
        <v>21288</v>
      </c>
      <c r="H68" s="3">
        <v>6</v>
      </c>
      <c r="I68" s="3">
        <v>92053</v>
      </c>
      <c r="J68" s="3">
        <f>IF(E68="Cold",1,0)</f>
        <v>0</v>
      </c>
      <c r="K68" s="3">
        <f>IF(E68="Hot",1,0)</f>
        <v>1</v>
      </c>
      <c r="L68" s="3">
        <v>2501</v>
      </c>
      <c r="M68" s="3">
        <v>55</v>
      </c>
      <c r="N68" s="4">
        <v>44741</v>
      </c>
      <c r="O68" s="10">
        <v>427937.12689999997</v>
      </c>
    </row>
    <row r="69" spans="1:15" x14ac:dyDescent="0.3">
      <c r="A69" s="2">
        <v>67</v>
      </c>
      <c r="B69" s="3" t="s">
        <v>33</v>
      </c>
      <c r="C69" s="3" t="s">
        <v>88</v>
      </c>
      <c r="D69" s="3" t="s">
        <v>18</v>
      </c>
      <c r="E69" s="3" t="s">
        <v>23</v>
      </c>
      <c r="F69" s="3">
        <f t="shared" si="1"/>
        <v>1</v>
      </c>
      <c r="G69" s="3">
        <v>9892</v>
      </c>
      <c r="H69" s="3">
        <v>1</v>
      </c>
      <c r="I69" s="3">
        <v>72407</v>
      </c>
      <c r="J69" s="3">
        <f>IF(E69="Cold",1,0)</f>
        <v>0</v>
      </c>
      <c r="K69" s="3">
        <f>IF(E69="Hot",1,0)</f>
        <v>0</v>
      </c>
      <c r="L69" s="3">
        <v>2396</v>
      </c>
      <c r="M69" s="3">
        <v>58</v>
      </c>
      <c r="N69" s="4">
        <v>45416</v>
      </c>
      <c r="O69" s="10">
        <v>393006.32669999998</v>
      </c>
    </row>
    <row r="70" spans="1:15" x14ac:dyDescent="0.3">
      <c r="A70" s="2">
        <v>68</v>
      </c>
      <c r="B70" s="3" t="s">
        <v>74</v>
      </c>
      <c r="C70" s="3" t="s">
        <v>89</v>
      </c>
      <c r="D70" s="3" t="s">
        <v>14</v>
      </c>
      <c r="E70" s="3" t="s">
        <v>21</v>
      </c>
      <c r="F70" s="3">
        <f t="shared" si="1"/>
        <v>0</v>
      </c>
      <c r="G70" s="3">
        <v>20712</v>
      </c>
      <c r="H70" s="3">
        <v>4</v>
      </c>
      <c r="I70" s="3">
        <v>55361</v>
      </c>
      <c r="J70" s="3">
        <f>IF(E70="Cold",1,0)</f>
        <v>0</v>
      </c>
      <c r="K70" s="3">
        <f>IF(E70="Hot",1,0)</f>
        <v>1</v>
      </c>
      <c r="L70" s="3">
        <v>1686</v>
      </c>
      <c r="M70" s="3">
        <v>25</v>
      </c>
      <c r="N70" s="4">
        <v>44706</v>
      </c>
      <c r="O70" s="10">
        <v>331202.99800000002</v>
      </c>
    </row>
    <row r="71" spans="1:15" x14ac:dyDescent="0.3">
      <c r="A71" s="2">
        <v>69</v>
      </c>
      <c r="B71" s="3" t="s">
        <v>33</v>
      </c>
      <c r="C71" s="3" t="s">
        <v>79</v>
      </c>
      <c r="D71" s="3" t="s">
        <v>18</v>
      </c>
      <c r="E71" s="3" t="s">
        <v>23</v>
      </c>
      <c r="F71" s="3">
        <f t="shared" si="1"/>
        <v>1</v>
      </c>
      <c r="G71" s="3">
        <v>18108</v>
      </c>
      <c r="H71" s="3">
        <v>4</v>
      </c>
      <c r="I71" s="3">
        <v>58299</v>
      </c>
      <c r="J71" s="3">
        <f>IF(E71="Cold",1,0)</f>
        <v>0</v>
      </c>
      <c r="K71" s="3">
        <f>IF(E71="Hot",1,0)</f>
        <v>0</v>
      </c>
      <c r="L71" s="3">
        <v>2607</v>
      </c>
      <c r="M71" s="3">
        <v>31</v>
      </c>
      <c r="N71" s="4">
        <v>45216</v>
      </c>
      <c r="O71" s="10">
        <v>385356.67580000003</v>
      </c>
    </row>
    <row r="72" spans="1:15" x14ac:dyDescent="0.3">
      <c r="A72" s="2">
        <v>70</v>
      </c>
      <c r="B72" s="3" t="s">
        <v>28</v>
      </c>
      <c r="C72" s="3" t="s">
        <v>20</v>
      </c>
      <c r="D72" s="3" t="s">
        <v>14</v>
      </c>
      <c r="E72" s="3" t="s">
        <v>15</v>
      </c>
      <c r="F72" s="3">
        <f t="shared" si="1"/>
        <v>0</v>
      </c>
      <c r="G72" s="3">
        <v>16861</v>
      </c>
      <c r="H72" s="3">
        <v>7</v>
      </c>
      <c r="I72" s="3">
        <v>66521</v>
      </c>
      <c r="J72" s="3">
        <f>IF(E72="Cold",1,0)</f>
        <v>1</v>
      </c>
      <c r="K72" s="3">
        <f>IF(E72="Hot",1,0)</f>
        <v>0</v>
      </c>
      <c r="L72" s="3">
        <v>2042</v>
      </c>
      <c r="M72" s="3">
        <v>27</v>
      </c>
      <c r="N72" s="4">
        <v>44297</v>
      </c>
      <c r="O72" s="10">
        <v>298138.533</v>
      </c>
    </row>
    <row r="73" spans="1:15" x14ac:dyDescent="0.3">
      <c r="A73" s="2">
        <v>71</v>
      </c>
      <c r="B73" s="3" t="s">
        <v>24</v>
      </c>
      <c r="C73" s="3" t="s">
        <v>39</v>
      </c>
      <c r="D73" s="3" t="s">
        <v>18</v>
      </c>
      <c r="E73" s="3" t="s">
        <v>23</v>
      </c>
      <c r="F73" s="3">
        <f t="shared" si="1"/>
        <v>1</v>
      </c>
      <c r="G73" s="3">
        <v>14201</v>
      </c>
      <c r="H73" s="3">
        <v>2</v>
      </c>
      <c r="I73" s="3">
        <v>81871</v>
      </c>
      <c r="J73" s="3">
        <f>IF(E73="Cold",1,0)</f>
        <v>0</v>
      </c>
      <c r="K73" s="3">
        <f>IF(E73="Hot",1,0)</f>
        <v>0</v>
      </c>
      <c r="L73" s="3">
        <v>2726</v>
      </c>
      <c r="M73" s="3">
        <v>99</v>
      </c>
      <c r="N73" s="4">
        <v>44008</v>
      </c>
      <c r="O73" s="10">
        <v>430021.10499999998</v>
      </c>
    </row>
    <row r="74" spans="1:15" x14ac:dyDescent="0.3">
      <c r="A74" s="2">
        <v>72</v>
      </c>
      <c r="B74" s="3" t="s">
        <v>55</v>
      </c>
      <c r="C74" s="3" t="s">
        <v>56</v>
      </c>
      <c r="D74" s="3" t="s">
        <v>14</v>
      </c>
      <c r="E74" s="3" t="s">
        <v>23</v>
      </c>
      <c r="F74" s="3">
        <f t="shared" si="1"/>
        <v>0</v>
      </c>
      <c r="G74" s="3">
        <v>17814</v>
      </c>
      <c r="H74" s="3">
        <v>2</v>
      </c>
      <c r="I74" s="3">
        <v>68227</v>
      </c>
      <c r="J74" s="3">
        <f>IF(E74="Cold",1,0)</f>
        <v>0</v>
      </c>
      <c r="K74" s="3">
        <f>IF(E74="Hot",1,0)</f>
        <v>0</v>
      </c>
      <c r="L74" s="3">
        <v>2262</v>
      </c>
      <c r="M74" s="3">
        <v>29</v>
      </c>
      <c r="N74" s="4">
        <v>45474</v>
      </c>
      <c r="O74" s="10">
        <v>324932.79489999998</v>
      </c>
    </row>
    <row r="75" spans="1:15" x14ac:dyDescent="0.3">
      <c r="A75" s="2">
        <v>73</v>
      </c>
      <c r="B75" s="3" t="s">
        <v>37</v>
      </c>
      <c r="C75" s="3" t="s">
        <v>90</v>
      </c>
      <c r="D75" s="3" t="s">
        <v>18</v>
      </c>
      <c r="E75" s="3" t="s">
        <v>15</v>
      </c>
      <c r="F75" s="3">
        <f t="shared" si="1"/>
        <v>1</v>
      </c>
      <c r="G75" s="3">
        <v>25080</v>
      </c>
      <c r="H75" s="3">
        <v>3</v>
      </c>
      <c r="I75" s="3">
        <v>87181</v>
      </c>
      <c r="J75" s="3">
        <f>IF(E75="Cold",1,0)</f>
        <v>1</v>
      </c>
      <c r="K75" s="3">
        <f>IF(E75="Hot",1,0)</f>
        <v>0</v>
      </c>
      <c r="L75" s="3">
        <v>2111</v>
      </c>
      <c r="M75" s="3">
        <v>62</v>
      </c>
      <c r="N75" s="4">
        <v>43838</v>
      </c>
      <c r="O75" s="10">
        <v>359811.40779999999</v>
      </c>
    </row>
    <row r="76" spans="1:15" x14ac:dyDescent="0.3">
      <c r="A76" s="2">
        <v>74</v>
      </c>
      <c r="B76" s="3" t="s">
        <v>33</v>
      </c>
      <c r="C76" s="3" t="s">
        <v>91</v>
      </c>
      <c r="D76" s="3" t="s">
        <v>14</v>
      </c>
      <c r="E76" s="3" t="s">
        <v>15</v>
      </c>
      <c r="F76" s="3">
        <f t="shared" si="1"/>
        <v>0</v>
      </c>
      <c r="G76" s="3">
        <v>27646</v>
      </c>
      <c r="H76" s="3">
        <v>1</v>
      </c>
      <c r="I76" s="3">
        <v>96726</v>
      </c>
      <c r="J76" s="3">
        <f>IF(E76="Cold",1,0)</f>
        <v>1</v>
      </c>
      <c r="K76" s="3">
        <f>IF(E76="Hot",1,0)</f>
        <v>0</v>
      </c>
      <c r="L76" s="3">
        <v>1169</v>
      </c>
      <c r="M76" s="3">
        <v>88</v>
      </c>
      <c r="N76" s="4">
        <v>44925</v>
      </c>
      <c r="O76" s="10">
        <v>303354.53360000002</v>
      </c>
    </row>
    <row r="77" spans="1:15" x14ac:dyDescent="0.3">
      <c r="A77" s="2">
        <v>75</v>
      </c>
      <c r="B77" s="3" t="s">
        <v>33</v>
      </c>
      <c r="C77" s="3" t="s">
        <v>92</v>
      </c>
      <c r="D77" s="3" t="s">
        <v>18</v>
      </c>
      <c r="E77" s="3" t="s">
        <v>23</v>
      </c>
      <c r="F77" s="3">
        <f t="shared" si="1"/>
        <v>1</v>
      </c>
      <c r="G77" s="3">
        <v>23585</v>
      </c>
      <c r="H77" s="3">
        <v>1</v>
      </c>
      <c r="I77" s="3">
        <v>67312</v>
      </c>
      <c r="J77" s="3">
        <f>IF(E77="Cold",1,0)</f>
        <v>0</v>
      </c>
      <c r="K77" s="3">
        <f>IF(E77="Hot",1,0)</f>
        <v>0</v>
      </c>
      <c r="L77" s="3">
        <v>1527</v>
      </c>
      <c r="M77" s="3">
        <v>33</v>
      </c>
      <c r="N77" s="4">
        <v>44479</v>
      </c>
      <c r="O77" s="10">
        <v>406868.70919999998</v>
      </c>
    </row>
    <row r="78" spans="1:15" x14ac:dyDescent="0.3">
      <c r="A78" s="2">
        <v>76</v>
      </c>
      <c r="B78" s="3" t="s">
        <v>26</v>
      </c>
      <c r="C78" s="3" t="s">
        <v>93</v>
      </c>
      <c r="D78" s="3" t="s">
        <v>18</v>
      </c>
      <c r="E78" s="3" t="s">
        <v>23</v>
      </c>
      <c r="F78" s="3">
        <f t="shared" si="1"/>
        <v>1</v>
      </c>
      <c r="G78" s="3">
        <v>1507</v>
      </c>
      <c r="H78" s="3">
        <v>9</v>
      </c>
      <c r="I78" s="3">
        <v>60391</v>
      </c>
      <c r="J78" s="3">
        <f>IF(E78="Cold",1,0)</f>
        <v>0</v>
      </c>
      <c r="K78" s="3">
        <f>IF(E78="Hot",1,0)</f>
        <v>0</v>
      </c>
      <c r="L78" s="3">
        <v>1451</v>
      </c>
      <c r="M78" s="3">
        <v>60</v>
      </c>
      <c r="N78" s="4">
        <v>44865</v>
      </c>
      <c r="O78" s="10">
        <v>345302.49</v>
      </c>
    </row>
    <row r="79" spans="1:15" x14ac:dyDescent="0.3">
      <c r="A79" s="2">
        <v>77</v>
      </c>
      <c r="B79" s="3" t="s">
        <v>24</v>
      </c>
      <c r="C79" s="3" t="s">
        <v>94</v>
      </c>
      <c r="D79" s="3" t="s">
        <v>14</v>
      </c>
      <c r="E79" s="3" t="s">
        <v>23</v>
      </c>
      <c r="F79" s="3">
        <f t="shared" si="1"/>
        <v>0</v>
      </c>
      <c r="G79" s="3">
        <v>10416</v>
      </c>
      <c r="H79" s="3">
        <v>0</v>
      </c>
      <c r="I79" s="3">
        <v>96892</v>
      </c>
      <c r="J79" s="3">
        <f>IF(E79="Cold",1,0)</f>
        <v>0</v>
      </c>
      <c r="K79" s="3">
        <f>IF(E79="Hot",1,0)</f>
        <v>0</v>
      </c>
      <c r="L79" s="3">
        <v>1251</v>
      </c>
      <c r="M79" s="3">
        <v>73</v>
      </c>
      <c r="N79" s="4">
        <v>44140</v>
      </c>
      <c r="O79" s="10">
        <v>341839.20649999997</v>
      </c>
    </row>
    <row r="80" spans="1:15" x14ac:dyDescent="0.3">
      <c r="A80" s="2">
        <v>78</v>
      </c>
      <c r="B80" s="3" t="s">
        <v>12</v>
      </c>
      <c r="C80" s="3" t="s">
        <v>95</v>
      </c>
      <c r="D80" s="3" t="s">
        <v>14</v>
      </c>
      <c r="E80" s="3" t="s">
        <v>23</v>
      </c>
      <c r="F80" s="3">
        <f t="shared" si="1"/>
        <v>0</v>
      </c>
      <c r="G80" s="3">
        <v>14671</v>
      </c>
      <c r="H80" s="3">
        <v>2</v>
      </c>
      <c r="I80" s="3">
        <v>54325</v>
      </c>
      <c r="J80" s="3">
        <f>IF(E80="Cold",1,0)</f>
        <v>0</v>
      </c>
      <c r="K80" s="3">
        <f>IF(E80="Hot",1,0)</f>
        <v>0</v>
      </c>
      <c r="L80" s="3">
        <v>1581</v>
      </c>
      <c r="M80" s="3">
        <v>34</v>
      </c>
      <c r="N80" s="4">
        <v>44741</v>
      </c>
      <c r="O80" s="10">
        <v>318567.10359999997</v>
      </c>
    </row>
    <row r="81" spans="1:15" x14ac:dyDescent="0.3">
      <c r="A81" s="2">
        <v>79</v>
      </c>
      <c r="B81" s="3" t="s">
        <v>72</v>
      </c>
      <c r="C81" s="3" t="s">
        <v>96</v>
      </c>
      <c r="D81" s="3" t="s">
        <v>14</v>
      </c>
      <c r="E81" s="3" t="s">
        <v>21</v>
      </c>
      <c r="F81" s="3">
        <f t="shared" si="1"/>
        <v>0</v>
      </c>
      <c r="G81" s="3">
        <v>22498</v>
      </c>
      <c r="H81" s="3">
        <v>3</v>
      </c>
      <c r="I81" s="3">
        <v>94289</v>
      </c>
      <c r="J81" s="3">
        <f>IF(E81="Cold",1,0)</f>
        <v>0</v>
      </c>
      <c r="K81" s="3">
        <f>IF(E81="Hot",1,0)</f>
        <v>1</v>
      </c>
      <c r="L81" s="3">
        <v>2624</v>
      </c>
      <c r="M81" s="3">
        <v>85</v>
      </c>
      <c r="N81" s="4">
        <v>43955</v>
      </c>
      <c r="O81" s="10">
        <v>367464.44919999997</v>
      </c>
    </row>
    <row r="82" spans="1:15" x14ac:dyDescent="0.3">
      <c r="A82" s="2">
        <v>80</v>
      </c>
      <c r="B82" s="3" t="s">
        <v>44</v>
      </c>
      <c r="C82" s="3" t="s">
        <v>65</v>
      </c>
      <c r="D82" s="3" t="s">
        <v>18</v>
      </c>
      <c r="E82" s="3" t="s">
        <v>15</v>
      </c>
      <c r="F82" s="3">
        <f t="shared" si="1"/>
        <v>1</v>
      </c>
      <c r="G82" s="3">
        <v>29840</v>
      </c>
      <c r="H82" s="3">
        <v>4</v>
      </c>
      <c r="I82" s="3">
        <v>65754</v>
      </c>
      <c r="J82" s="3">
        <f>IF(E82="Cold",1,0)</f>
        <v>1</v>
      </c>
      <c r="K82" s="3">
        <f>IF(E82="Hot",1,0)</f>
        <v>0</v>
      </c>
      <c r="L82" s="3">
        <v>1326</v>
      </c>
      <c r="M82" s="3">
        <v>96</v>
      </c>
      <c r="N82" s="4">
        <v>44470</v>
      </c>
      <c r="O82" s="10">
        <v>384760.06420000002</v>
      </c>
    </row>
    <row r="83" spans="1:15" x14ac:dyDescent="0.3">
      <c r="A83" s="2">
        <v>81</v>
      </c>
      <c r="B83" s="3" t="s">
        <v>24</v>
      </c>
      <c r="C83" s="3" t="s">
        <v>97</v>
      </c>
      <c r="D83" s="3" t="s">
        <v>14</v>
      </c>
      <c r="E83" s="3" t="s">
        <v>23</v>
      </c>
      <c r="F83" s="3">
        <f t="shared" si="1"/>
        <v>0</v>
      </c>
      <c r="G83" s="3">
        <v>10900</v>
      </c>
      <c r="H83" s="3">
        <v>5</v>
      </c>
      <c r="I83" s="3">
        <v>73222</v>
      </c>
      <c r="J83" s="3">
        <f>IF(E83="Cold",1,0)</f>
        <v>0</v>
      </c>
      <c r="K83" s="3">
        <f>IF(E83="Hot",1,0)</f>
        <v>0</v>
      </c>
      <c r="L83" s="3">
        <v>1252</v>
      </c>
      <c r="M83" s="3">
        <v>61</v>
      </c>
      <c r="N83" s="4">
        <v>45099</v>
      </c>
      <c r="O83" s="10">
        <v>337262.79790000001</v>
      </c>
    </row>
    <row r="84" spans="1:15" x14ac:dyDescent="0.3">
      <c r="A84" s="2">
        <v>82</v>
      </c>
      <c r="B84" s="3" t="s">
        <v>55</v>
      </c>
      <c r="C84" s="3" t="s">
        <v>98</v>
      </c>
      <c r="D84" s="3" t="s">
        <v>18</v>
      </c>
      <c r="E84" s="3" t="s">
        <v>15</v>
      </c>
      <c r="F84" s="3">
        <f t="shared" si="1"/>
        <v>1</v>
      </c>
      <c r="G84" s="3">
        <v>26289</v>
      </c>
      <c r="H84" s="3">
        <v>9</v>
      </c>
      <c r="I84" s="3">
        <v>59323</v>
      </c>
      <c r="J84" s="3">
        <f>IF(E84="Cold",1,0)</f>
        <v>1</v>
      </c>
      <c r="K84" s="3">
        <f>IF(E84="Hot",1,0)</f>
        <v>0</v>
      </c>
      <c r="L84" s="3">
        <v>2725</v>
      </c>
      <c r="M84" s="3">
        <v>61</v>
      </c>
      <c r="N84" s="4">
        <v>44363</v>
      </c>
      <c r="O84" s="10">
        <v>372870.26429999998</v>
      </c>
    </row>
    <row r="85" spans="1:15" x14ac:dyDescent="0.3">
      <c r="A85" s="2">
        <v>83</v>
      </c>
      <c r="B85" s="3" t="s">
        <v>26</v>
      </c>
      <c r="C85" s="3" t="s">
        <v>99</v>
      </c>
      <c r="D85" s="3" t="s">
        <v>14</v>
      </c>
      <c r="E85" s="3" t="s">
        <v>21</v>
      </c>
      <c r="F85" s="3">
        <f t="shared" si="1"/>
        <v>0</v>
      </c>
      <c r="G85" s="3">
        <v>7956</v>
      </c>
      <c r="H85" s="3">
        <v>2</v>
      </c>
      <c r="I85" s="3">
        <v>87717</v>
      </c>
      <c r="J85" s="3">
        <f>IF(E85="Cold",1,0)</f>
        <v>0</v>
      </c>
      <c r="K85" s="3">
        <f>IF(E85="Hot",1,0)</f>
        <v>1</v>
      </c>
      <c r="L85" s="3">
        <v>2404</v>
      </c>
      <c r="M85" s="3">
        <v>87</v>
      </c>
      <c r="N85" s="4">
        <v>45465</v>
      </c>
      <c r="O85" s="10">
        <v>349593.21549999999</v>
      </c>
    </row>
    <row r="86" spans="1:15" x14ac:dyDescent="0.3">
      <c r="A86" s="2">
        <v>84</v>
      </c>
      <c r="B86" s="3" t="s">
        <v>37</v>
      </c>
      <c r="C86" s="3" t="s">
        <v>61</v>
      </c>
      <c r="D86" s="3" t="s">
        <v>14</v>
      </c>
      <c r="E86" s="3" t="s">
        <v>15</v>
      </c>
      <c r="F86" s="3">
        <f t="shared" si="1"/>
        <v>0</v>
      </c>
      <c r="G86" s="3">
        <v>6325</v>
      </c>
      <c r="H86" s="3">
        <v>2</v>
      </c>
      <c r="I86" s="3">
        <v>53140</v>
      </c>
      <c r="J86" s="3">
        <f>IF(E86="Cold",1,0)</f>
        <v>1</v>
      </c>
      <c r="K86" s="3">
        <f>IF(E86="Hot",1,0)</f>
        <v>0</v>
      </c>
      <c r="L86" s="3">
        <v>1308</v>
      </c>
      <c r="M86" s="3">
        <v>70</v>
      </c>
      <c r="N86" s="4">
        <v>44248</v>
      </c>
      <c r="O86" s="10">
        <v>308614.95240000001</v>
      </c>
    </row>
    <row r="87" spans="1:15" x14ac:dyDescent="0.3">
      <c r="A87" s="2">
        <v>85</v>
      </c>
      <c r="B87" s="3" t="s">
        <v>24</v>
      </c>
      <c r="C87" s="3" t="s">
        <v>100</v>
      </c>
      <c r="D87" s="3" t="s">
        <v>18</v>
      </c>
      <c r="E87" s="3" t="s">
        <v>23</v>
      </c>
      <c r="F87" s="3">
        <f t="shared" si="1"/>
        <v>1</v>
      </c>
      <c r="G87" s="3">
        <v>25549</v>
      </c>
      <c r="H87" s="3">
        <v>8</v>
      </c>
      <c r="I87" s="3">
        <v>73902</v>
      </c>
      <c r="J87" s="3">
        <f>IF(E87="Cold",1,0)</f>
        <v>0</v>
      </c>
      <c r="K87" s="3">
        <f>IF(E87="Hot",1,0)</f>
        <v>0</v>
      </c>
      <c r="L87" s="3">
        <v>2685</v>
      </c>
      <c r="M87" s="3">
        <v>78</v>
      </c>
      <c r="N87" s="4">
        <v>44715</v>
      </c>
      <c r="O87" s="10">
        <v>400678.51419999998</v>
      </c>
    </row>
    <row r="88" spans="1:15" x14ac:dyDescent="0.3">
      <c r="A88" s="2">
        <v>86</v>
      </c>
      <c r="B88" s="3" t="s">
        <v>24</v>
      </c>
      <c r="C88" s="3" t="s">
        <v>101</v>
      </c>
      <c r="D88" s="3" t="s">
        <v>14</v>
      </c>
      <c r="E88" s="3" t="s">
        <v>23</v>
      </c>
      <c r="F88" s="3">
        <f t="shared" si="1"/>
        <v>0</v>
      </c>
      <c r="G88" s="3">
        <v>18149</v>
      </c>
      <c r="H88" s="3">
        <v>9</v>
      </c>
      <c r="I88" s="3">
        <v>98418</v>
      </c>
      <c r="J88" s="3">
        <f>IF(E88="Cold",1,0)</f>
        <v>0</v>
      </c>
      <c r="K88" s="3">
        <f>IF(E88="Hot",1,0)</f>
        <v>0</v>
      </c>
      <c r="L88" s="3">
        <v>2305</v>
      </c>
      <c r="M88" s="3">
        <v>58</v>
      </c>
      <c r="N88" s="4">
        <v>44951</v>
      </c>
      <c r="O88" s="10">
        <v>332535.12910000002</v>
      </c>
    </row>
    <row r="89" spans="1:15" x14ac:dyDescent="0.3">
      <c r="A89" s="2">
        <v>87</v>
      </c>
      <c r="B89" s="3" t="s">
        <v>28</v>
      </c>
      <c r="C89" s="3" t="s">
        <v>102</v>
      </c>
      <c r="D89" s="3" t="s">
        <v>18</v>
      </c>
      <c r="E89" s="3" t="s">
        <v>21</v>
      </c>
      <c r="F89" s="3">
        <f t="shared" si="1"/>
        <v>1</v>
      </c>
      <c r="G89" s="3">
        <v>10142</v>
      </c>
      <c r="H89" s="3">
        <v>5</v>
      </c>
      <c r="I89" s="3">
        <v>71908</v>
      </c>
      <c r="J89" s="3">
        <f>IF(E89="Cold",1,0)</f>
        <v>0</v>
      </c>
      <c r="K89" s="3">
        <f>IF(E89="Hot",1,0)</f>
        <v>1</v>
      </c>
      <c r="L89" s="3">
        <v>1447</v>
      </c>
      <c r="M89" s="3">
        <v>41</v>
      </c>
      <c r="N89" s="4">
        <v>44277</v>
      </c>
      <c r="O89" s="10">
        <v>374702.40370000002</v>
      </c>
    </row>
    <row r="90" spans="1:15" x14ac:dyDescent="0.3">
      <c r="A90" s="2">
        <v>88</v>
      </c>
      <c r="B90" s="3" t="s">
        <v>40</v>
      </c>
      <c r="C90" s="3" t="s">
        <v>103</v>
      </c>
      <c r="D90" s="3" t="s">
        <v>14</v>
      </c>
      <c r="E90" s="3" t="s">
        <v>15</v>
      </c>
      <c r="F90" s="3">
        <f t="shared" si="1"/>
        <v>0</v>
      </c>
      <c r="G90" s="3">
        <v>4642</v>
      </c>
      <c r="H90" s="3">
        <v>0</v>
      </c>
      <c r="I90" s="3">
        <v>83033</v>
      </c>
      <c r="J90" s="3">
        <f>IF(E90="Cold",1,0)</f>
        <v>1</v>
      </c>
      <c r="K90" s="3">
        <f>IF(E90="Hot",1,0)</f>
        <v>0</v>
      </c>
      <c r="L90" s="3">
        <v>2392</v>
      </c>
      <c r="M90" s="3">
        <v>75</v>
      </c>
      <c r="N90" s="4">
        <v>44309</v>
      </c>
      <c r="O90" s="10">
        <v>340230.97220000002</v>
      </c>
    </row>
    <row r="91" spans="1:15" x14ac:dyDescent="0.3">
      <c r="A91" s="2">
        <v>89</v>
      </c>
      <c r="B91" s="3" t="s">
        <v>29</v>
      </c>
      <c r="C91" s="3" t="s">
        <v>104</v>
      </c>
      <c r="D91" s="3" t="s">
        <v>14</v>
      </c>
      <c r="E91" s="3" t="s">
        <v>23</v>
      </c>
      <c r="F91" s="3">
        <f t="shared" si="1"/>
        <v>0</v>
      </c>
      <c r="G91" s="3">
        <v>27001</v>
      </c>
      <c r="H91" s="3">
        <v>5</v>
      </c>
      <c r="I91" s="3">
        <v>66091</v>
      </c>
      <c r="J91" s="3">
        <f>IF(E91="Cold",1,0)</f>
        <v>0</v>
      </c>
      <c r="K91" s="3">
        <f>IF(E91="Hot",1,0)</f>
        <v>0</v>
      </c>
      <c r="L91" s="3">
        <v>1773</v>
      </c>
      <c r="M91" s="3">
        <v>95</v>
      </c>
      <c r="N91" s="4">
        <v>43963</v>
      </c>
      <c r="O91" s="10">
        <v>356320.10920000001</v>
      </c>
    </row>
    <row r="92" spans="1:15" x14ac:dyDescent="0.3">
      <c r="A92" s="2">
        <v>90</v>
      </c>
      <c r="B92" s="3" t="s">
        <v>26</v>
      </c>
      <c r="C92" s="3" t="s">
        <v>47</v>
      </c>
      <c r="D92" s="3" t="s">
        <v>18</v>
      </c>
      <c r="E92" s="3" t="s">
        <v>21</v>
      </c>
      <c r="F92" s="3">
        <f t="shared" si="1"/>
        <v>1</v>
      </c>
      <c r="G92" s="3">
        <v>23957</v>
      </c>
      <c r="H92" s="3">
        <v>0</v>
      </c>
      <c r="I92" s="3">
        <v>65884</v>
      </c>
      <c r="J92" s="3">
        <f>IF(E92="Cold",1,0)</f>
        <v>0</v>
      </c>
      <c r="K92" s="3">
        <f>IF(E92="Hot",1,0)</f>
        <v>1</v>
      </c>
      <c r="L92" s="3">
        <v>2378</v>
      </c>
      <c r="M92" s="3">
        <v>68</v>
      </c>
      <c r="N92" s="4">
        <v>44206</v>
      </c>
      <c r="O92" s="10">
        <v>410607.41979999997</v>
      </c>
    </row>
    <row r="93" spans="1:15" x14ac:dyDescent="0.3">
      <c r="A93" s="2">
        <v>91</v>
      </c>
      <c r="B93" s="3" t="s">
        <v>55</v>
      </c>
      <c r="C93" s="3" t="s">
        <v>105</v>
      </c>
      <c r="D93" s="3" t="s">
        <v>18</v>
      </c>
      <c r="E93" s="3" t="s">
        <v>23</v>
      </c>
      <c r="F93" s="3">
        <f t="shared" si="1"/>
        <v>1</v>
      </c>
      <c r="G93" s="3">
        <v>26643</v>
      </c>
      <c r="H93" s="3">
        <v>4</v>
      </c>
      <c r="I93" s="3">
        <v>99377</v>
      </c>
      <c r="J93" s="3">
        <f>IF(E93="Cold",1,0)</f>
        <v>0</v>
      </c>
      <c r="K93" s="3">
        <f>IF(E93="Hot",1,0)</f>
        <v>0</v>
      </c>
      <c r="L93" s="3">
        <v>1242</v>
      </c>
      <c r="M93" s="3">
        <v>64</v>
      </c>
      <c r="N93" s="4">
        <v>44412</v>
      </c>
      <c r="O93" s="10">
        <v>383259.40620000003</v>
      </c>
    </row>
    <row r="94" spans="1:15" x14ac:dyDescent="0.3">
      <c r="A94" s="2">
        <v>92</v>
      </c>
      <c r="B94" s="3" t="s">
        <v>44</v>
      </c>
      <c r="C94" s="3" t="s">
        <v>82</v>
      </c>
      <c r="D94" s="3" t="s">
        <v>14</v>
      </c>
      <c r="E94" s="3" t="s">
        <v>23</v>
      </c>
      <c r="F94" s="3">
        <f t="shared" si="1"/>
        <v>0</v>
      </c>
      <c r="G94" s="3">
        <v>14752</v>
      </c>
      <c r="H94" s="3">
        <v>9</v>
      </c>
      <c r="I94" s="3">
        <v>90642</v>
      </c>
      <c r="J94" s="3">
        <f>IF(E94="Cold",1,0)</f>
        <v>0</v>
      </c>
      <c r="K94" s="3">
        <f>IF(E94="Hot",1,0)</f>
        <v>0</v>
      </c>
      <c r="L94" s="3">
        <v>1541</v>
      </c>
      <c r="M94" s="3">
        <v>81</v>
      </c>
      <c r="N94" s="4">
        <v>44734</v>
      </c>
      <c r="O94" s="10">
        <v>338033.95529999997</v>
      </c>
    </row>
    <row r="95" spans="1:15" x14ac:dyDescent="0.3">
      <c r="A95" s="2">
        <v>93</v>
      </c>
      <c r="B95" s="3" t="s">
        <v>74</v>
      </c>
      <c r="C95" s="3" t="s">
        <v>106</v>
      </c>
      <c r="D95" s="3" t="s">
        <v>14</v>
      </c>
      <c r="E95" s="3" t="s">
        <v>15</v>
      </c>
      <c r="F95" s="3">
        <f t="shared" si="1"/>
        <v>0</v>
      </c>
      <c r="G95" s="3">
        <v>15285</v>
      </c>
      <c r="H95" s="3">
        <v>5</v>
      </c>
      <c r="I95" s="3">
        <v>91581</v>
      </c>
      <c r="J95" s="3">
        <f>IF(E95="Cold",1,0)</f>
        <v>1</v>
      </c>
      <c r="K95" s="3">
        <f>IF(E95="Hot",1,0)</f>
        <v>0</v>
      </c>
      <c r="L95" s="3">
        <v>1597</v>
      </c>
      <c r="M95" s="3">
        <v>20</v>
      </c>
      <c r="N95" s="4">
        <v>44897</v>
      </c>
      <c r="O95" s="10">
        <v>309868.63160000002</v>
      </c>
    </row>
    <row r="96" spans="1:15" x14ac:dyDescent="0.3">
      <c r="A96" s="2">
        <v>94</v>
      </c>
      <c r="B96" s="3" t="s">
        <v>29</v>
      </c>
      <c r="C96" s="3" t="s">
        <v>107</v>
      </c>
      <c r="D96" s="3" t="s">
        <v>14</v>
      </c>
      <c r="E96" s="3" t="s">
        <v>23</v>
      </c>
      <c r="F96" s="3">
        <f t="shared" si="1"/>
        <v>0</v>
      </c>
      <c r="G96" s="3">
        <v>13172</v>
      </c>
      <c r="H96" s="3">
        <v>4</v>
      </c>
      <c r="I96" s="3">
        <v>80188</v>
      </c>
      <c r="J96" s="3">
        <f>IF(E96="Cold",1,0)</f>
        <v>0</v>
      </c>
      <c r="K96" s="3">
        <f>IF(E96="Hot",1,0)</f>
        <v>0</v>
      </c>
      <c r="L96" s="3">
        <v>1381</v>
      </c>
      <c r="M96" s="3">
        <v>82</v>
      </c>
      <c r="N96" s="4">
        <v>44125</v>
      </c>
      <c r="O96" s="10">
        <v>323700.20439999999</v>
      </c>
    </row>
    <row r="97" spans="1:15" x14ac:dyDescent="0.3">
      <c r="A97" s="2">
        <v>95</v>
      </c>
      <c r="B97" s="3" t="s">
        <v>33</v>
      </c>
      <c r="C97" s="3" t="s">
        <v>34</v>
      </c>
      <c r="D97" s="3" t="s">
        <v>14</v>
      </c>
      <c r="E97" s="3" t="s">
        <v>21</v>
      </c>
      <c r="F97" s="3">
        <f t="shared" si="1"/>
        <v>0</v>
      </c>
      <c r="G97" s="3">
        <v>26590</v>
      </c>
      <c r="H97" s="3">
        <v>0</v>
      </c>
      <c r="I97" s="3">
        <v>69020</v>
      </c>
      <c r="J97" s="3">
        <f>IF(E97="Cold",1,0)</f>
        <v>0</v>
      </c>
      <c r="K97" s="3">
        <f>IF(E97="Hot",1,0)</f>
        <v>1</v>
      </c>
      <c r="L97" s="3">
        <v>1434</v>
      </c>
      <c r="M97" s="3">
        <v>67</v>
      </c>
      <c r="N97" s="4">
        <v>44550</v>
      </c>
      <c r="O97" s="10">
        <v>355502.79470000003</v>
      </c>
    </row>
    <row r="98" spans="1:15" x14ac:dyDescent="0.3">
      <c r="A98" s="2">
        <v>96</v>
      </c>
      <c r="B98" s="3" t="s">
        <v>108</v>
      </c>
      <c r="C98" s="3" t="s">
        <v>109</v>
      </c>
      <c r="D98" s="3" t="s">
        <v>14</v>
      </c>
      <c r="E98" s="3" t="s">
        <v>21</v>
      </c>
      <c r="F98" s="3">
        <f t="shared" si="1"/>
        <v>0</v>
      </c>
      <c r="G98" s="3">
        <v>5932</v>
      </c>
      <c r="H98" s="3">
        <v>1</v>
      </c>
      <c r="I98" s="3">
        <v>92212</v>
      </c>
      <c r="J98" s="3">
        <f>IF(E98="Cold",1,0)</f>
        <v>0</v>
      </c>
      <c r="K98" s="3">
        <f>IF(E98="Hot",1,0)</f>
        <v>1</v>
      </c>
      <c r="L98" s="3">
        <v>1546</v>
      </c>
      <c r="M98" s="3">
        <v>76</v>
      </c>
      <c r="N98" s="4">
        <v>44567</v>
      </c>
      <c r="O98" s="10">
        <v>330242.99589999998</v>
      </c>
    </row>
    <row r="99" spans="1:15" x14ac:dyDescent="0.3">
      <c r="A99" s="2">
        <v>97</v>
      </c>
      <c r="B99" s="3" t="s">
        <v>29</v>
      </c>
      <c r="C99" s="3" t="s">
        <v>110</v>
      </c>
      <c r="D99" s="3" t="s">
        <v>14</v>
      </c>
      <c r="E99" s="3" t="s">
        <v>23</v>
      </c>
      <c r="F99" s="3">
        <f t="shared" si="1"/>
        <v>0</v>
      </c>
      <c r="G99" s="3">
        <v>3383</v>
      </c>
      <c r="H99" s="3">
        <v>8</v>
      </c>
      <c r="I99" s="3">
        <v>53118</v>
      </c>
      <c r="J99" s="3">
        <f>IF(E99="Cold",1,0)</f>
        <v>0</v>
      </c>
      <c r="K99" s="3">
        <f>IF(E99="Hot",1,0)</f>
        <v>0</v>
      </c>
      <c r="L99" s="3">
        <v>2289</v>
      </c>
      <c r="M99" s="3">
        <v>74</v>
      </c>
      <c r="N99" s="4">
        <v>45222</v>
      </c>
      <c r="O99" s="10">
        <v>346446.9999</v>
      </c>
    </row>
    <row r="100" spans="1:15" x14ac:dyDescent="0.3">
      <c r="A100" s="2">
        <v>98</v>
      </c>
      <c r="B100" s="3" t="s">
        <v>33</v>
      </c>
      <c r="C100" s="3" t="s">
        <v>79</v>
      </c>
      <c r="D100" s="3" t="s">
        <v>14</v>
      </c>
      <c r="E100" s="3" t="s">
        <v>15</v>
      </c>
      <c r="F100" s="3">
        <f t="shared" si="1"/>
        <v>0</v>
      </c>
      <c r="G100" s="3">
        <v>2425</v>
      </c>
      <c r="H100" s="3">
        <v>3</v>
      </c>
      <c r="I100" s="3">
        <v>86242</v>
      </c>
      <c r="J100" s="3">
        <f>IF(E100="Cold",1,0)</f>
        <v>1</v>
      </c>
      <c r="K100" s="3">
        <f>IF(E100="Hot",1,0)</f>
        <v>0</v>
      </c>
      <c r="L100" s="3">
        <v>1457</v>
      </c>
      <c r="M100" s="3">
        <v>95</v>
      </c>
      <c r="N100" s="4">
        <v>44874</v>
      </c>
      <c r="O100" s="10">
        <v>331389.07010000001</v>
      </c>
    </row>
    <row r="101" spans="1:15" x14ac:dyDescent="0.3">
      <c r="A101" s="2">
        <v>99</v>
      </c>
      <c r="B101" s="3" t="s">
        <v>44</v>
      </c>
      <c r="C101" s="3" t="s">
        <v>111</v>
      </c>
      <c r="D101" s="3" t="s">
        <v>18</v>
      </c>
      <c r="E101" s="3" t="s">
        <v>23</v>
      </c>
      <c r="F101" s="3">
        <f t="shared" si="1"/>
        <v>1</v>
      </c>
      <c r="G101" s="3">
        <v>25820</v>
      </c>
      <c r="H101" s="3">
        <v>2</v>
      </c>
      <c r="I101" s="3">
        <v>50293</v>
      </c>
      <c r="J101" s="3">
        <f>IF(E101="Cold",1,0)</f>
        <v>0</v>
      </c>
      <c r="K101" s="3">
        <f>IF(E101="Hot",1,0)</f>
        <v>0</v>
      </c>
      <c r="L101" s="3">
        <v>1270</v>
      </c>
      <c r="M101" s="3">
        <v>31</v>
      </c>
      <c r="N101" s="4">
        <v>44233</v>
      </c>
      <c r="O101" s="10">
        <v>387448.1447</v>
      </c>
    </row>
    <row r="102" spans="1:15" x14ac:dyDescent="0.3">
      <c r="A102" s="2">
        <v>100</v>
      </c>
      <c r="B102" s="3" t="s">
        <v>40</v>
      </c>
      <c r="C102" s="3" t="s">
        <v>41</v>
      </c>
      <c r="D102" s="3" t="s">
        <v>14</v>
      </c>
      <c r="E102" s="3" t="s">
        <v>23</v>
      </c>
      <c r="F102" s="3">
        <f t="shared" si="1"/>
        <v>0</v>
      </c>
      <c r="G102" s="3">
        <v>26318</v>
      </c>
      <c r="H102" s="3">
        <v>8</v>
      </c>
      <c r="I102" s="3">
        <v>76066</v>
      </c>
      <c r="J102" s="3">
        <f>IF(E102="Cold",1,0)</f>
        <v>0</v>
      </c>
      <c r="K102" s="3">
        <f>IF(E102="Hot",1,0)</f>
        <v>0</v>
      </c>
      <c r="L102" s="3">
        <v>2363</v>
      </c>
      <c r="M102" s="3">
        <v>75</v>
      </c>
      <c r="N102" s="4">
        <v>43876</v>
      </c>
      <c r="O102" s="10">
        <v>357049.565</v>
      </c>
    </row>
    <row r="103" spans="1:15" x14ac:dyDescent="0.3">
      <c r="A103" s="2">
        <v>101</v>
      </c>
      <c r="B103" s="3" t="s">
        <v>55</v>
      </c>
      <c r="C103" s="3" t="s">
        <v>98</v>
      </c>
      <c r="D103" s="3" t="s">
        <v>18</v>
      </c>
      <c r="E103" s="3" t="s">
        <v>23</v>
      </c>
      <c r="F103" s="3">
        <f t="shared" si="1"/>
        <v>1</v>
      </c>
      <c r="G103" s="3">
        <v>7467</v>
      </c>
      <c r="H103" s="3">
        <v>7</v>
      </c>
      <c r="I103" s="3">
        <v>77104</v>
      </c>
      <c r="J103" s="3">
        <f>IF(E103="Cold",1,0)</f>
        <v>0</v>
      </c>
      <c r="K103" s="3">
        <f>IF(E103="Hot",1,0)</f>
        <v>0</v>
      </c>
      <c r="L103" s="3">
        <v>1023</v>
      </c>
      <c r="M103" s="3">
        <v>35</v>
      </c>
      <c r="N103" s="4">
        <v>44930</v>
      </c>
      <c r="O103" s="10">
        <v>352744.37660000002</v>
      </c>
    </row>
    <row r="104" spans="1:15" x14ac:dyDescent="0.3">
      <c r="A104" s="2">
        <v>102</v>
      </c>
      <c r="B104" s="3" t="s">
        <v>37</v>
      </c>
      <c r="C104" s="3" t="s">
        <v>61</v>
      </c>
      <c r="D104" s="3" t="s">
        <v>18</v>
      </c>
      <c r="E104" s="3" t="s">
        <v>23</v>
      </c>
      <c r="F104" s="3">
        <f t="shared" si="1"/>
        <v>1</v>
      </c>
      <c r="G104" s="3">
        <v>3004</v>
      </c>
      <c r="H104" s="3">
        <v>5</v>
      </c>
      <c r="I104" s="3">
        <v>74615</v>
      </c>
      <c r="J104" s="3">
        <f>IF(E104="Cold",1,0)</f>
        <v>0</v>
      </c>
      <c r="K104" s="3">
        <f>IF(E104="Hot",1,0)</f>
        <v>0</v>
      </c>
      <c r="L104" s="3">
        <v>1144</v>
      </c>
      <c r="M104" s="3">
        <v>71</v>
      </c>
      <c r="N104" s="4">
        <v>45096</v>
      </c>
      <c r="O104" s="10">
        <v>345226.64299999998</v>
      </c>
    </row>
    <row r="105" spans="1:15" x14ac:dyDescent="0.3">
      <c r="A105" s="2">
        <v>103</v>
      </c>
      <c r="B105" s="3" t="s">
        <v>28</v>
      </c>
      <c r="C105" s="3" t="s">
        <v>112</v>
      </c>
      <c r="D105" s="3" t="s">
        <v>14</v>
      </c>
      <c r="E105" s="3" t="s">
        <v>21</v>
      </c>
      <c r="F105" s="3">
        <f t="shared" si="1"/>
        <v>0</v>
      </c>
      <c r="G105" s="3">
        <v>662</v>
      </c>
      <c r="H105" s="3">
        <v>6</v>
      </c>
      <c r="I105" s="3">
        <v>84034</v>
      </c>
      <c r="J105" s="3">
        <f>IF(E105="Cold",1,0)</f>
        <v>0</v>
      </c>
      <c r="K105" s="3">
        <f>IF(E105="Hot",1,0)</f>
        <v>1</v>
      </c>
      <c r="L105" s="3">
        <v>1525</v>
      </c>
      <c r="M105" s="3">
        <v>34</v>
      </c>
      <c r="N105" s="4">
        <v>45403</v>
      </c>
      <c r="O105" s="10">
        <v>296838.54690000002</v>
      </c>
    </row>
    <row r="106" spans="1:15" x14ac:dyDescent="0.3">
      <c r="A106" s="2">
        <v>104</v>
      </c>
      <c r="B106" s="3" t="s">
        <v>74</v>
      </c>
      <c r="C106" s="3" t="s">
        <v>113</v>
      </c>
      <c r="D106" s="3" t="s">
        <v>14</v>
      </c>
      <c r="E106" s="3" t="s">
        <v>23</v>
      </c>
      <c r="F106" s="3">
        <f t="shared" si="1"/>
        <v>0</v>
      </c>
      <c r="G106" s="3">
        <v>12447</v>
      </c>
      <c r="H106" s="3">
        <v>6</v>
      </c>
      <c r="I106" s="3">
        <v>70869</v>
      </c>
      <c r="J106" s="3">
        <f>IF(E106="Cold",1,0)</f>
        <v>0</v>
      </c>
      <c r="K106" s="3">
        <f>IF(E106="Hot",1,0)</f>
        <v>0</v>
      </c>
      <c r="L106" s="3">
        <v>1328</v>
      </c>
      <c r="M106" s="3">
        <v>94</v>
      </c>
      <c r="N106" s="4">
        <v>44395</v>
      </c>
      <c r="O106" s="10">
        <v>348011.43939999997</v>
      </c>
    </row>
    <row r="107" spans="1:15" x14ac:dyDescent="0.3">
      <c r="A107" s="2">
        <v>105</v>
      </c>
      <c r="B107" s="3" t="s">
        <v>29</v>
      </c>
      <c r="C107" s="3" t="s">
        <v>107</v>
      </c>
      <c r="D107" s="3" t="s">
        <v>18</v>
      </c>
      <c r="E107" s="3" t="s">
        <v>15</v>
      </c>
      <c r="F107" s="3">
        <f t="shared" si="1"/>
        <v>1</v>
      </c>
      <c r="G107" s="3">
        <v>2809</v>
      </c>
      <c r="H107" s="3">
        <v>9</v>
      </c>
      <c r="I107" s="3">
        <v>92892</v>
      </c>
      <c r="J107" s="3">
        <f>IF(E107="Cold",1,0)</f>
        <v>1</v>
      </c>
      <c r="K107" s="3">
        <f>IF(E107="Hot",1,0)</f>
        <v>0</v>
      </c>
      <c r="L107" s="3">
        <v>1909</v>
      </c>
      <c r="M107" s="3">
        <v>49</v>
      </c>
      <c r="N107" s="4">
        <v>44954</v>
      </c>
      <c r="O107" s="10">
        <v>359850.77069999999</v>
      </c>
    </row>
    <row r="108" spans="1:15" x14ac:dyDescent="0.3">
      <c r="A108" s="2">
        <v>106</v>
      </c>
      <c r="B108" s="3" t="s">
        <v>37</v>
      </c>
      <c r="C108" s="3" t="s">
        <v>114</v>
      </c>
      <c r="D108" s="3" t="s">
        <v>18</v>
      </c>
      <c r="E108" s="3" t="s">
        <v>21</v>
      </c>
      <c r="F108" s="3">
        <f t="shared" si="1"/>
        <v>1</v>
      </c>
      <c r="G108" s="3">
        <v>638</v>
      </c>
      <c r="H108" s="3">
        <v>3</v>
      </c>
      <c r="I108" s="3">
        <v>52434</v>
      </c>
      <c r="J108" s="3">
        <f>IF(E108="Cold",1,0)</f>
        <v>0</v>
      </c>
      <c r="K108" s="3">
        <f>IF(E108="Hot",1,0)</f>
        <v>1</v>
      </c>
      <c r="L108" s="3">
        <v>2611</v>
      </c>
      <c r="M108" s="3">
        <v>44</v>
      </c>
      <c r="N108" s="4">
        <v>44718</v>
      </c>
      <c r="O108" s="10">
        <v>380127.4118</v>
      </c>
    </row>
    <row r="109" spans="1:15" x14ac:dyDescent="0.3">
      <c r="A109" s="2">
        <v>107</v>
      </c>
      <c r="B109" s="3" t="s">
        <v>53</v>
      </c>
      <c r="C109" s="3" t="s">
        <v>54</v>
      </c>
      <c r="D109" s="3" t="s">
        <v>18</v>
      </c>
      <c r="E109" s="3" t="s">
        <v>15</v>
      </c>
      <c r="F109" s="3">
        <f t="shared" si="1"/>
        <v>1</v>
      </c>
      <c r="G109" s="3">
        <v>15707</v>
      </c>
      <c r="H109" s="3">
        <v>8</v>
      </c>
      <c r="I109" s="3">
        <v>95545</v>
      </c>
      <c r="J109" s="3">
        <f>IF(E109="Cold",1,0)</f>
        <v>1</v>
      </c>
      <c r="K109" s="3">
        <f>IF(E109="Hot",1,0)</f>
        <v>0</v>
      </c>
      <c r="L109" s="3">
        <v>2828</v>
      </c>
      <c r="M109" s="3">
        <v>31</v>
      </c>
      <c r="N109" s="4">
        <v>44599</v>
      </c>
      <c r="O109" s="10">
        <v>372586.28200000001</v>
      </c>
    </row>
    <row r="110" spans="1:15" x14ac:dyDescent="0.3">
      <c r="A110" s="2">
        <v>108</v>
      </c>
      <c r="B110" s="3" t="s">
        <v>28</v>
      </c>
      <c r="C110" s="3" t="s">
        <v>115</v>
      </c>
      <c r="D110" s="3" t="s">
        <v>18</v>
      </c>
      <c r="E110" s="3" t="s">
        <v>21</v>
      </c>
      <c r="F110" s="3">
        <f t="shared" si="1"/>
        <v>1</v>
      </c>
      <c r="G110" s="3">
        <v>11228</v>
      </c>
      <c r="H110" s="3">
        <v>2</v>
      </c>
      <c r="I110" s="3">
        <v>63337</v>
      </c>
      <c r="J110" s="3">
        <f>IF(E110="Cold",1,0)</f>
        <v>0</v>
      </c>
      <c r="K110" s="3">
        <f>IF(E110="Hot",1,0)</f>
        <v>1</v>
      </c>
      <c r="L110" s="3">
        <v>1997</v>
      </c>
      <c r="M110" s="3">
        <v>77</v>
      </c>
      <c r="N110" s="4">
        <v>45080</v>
      </c>
      <c r="O110" s="10">
        <v>390304.65059999999</v>
      </c>
    </row>
    <row r="111" spans="1:15" x14ac:dyDescent="0.3">
      <c r="A111" s="2">
        <v>109</v>
      </c>
      <c r="B111" s="3" t="s">
        <v>57</v>
      </c>
      <c r="C111" s="3" t="s">
        <v>116</v>
      </c>
      <c r="D111" s="3" t="s">
        <v>14</v>
      </c>
      <c r="E111" s="3" t="s">
        <v>15</v>
      </c>
      <c r="F111" s="3">
        <f t="shared" si="1"/>
        <v>0</v>
      </c>
      <c r="G111" s="3">
        <v>25744</v>
      </c>
      <c r="H111" s="3">
        <v>1</v>
      </c>
      <c r="I111" s="3">
        <v>91526</v>
      </c>
      <c r="J111" s="3">
        <f>IF(E111="Cold",1,0)</f>
        <v>1</v>
      </c>
      <c r="K111" s="3">
        <f>IF(E111="Hot",1,0)</f>
        <v>0</v>
      </c>
      <c r="L111" s="3">
        <v>1575</v>
      </c>
      <c r="M111" s="3">
        <v>48</v>
      </c>
      <c r="N111" s="4">
        <v>44494</v>
      </c>
      <c r="O111" s="10">
        <v>315920.47379999998</v>
      </c>
    </row>
    <row r="112" spans="1:15" x14ac:dyDescent="0.3">
      <c r="A112" s="2">
        <v>110</v>
      </c>
      <c r="B112" s="3" t="s">
        <v>108</v>
      </c>
      <c r="C112" s="3" t="s">
        <v>117</v>
      </c>
      <c r="D112" s="3" t="s">
        <v>14</v>
      </c>
      <c r="E112" s="3" t="s">
        <v>21</v>
      </c>
      <c r="F112" s="3">
        <f t="shared" si="1"/>
        <v>0</v>
      </c>
      <c r="G112" s="3">
        <v>29281</v>
      </c>
      <c r="H112" s="3">
        <v>6</v>
      </c>
      <c r="I112" s="3">
        <v>90787</v>
      </c>
      <c r="J112" s="3">
        <f>IF(E112="Cold",1,0)</f>
        <v>0</v>
      </c>
      <c r="K112" s="3">
        <f>IF(E112="Hot",1,0)</f>
        <v>1</v>
      </c>
      <c r="L112" s="3">
        <v>1869</v>
      </c>
      <c r="M112" s="3">
        <v>62</v>
      </c>
      <c r="N112" s="4">
        <v>44716</v>
      </c>
      <c r="O112" s="10">
        <v>344871.73719999997</v>
      </c>
    </row>
    <row r="113" spans="1:15" x14ac:dyDescent="0.3">
      <c r="A113" s="2">
        <v>111</v>
      </c>
      <c r="B113" s="3" t="s">
        <v>37</v>
      </c>
      <c r="C113" s="3" t="s">
        <v>118</v>
      </c>
      <c r="D113" s="3" t="s">
        <v>18</v>
      </c>
      <c r="E113" s="3" t="s">
        <v>15</v>
      </c>
      <c r="F113" s="3">
        <f t="shared" si="1"/>
        <v>1</v>
      </c>
      <c r="G113" s="3">
        <v>22239</v>
      </c>
      <c r="H113" s="3">
        <v>9</v>
      </c>
      <c r="I113" s="3">
        <v>80996</v>
      </c>
      <c r="J113" s="3">
        <f>IF(E113="Cold",1,0)</f>
        <v>1</v>
      </c>
      <c r="K113" s="3">
        <f>IF(E113="Hot",1,0)</f>
        <v>0</v>
      </c>
      <c r="L113" s="3">
        <v>2947</v>
      </c>
      <c r="M113" s="3">
        <v>46</v>
      </c>
      <c r="N113" s="4">
        <v>44647</v>
      </c>
      <c r="O113" s="10">
        <v>366836.19689999998</v>
      </c>
    </row>
    <row r="114" spans="1:15" x14ac:dyDescent="0.3">
      <c r="A114" s="2">
        <v>112</v>
      </c>
      <c r="B114" s="3" t="s">
        <v>35</v>
      </c>
      <c r="C114" s="3" t="s">
        <v>119</v>
      </c>
      <c r="D114" s="3" t="s">
        <v>14</v>
      </c>
      <c r="E114" s="3" t="s">
        <v>21</v>
      </c>
      <c r="F114" s="3">
        <f t="shared" si="1"/>
        <v>0</v>
      </c>
      <c r="G114" s="3">
        <v>20442</v>
      </c>
      <c r="H114" s="3">
        <v>6</v>
      </c>
      <c r="I114" s="3">
        <v>95616</v>
      </c>
      <c r="J114" s="3">
        <f>IF(E114="Cold",1,0)</f>
        <v>0</v>
      </c>
      <c r="K114" s="3">
        <f>IF(E114="Hot",1,0)</f>
        <v>1</v>
      </c>
      <c r="L114" s="3">
        <v>1216</v>
      </c>
      <c r="M114" s="3">
        <v>55</v>
      </c>
      <c r="N114" s="4">
        <v>44035</v>
      </c>
      <c r="O114" s="10">
        <v>339900.92369999998</v>
      </c>
    </row>
    <row r="115" spans="1:15" x14ac:dyDescent="0.3">
      <c r="A115" s="2">
        <v>113</v>
      </c>
      <c r="B115" s="3" t="s">
        <v>74</v>
      </c>
      <c r="C115" s="3" t="s">
        <v>120</v>
      </c>
      <c r="D115" s="3" t="s">
        <v>18</v>
      </c>
      <c r="E115" s="3" t="s">
        <v>15</v>
      </c>
      <c r="F115" s="3">
        <f t="shared" si="1"/>
        <v>1</v>
      </c>
      <c r="G115" s="3">
        <v>2229</v>
      </c>
      <c r="H115" s="3">
        <v>4</v>
      </c>
      <c r="I115" s="3">
        <v>62224</v>
      </c>
      <c r="J115" s="3">
        <f>IF(E115="Cold",1,0)</f>
        <v>1</v>
      </c>
      <c r="K115" s="3">
        <f>IF(E115="Hot",1,0)</f>
        <v>0</v>
      </c>
      <c r="L115" s="3">
        <v>1731</v>
      </c>
      <c r="M115" s="3">
        <v>23</v>
      </c>
      <c r="N115" s="4">
        <v>44831</v>
      </c>
      <c r="O115" s="10">
        <v>339382.8529</v>
      </c>
    </row>
    <row r="116" spans="1:15" x14ac:dyDescent="0.3">
      <c r="A116" s="2">
        <v>114</v>
      </c>
      <c r="B116" s="3" t="s">
        <v>28</v>
      </c>
      <c r="C116" s="3" t="s">
        <v>115</v>
      </c>
      <c r="D116" s="3" t="s">
        <v>14</v>
      </c>
      <c r="E116" s="3" t="s">
        <v>23</v>
      </c>
      <c r="F116" s="3">
        <f t="shared" si="1"/>
        <v>0</v>
      </c>
      <c r="G116" s="3">
        <v>25724</v>
      </c>
      <c r="H116" s="3">
        <v>2</v>
      </c>
      <c r="I116" s="3">
        <v>81188</v>
      </c>
      <c r="J116" s="3">
        <f>IF(E116="Cold",1,0)</f>
        <v>0</v>
      </c>
      <c r="K116" s="3">
        <f>IF(E116="Hot",1,0)</f>
        <v>0</v>
      </c>
      <c r="L116" s="3">
        <v>1903</v>
      </c>
      <c r="M116" s="3">
        <v>47</v>
      </c>
      <c r="N116" s="4">
        <v>44699</v>
      </c>
      <c r="O116" s="10">
        <v>339360.6581</v>
      </c>
    </row>
    <row r="117" spans="1:15" x14ac:dyDescent="0.3">
      <c r="A117" s="2">
        <v>115</v>
      </c>
      <c r="B117" s="3" t="s">
        <v>16</v>
      </c>
      <c r="C117" s="3" t="s">
        <v>17</v>
      </c>
      <c r="D117" s="3" t="s">
        <v>14</v>
      </c>
      <c r="E117" s="3" t="s">
        <v>21</v>
      </c>
      <c r="F117" s="3">
        <f t="shared" si="1"/>
        <v>0</v>
      </c>
      <c r="G117" s="3">
        <v>4483</v>
      </c>
      <c r="H117" s="3">
        <v>9</v>
      </c>
      <c r="I117" s="3">
        <v>97839</v>
      </c>
      <c r="J117" s="3">
        <f>IF(E117="Cold",1,0)</f>
        <v>0</v>
      </c>
      <c r="K117" s="3">
        <f>IF(E117="Hot",1,0)</f>
        <v>1</v>
      </c>
      <c r="L117" s="3">
        <v>1874</v>
      </c>
      <c r="M117" s="3">
        <v>66</v>
      </c>
      <c r="N117" s="4">
        <v>44185</v>
      </c>
      <c r="O117" s="10">
        <v>308243.55040000001</v>
      </c>
    </row>
    <row r="118" spans="1:15" x14ac:dyDescent="0.3">
      <c r="A118" s="2">
        <v>116</v>
      </c>
      <c r="B118" s="3" t="s">
        <v>55</v>
      </c>
      <c r="C118" s="3" t="s">
        <v>105</v>
      </c>
      <c r="D118" s="3" t="s">
        <v>18</v>
      </c>
      <c r="E118" s="3" t="s">
        <v>21</v>
      </c>
      <c r="F118" s="3">
        <f t="shared" si="1"/>
        <v>1</v>
      </c>
      <c r="G118" s="3">
        <v>17656</v>
      </c>
      <c r="H118" s="3">
        <v>4</v>
      </c>
      <c r="I118" s="3">
        <v>90955</v>
      </c>
      <c r="J118" s="3">
        <f>IF(E118="Cold",1,0)</f>
        <v>0</v>
      </c>
      <c r="K118" s="3">
        <f>IF(E118="Hot",1,0)</f>
        <v>1</v>
      </c>
      <c r="L118" s="3">
        <v>1782</v>
      </c>
      <c r="M118" s="3">
        <v>90</v>
      </c>
      <c r="N118" s="4">
        <v>45357</v>
      </c>
      <c r="O118" s="10">
        <v>380564.3039</v>
      </c>
    </row>
    <row r="119" spans="1:15" x14ac:dyDescent="0.3">
      <c r="A119" s="2">
        <v>117</v>
      </c>
      <c r="B119" s="3" t="s">
        <v>40</v>
      </c>
      <c r="C119" s="3" t="s">
        <v>121</v>
      </c>
      <c r="D119" s="3" t="s">
        <v>18</v>
      </c>
      <c r="E119" s="3" t="s">
        <v>15</v>
      </c>
      <c r="F119" s="3">
        <f t="shared" si="1"/>
        <v>1</v>
      </c>
      <c r="G119" s="3">
        <v>15272</v>
      </c>
      <c r="H119" s="3">
        <v>9</v>
      </c>
      <c r="I119" s="3">
        <v>65646</v>
      </c>
      <c r="J119" s="3">
        <f>IF(E119="Cold",1,0)</f>
        <v>1</v>
      </c>
      <c r="K119" s="3">
        <f>IF(E119="Hot",1,0)</f>
        <v>0</v>
      </c>
      <c r="L119" s="3">
        <v>2877</v>
      </c>
      <c r="M119" s="3">
        <v>81</v>
      </c>
      <c r="N119" s="4">
        <v>44612</v>
      </c>
      <c r="O119" s="10">
        <v>377668.47779999999</v>
      </c>
    </row>
    <row r="120" spans="1:15" x14ac:dyDescent="0.3">
      <c r="A120" s="2">
        <v>118</v>
      </c>
      <c r="B120" s="3" t="s">
        <v>122</v>
      </c>
      <c r="C120" s="3" t="s">
        <v>123</v>
      </c>
      <c r="D120" s="3" t="s">
        <v>14</v>
      </c>
      <c r="E120" s="3" t="s">
        <v>15</v>
      </c>
      <c r="F120" s="3">
        <f t="shared" si="1"/>
        <v>0</v>
      </c>
      <c r="G120" s="3">
        <v>8816</v>
      </c>
      <c r="H120" s="3">
        <v>7</v>
      </c>
      <c r="I120" s="3">
        <v>79748</v>
      </c>
      <c r="J120" s="3">
        <f>IF(E120="Cold",1,0)</f>
        <v>1</v>
      </c>
      <c r="K120" s="3">
        <f>IF(E120="Hot",1,0)</f>
        <v>0</v>
      </c>
      <c r="L120" s="3">
        <v>1141</v>
      </c>
      <c r="M120" s="3">
        <v>61</v>
      </c>
      <c r="N120" s="4">
        <v>45003</v>
      </c>
      <c r="O120" s="10">
        <v>306407.27309999999</v>
      </c>
    </row>
    <row r="121" spans="1:15" x14ac:dyDescent="0.3">
      <c r="A121" s="2">
        <v>119</v>
      </c>
      <c r="B121" s="3" t="s">
        <v>24</v>
      </c>
      <c r="C121" s="3" t="s">
        <v>100</v>
      </c>
      <c r="D121" s="3" t="s">
        <v>14</v>
      </c>
      <c r="E121" s="3" t="s">
        <v>21</v>
      </c>
      <c r="F121" s="3">
        <f t="shared" si="1"/>
        <v>0</v>
      </c>
      <c r="G121" s="3">
        <v>9290</v>
      </c>
      <c r="H121" s="3">
        <v>2</v>
      </c>
      <c r="I121" s="3">
        <v>53131</v>
      </c>
      <c r="J121" s="3">
        <f>IF(E121="Cold",1,0)</f>
        <v>0</v>
      </c>
      <c r="K121" s="3">
        <f>IF(E121="Hot",1,0)</f>
        <v>1</v>
      </c>
      <c r="L121" s="3">
        <v>2356</v>
      </c>
      <c r="M121" s="3">
        <v>50</v>
      </c>
      <c r="N121" s="4">
        <v>44183</v>
      </c>
      <c r="O121" s="10">
        <v>337208.96010000003</v>
      </c>
    </row>
    <row r="122" spans="1:15" x14ac:dyDescent="0.3">
      <c r="A122" s="2">
        <v>120</v>
      </c>
      <c r="B122" s="3" t="s">
        <v>24</v>
      </c>
      <c r="C122" s="3" t="s">
        <v>124</v>
      </c>
      <c r="D122" s="3" t="s">
        <v>18</v>
      </c>
      <c r="E122" s="3" t="s">
        <v>15</v>
      </c>
      <c r="F122" s="3">
        <f t="shared" si="1"/>
        <v>1</v>
      </c>
      <c r="G122" s="3">
        <v>20523</v>
      </c>
      <c r="H122" s="3">
        <v>6</v>
      </c>
      <c r="I122" s="3">
        <v>80470</v>
      </c>
      <c r="J122" s="3">
        <f>IF(E122="Cold",1,0)</f>
        <v>1</v>
      </c>
      <c r="K122" s="3">
        <f>IF(E122="Hot",1,0)</f>
        <v>0</v>
      </c>
      <c r="L122" s="3">
        <v>1221</v>
      </c>
      <c r="M122" s="3">
        <v>80</v>
      </c>
      <c r="N122" s="4">
        <v>45482</v>
      </c>
      <c r="O122" s="10">
        <v>353024.41350000002</v>
      </c>
    </row>
    <row r="123" spans="1:15" x14ac:dyDescent="0.3">
      <c r="A123" s="2">
        <v>121</v>
      </c>
      <c r="B123" s="3" t="s">
        <v>55</v>
      </c>
      <c r="C123" s="3" t="s">
        <v>56</v>
      </c>
      <c r="D123" s="3" t="s">
        <v>18</v>
      </c>
      <c r="E123" s="3" t="s">
        <v>21</v>
      </c>
      <c r="F123" s="3">
        <f t="shared" si="1"/>
        <v>1</v>
      </c>
      <c r="G123" s="3">
        <v>18358</v>
      </c>
      <c r="H123" s="3">
        <v>8</v>
      </c>
      <c r="I123" s="3">
        <v>76390</v>
      </c>
      <c r="J123" s="3">
        <f>IF(E123="Cold",1,0)</f>
        <v>0</v>
      </c>
      <c r="K123" s="3">
        <f>IF(E123="Hot",1,0)</f>
        <v>1</v>
      </c>
      <c r="L123" s="3">
        <v>1410</v>
      </c>
      <c r="M123" s="3">
        <v>57</v>
      </c>
      <c r="N123" s="4">
        <v>45449</v>
      </c>
      <c r="O123" s="10">
        <v>385068.58069999999</v>
      </c>
    </row>
    <row r="124" spans="1:15" x14ac:dyDescent="0.3">
      <c r="A124" s="2">
        <v>122</v>
      </c>
      <c r="B124" s="3" t="s">
        <v>31</v>
      </c>
      <c r="C124" s="3" t="s">
        <v>125</v>
      </c>
      <c r="D124" s="3" t="s">
        <v>14</v>
      </c>
      <c r="E124" s="3" t="s">
        <v>21</v>
      </c>
      <c r="F124" s="3">
        <f t="shared" si="1"/>
        <v>0</v>
      </c>
      <c r="G124" s="3">
        <v>2295</v>
      </c>
      <c r="H124" s="3">
        <v>2</v>
      </c>
      <c r="I124" s="3">
        <v>77397</v>
      </c>
      <c r="J124" s="3">
        <f>IF(E124="Cold",1,0)</f>
        <v>0</v>
      </c>
      <c r="K124" s="3">
        <f>IF(E124="Hot",1,0)</f>
        <v>1</v>
      </c>
      <c r="L124" s="3">
        <v>1291</v>
      </c>
      <c r="M124" s="3">
        <v>24</v>
      </c>
      <c r="N124" s="4">
        <v>44507</v>
      </c>
      <c r="O124" s="10">
        <v>296183.74209999997</v>
      </c>
    </row>
    <row r="125" spans="1:15" x14ac:dyDescent="0.3">
      <c r="A125" s="2">
        <v>123</v>
      </c>
      <c r="B125" s="3" t="s">
        <v>24</v>
      </c>
      <c r="C125" s="3" t="s">
        <v>124</v>
      </c>
      <c r="D125" s="3" t="s">
        <v>14</v>
      </c>
      <c r="E125" s="3" t="s">
        <v>15</v>
      </c>
      <c r="F125" s="3">
        <f t="shared" si="1"/>
        <v>0</v>
      </c>
      <c r="G125" s="3">
        <v>15664</v>
      </c>
      <c r="H125" s="3">
        <v>0</v>
      </c>
      <c r="I125" s="3">
        <v>96987</v>
      </c>
      <c r="J125" s="3">
        <f>IF(E125="Cold",1,0)</f>
        <v>1</v>
      </c>
      <c r="K125" s="3">
        <f>IF(E125="Hot",1,0)</f>
        <v>0</v>
      </c>
      <c r="L125" s="3">
        <v>2812</v>
      </c>
      <c r="M125" s="3">
        <v>61</v>
      </c>
      <c r="N125" s="4">
        <v>44839</v>
      </c>
      <c r="O125" s="10">
        <v>343702.45750000002</v>
      </c>
    </row>
    <row r="126" spans="1:15" x14ac:dyDescent="0.3">
      <c r="A126" s="2">
        <v>124</v>
      </c>
      <c r="B126" s="3" t="s">
        <v>33</v>
      </c>
      <c r="C126" s="3" t="s">
        <v>79</v>
      </c>
      <c r="D126" s="3" t="s">
        <v>14</v>
      </c>
      <c r="E126" s="3" t="s">
        <v>15</v>
      </c>
      <c r="F126" s="3">
        <f t="shared" si="1"/>
        <v>0</v>
      </c>
      <c r="G126" s="3">
        <v>26246</v>
      </c>
      <c r="H126" s="3">
        <v>6</v>
      </c>
      <c r="I126" s="3">
        <v>94406</v>
      </c>
      <c r="J126" s="3">
        <f>IF(E126="Cold",1,0)</f>
        <v>1</v>
      </c>
      <c r="K126" s="3">
        <f>IF(E126="Hot",1,0)</f>
        <v>0</v>
      </c>
      <c r="L126" s="3">
        <v>1524</v>
      </c>
      <c r="M126" s="3">
        <v>25</v>
      </c>
      <c r="N126" s="4">
        <v>44508</v>
      </c>
      <c r="O126" s="10">
        <v>311546.76559999998</v>
      </c>
    </row>
    <row r="127" spans="1:15" x14ac:dyDescent="0.3">
      <c r="A127" s="2">
        <v>125</v>
      </c>
      <c r="B127" s="3" t="s">
        <v>12</v>
      </c>
      <c r="C127" s="3" t="s">
        <v>126</v>
      </c>
      <c r="D127" s="3" t="s">
        <v>14</v>
      </c>
      <c r="E127" s="3" t="s">
        <v>21</v>
      </c>
      <c r="F127" s="3">
        <f t="shared" si="1"/>
        <v>0</v>
      </c>
      <c r="G127" s="3">
        <v>14453</v>
      </c>
      <c r="H127" s="3">
        <v>9</v>
      </c>
      <c r="I127" s="3">
        <v>51064</v>
      </c>
      <c r="J127" s="3">
        <f>IF(E127="Cold",1,0)</f>
        <v>0</v>
      </c>
      <c r="K127" s="3">
        <f>IF(E127="Hot",1,0)</f>
        <v>1</v>
      </c>
      <c r="L127" s="3">
        <v>2274</v>
      </c>
      <c r="M127" s="3">
        <v>36</v>
      </c>
      <c r="N127" s="4">
        <v>44546</v>
      </c>
      <c r="O127" s="10">
        <v>327420.47499999998</v>
      </c>
    </row>
    <row r="128" spans="1:15" x14ac:dyDescent="0.3">
      <c r="A128" s="2">
        <v>126</v>
      </c>
      <c r="B128" s="3" t="s">
        <v>12</v>
      </c>
      <c r="C128" s="3" t="s">
        <v>126</v>
      </c>
      <c r="D128" s="3" t="s">
        <v>14</v>
      </c>
      <c r="E128" s="3" t="s">
        <v>21</v>
      </c>
      <c r="F128" s="3">
        <f t="shared" si="1"/>
        <v>0</v>
      </c>
      <c r="G128" s="3">
        <v>13182</v>
      </c>
      <c r="H128" s="3">
        <v>8</v>
      </c>
      <c r="I128" s="3">
        <v>99457</v>
      </c>
      <c r="J128" s="3">
        <f>IF(E128="Cold",1,0)</f>
        <v>0</v>
      </c>
      <c r="K128" s="3">
        <f>IF(E128="Hot",1,0)</f>
        <v>1</v>
      </c>
      <c r="L128" s="3">
        <v>1486</v>
      </c>
      <c r="M128" s="3">
        <v>55</v>
      </c>
      <c r="N128" s="4">
        <v>44288</v>
      </c>
      <c r="O128" s="10">
        <v>318369.33419999998</v>
      </c>
    </row>
    <row r="129" spans="1:15" x14ac:dyDescent="0.3">
      <c r="A129" s="2">
        <v>127</v>
      </c>
      <c r="B129" s="3" t="s">
        <v>37</v>
      </c>
      <c r="C129" s="3" t="s">
        <v>127</v>
      </c>
      <c r="D129" s="3" t="s">
        <v>18</v>
      </c>
      <c r="E129" s="3" t="s">
        <v>23</v>
      </c>
      <c r="F129" s="3">
        <f t="shared" si="1"/>
        <v>1</v>
      </c>
      <c r="G129" s="3">
        <v>22230</v>
      </c>
      <c r="H129" s="3">
        <v>3</v>
      </c>
      <c r="I129" s="3">
        <v>79004</v>
      </c>
      <c r="J129" s="3">
        <f>IF(E129="Cold",1,0)</f>
        <v>0</v>
      </c>
      <c r="K129" s="3">
        <f>IF(E129="Hot",1,0)</f>
        <v>0</v>
      </c>
      <c r="L129" s="3">
        <v>2778</v>
      </c>
      <c r="M129" s="3">
        <v>45</v>
      </c>
      <c r="N129" s="4">
        <v>45120</v>
      </c>
      <c r="O129" s="10">
        <v>399177.58299999998</v>
      </c>
    </row>
    <row r="130" spans="1:15" x14ac:dyDescent="0.3">
      <c r="A130" s="2">
        <v>128</v>
      </c>
      <c r="B130" s="3" t="s">
        <v>37</v>
      </c>
      <c r="C130" s="3" t="s">
        <v>128</v>
      </c>
      <c r="D130" s="3" t="s">
        <v>18</v>
      </c>
      <c r="E130" s="3" t="s">
        <v>23</v>
      </c>
      <c r="F130" s="3">
        <f t="shared" si="1"/>
        <v>1</v>
      </c>
      <c r="G130" s="3">
        <v>11298</v>
      </c>
      <c r="H130" s="3">
        <v>7</v>
      </c>
      <c r="I130" s="3">
        <v>87085</v>
      </c>
      <c r="J130" s="3">
        <f>IF(E130="Cold",1,0)</f>
        <v>0</v>
      </c>
      <c r="K130" s="3">
        <f>IF(E130="Hot",1,0)</f>
        <v>0</v>
      </c>
      <c r="L130" s="3">
        <v>1093</v>
      </c>
      <c r="M130" s="3">
        <v>59</v>
      </c>
      <c r="N130" s="4">
        <v>44931</v>
      </c>
      <c r="O130" s="10">
        <v>370720.71850000002</v>
      </c>
    </row>
    <row r="131" spans="1:15" x14ac:dyDescent="0.3">
      <c r="A131" s="2">
        <v>129</v>
      </c>
      <c r="B131" s="3" t="s">
        <v>19</v>
      </c>
      <c r="C131" s="3" t="s">
        <v>129</v>
      </c>
      <c r="D131" s="3" t="s">
        <v>14</v>
      </c>
      <c r="E131" s="3" t="s">
        <v>21</v>
      </c>
      <c r="F131" s="3">
        <f t="shared" ref="F131:F194" si="2">IF(D131=$F$1,1,0)</f>
        <v>0</v>
      </c>
      <c r="G131" s="3">
        <v>2565</v>
      </c>
      <c r="H131" s="3">
        <v>8</v>
      </c>
      <c r="I131" s="3">
        <v>80597</v>
      </c>
      <c r="J131" s="3">
        <f>IF(E131="Cold",1,0)</f>
        <v>0</v>
      </c>
      <c r="K131" s="3">
        <f>IF(E131="Hot",1,0)</f>
        <v>1</v>
      </c>
      <c r="L131" s="3">
        <v>1097</v>
      </c>
      <c r="M131" s="3">
        <v>78</v>
      </c>
      <c r="N131" s="4">
        <v>44209</v>
      </c>
      <c r="O131" s="10">
        <v>334262.20480000001</v>
      </c>
    </row>
    <row r="132" spans="1:15" x14ac:dyDescent="0.3">
      <c r="A132" s="2">
        <v>130</v>
      </c>
      <c r="B132" s="3" t="s">
        <v>74</v>
      </c>
      <c r="C132" s="3" t="s">
        <v>89</v>
      </c>
      <c r="D132" s="3" t="s">
        <v>18</v>
      </c>
      <c r="E132" s="3" t="s">
        <v>15</v>
      </c>
      <c r="F132" s="3">
        <f t="shared" si="2"/>
        <v>1</v>
      </c>
      <c r="G132" s="3">
        <v>26914</v>
      </c>
      <c r="H132" s="3">
        <v>0</v>
      </c>
      <c r="I132" s="3">
        <v>73258</v>
      </c>
      <c r="J132" s="3">
        <f>IF(E132="Cold",1,0)</f>
        <v>1</v>
      </c>
      <c r="K132" s="3">
        <f>IF(E132="Hot",1,0)</f>
        <v>0</v>
      </c>
      <c r="L132" s="3">
        <v>2149</v>
      </c>
      <c r="M132" s="3">
        <v>27</v>
      </c>
      <c r="N132" s="4">
        <v>44703</v>
      </c>
      <c r="O132" s="10">
        <v>353674.98810000002</v>
      </c>
    </row>
    <row r="133" spans="1:15" x14ac:dyDescent="0.3">
      <c r="A133" s="2">
        <v>131</v>
      </c>
      <c r="B133" s="3" t="s">
        <v>19</v>
      </c>
      <c r="C133" s="3" t="s">
        <v>130</v>
      </c>
      <c r="D133" s="3" t="s">
        <v>18</v>
      </c>
      <c r="E133" s="3" t="s">
        <v>23</v>
      </c>
      <c r="F133" s="3">
        <f t="shared" si="2"/>
        <v>1</v>
      </c>
      <c r="G133" s="3">
        <v>13484</v>
      </c>
      <c r="H133" s="3">
        <v>6</v>
      </c>
      <c r="I133" s="3">
        <v>99853</v>
      </c>
      <c r="J133" s="3">
        <f>IF(E133="Cold",1,0)</f>
        <v>0</v>
      </c>
      <c r="K133" s="3">
        <f>IF(E133="Hot",1,0)</f>
        <v>0</v>
      </c>
      <c r="L133" s="3">
        <v>2123</v>
      </c>
      <c r="M133" s="3">
        <v>47</v>
      </c>
      <c r="N133" s="4">
        <v>44062</v>
      </c>
      <c r="O133" s="10">
        <v>369935.47240000003</v>
      </c>
    </row>
    <row r="134" spans="1:15" x14ac:dyDescent="0.3">
      <c r="A134" s="2">
        <v>132</v>
      </c>
      <c r="B134" s="3" t="s">
        <v>53</v>
      </c>
      <c r="C134" s="3" t="s">
        <v>131</v>
      </c>
      <c r="D134" s="3" t="s">
        <v>18</v>
      </c>
      <c r="E134" s="3" t="s">
        <v>21</v>
      </c>
      <c r="F134" s="3">
        <f t="shared" si="2"/>
        <v>1</v>
      </c>
      <c r="G134" s="3">
        <v>10315</v>
      </c>
      <c r="H134" s="3">
        <v>3</v>
      </c>
      <c r="I134" s="3">
        <v>81720</v>
      </c>
      <c r="J134" s="3">
        <f>IF(E134="Cold",1,0)</f>
        <v>0</v>
      </c>
      <c r="K134" s="3">
        <f>IF(E134="Hot",1,0)</f>
        <v>1</v>
      </c>
      <c r="L134" s="3">
        <v>1360</v>
      </c>
      <c r="M134" s="3">
        <v>74</v>
      </c>
      <c r="N134" s="4">
        <v>43864</v>
      </c>
      <c r="O134" s="10">
        <v>352760.29519999999</v>
      </c>
    </row>
    <row r="135" spans="1:15" x14ac:dyDescent="0.3">
      <c r="A135" s="2">
        <v>133</v>
      </c>
      <c r="B135" s="3" t="s">
        <v>19</v>
      </c>
      <c r="C135" s="3" t="s">
        <v>60</v>
      </c>
      <c r="D135" s="3" t="s">
        <v>14</v>
      </c>
      <c r="E135" s="3" t="s">
        <v>21</v>
      </c>
      <c r="F135" s="3">
        <f t="shared" si="2"/>
        <v>0</v>
      </c>
      <c r="G135" s="3">
        <v>4005</v>
      </c>
      <c r="H135" s="3">
        <v>9</v>
      </c>
      <c r="I135" s="3">
        <v>52485</v>
      </c>
      <c r="J135" s="3">
        <f>IF(E135="Cold",1,0)</f>
        <v>0</v>
      </c>
      <c r="K135" s="3">
        <f>IF(E135="Hot",1,0)</f>
        <v>1</v>
      </c>
      <c r="L135" s="3">
        <v>1403</v>
      </c>
      <c r="M135" s="3">
        <v>61</v>
      </c>
      <c r="N135" s="4">
        <v>45356</v>
      </c>
      <c r="O135" s="10">
        <v>307974.82799999998</v>
      </c>
    </row>
    <row r="136" spans="1:15" x14ac:dyDescent="0.3">
      <c r="A136" s="2">
        <v>134</v>
      </c>
      <c r="B136" s="3" t="s">
        <v>44</v>
      </c>
      <c r="C136" s="3" t="s">
        <v>82</v>
      </c>
      <c r="D136" s="3" t="s">
        <v>18</v>
      </c>
      <c r="E136" s="3" t="s">
        <v>21</v>
      </c>
      <c r="F136" s="3">
        <f t="shared" si="2"/>
        <v>1</v>
      </c>
      <c r="G136" s="3">
        <v>1574</v>
      </c>
      <c r="H136" s="3">
        <v>8</v>
      </c>
      <c r="I136" s="3">
        <v>83395</v>
      </c>
      <c r="J136" s="3">
        <f>IF(E136="Cold",1,0)</f>
        <v>0</v>
      </c>
      <c r="K136" s="3">
        <f>IF(E136="Hot",1,0)</f>
        <v>1</v>
      </c>
      <c r="L136" s="3">
        <v>1246</v>
      </c>
      <c r="M136" s="3">
        <v>78</v>
      </c>
      <c r="N136" s="4">
        <v>45072</v>
      </c>
      <c r="O136" s="10">
        <v>373838.69030000002</v>
      </c>
    </row>
    <row r="137" spans="1:15" x14ac:dyDescent="0.3">
      <c r="A137" s="2">
        <v>135</v>
      </c>
      <c r="B137" s="3" t="s">
        <v>24</v>
      </c>
      <c r="C137" s="3" t="s">
        <v>124</v>
      </c>
      <c r="D137" s="3" t="s">
        <v>18</v>
      </c>
      <c r="E137" s="3" t="s">
        <v>21</v>
      </c>
      <c r="F137" s="3">
        <f t="shared" si="2"/>
        <v>1</v>
      </c>
      <c r="G137" s="3">
        <v>24657</v>
      </c>
      <c r="H137" s="3">
        <v>6</v>
      </c>
      <c r="I137" s="3">
        <v>93048</v>
      </c>
      <c r="J137" s="3">
        <f>IF(E137="Cold",1,0)</f>
        <v>0</v>
      </c>
      <c r="K137" s="3">
        <f>IF(E137="Hot",1,0)</f>
        <v>1</v>
      </c>
      <c r="L137" s="3">
        <v>2922</v>
      </c>
      <c r="M137" s="3">
        <v>25</v>
      </c>
      <c r="N137" s="4">
        <v>44384</v>
      </c>
      <c r="O137" s="10">
        <v>391162.85149999999</v>
      </c>
    </row>
    <row r="138" spans="1:15" x14ac:dyDescent="0.3">
      <c r="A138" s="2">
        <v>136</v>
      </c>
      <c r="B138" s="3" t="s">
        <v>29</v>
      </c>
      <c r="C138" s="3" t="s">
        <v>132</v>
      </c>
      <c r="D138" s="3" t="s">
        <v>14</v>
      </c>
      <c r="E138" s="3" t="s">
        <v>21</v>
      </c>
      <c r="F138" s="3">
        <f t="shared" si="2"/>
        <v>0</v>
      </c>
      <c r="G138" s="3">
        <v>22615</v>
      </c>
      <c r="H138" s="3">
        <v>4</v>
      </c>
      <c r="I138" s="3">
        <v>79108</v>
      </c>
      <c r="J138" s="3">
        <f>IF(E138="Cold",1,0)</f>
        <v>0</v>
      </c>
      <c r="K138" s="3">
        <f>IF(E138="Hot",1,0)</f>
        <v>1</v>
      </c>
      <c r="L138" s="3">
        <v>2800</v>
      </c>
      <c r="M138" s="3">
        <v>36</v>
      </c>
      <c r="N138" s="4">
        <v>44700</v>
      </c>
      <c r="O138" s="10">
        <v>334784.2096</v>
      </c>
    </row>
    <row r="139" spans="1:15" x14ac:dyDescent="0.3">
      <c r="A139" s="2">
        <v>137</v>
      </c>
      <c r="B139" s="3" t="s">
        <v>122</v>
      </c>
      <c r="C139" s="3" t="s">
        <v>133</v>
      </c>
      <c r="D139" s="3" t="s">
        <v>14</v>
      </c>
      <c r="E139" s="3" t="s">
        <v>21</v>
      </c>
      <c r="F139" s="3">
        <f t="shared" si="2"/>
        <v>0</v>
      </c>
      <c r="G139" s="3">
        <v>3848</v>
      </c>
      <c r="H139" s="3">
        <v>0</v>
      </c>
      <c r="I139" s="3">
        <v>52279</v>
      </c>
      <c r="J139" s="3">
        <f>IF(E139="Cold",1,0)</f>
        <v>0</v>
      </c>
      <c r="K139" s="3">
        <f>IF(E139="Hot",1,0)</f>
        <v>1</v>
      </c>
      <c r="L139" s="3">
        <v>2286</v>
      </c>
      <c r="M139" s="3">
        <v>50</v>
      </c>
      <c r="N139" s="4">
        <v>44624</v>
      </c>
      <c r="O139" s="10">
        <v>322406.24839999998</v>
      </c>
    </row>
    <row r="140" spans="1:15" x14ac:dyDescent="0.3">
      <c r="A140" s="2">
        <v>138</v>
      </c>
      <c r="B140" s="3" t="s">
        <v>24</v>
      </c>
      <c r="C140" s="3" t="s">
        <v>25</v>
      </c>
      <c r="D140" s="3" t="s">
        <v>14</v>
      </c>
      <c r="E140" s="3" t="s">
        <v>21</v>
      </c>
      <c r="F140" s="3">
        <f t="shared" si="2"/>
        <v>0</v>
      </c>
      <c r="G140" s="3">
        <v>15000</v>
      </c>
      <c r="H140" s="3">
        <v>7</v>
      </c>
      <c r="I140" s="3">
        <v>67394</v>
      </c>
      <c r="J140" s="3">
        <f>IF(E140="Cold",1,0)</f>
        <v>0</v>
      </c>
      <c r="K140" s="3">
        <f>IF(E140="Hot",1,0)</f>
        <v>1</v>
      </c>
      <c r="L140" s="3">
        <v>2069</v>
      </c>
      <c r="M140" s="3">
        <v>99</v>
      </c>
      <c r="N140" s="4">
        <v>44434</v>
      </c>
      <c r="O140" s="10">
        <v>357550.76419999998</v>
      </c>
    </row>
    <row r="141" spans="1:15" x14ac:dyDescent="0.3">
      <c r="A141" s="2">
        <v>139</v>
      </c>
      <c r="B141" s="3" t="s">
        <v>19</v>
      </c>
      <c r="C141" s="3" t="s">
        <v>129</v>
      </c>
      <c r="D141" s="3" t="s">
        <v>14</v>
      </c>
      <c r="E141" s="3" t="s">
        <v>23</v>
      </c>
      <c r="F141" s="3">
        <f t="shared" si="2"/>
        <v>0</v>
      </c>
      <c r="G141" s="3">
        <v>24502</v>
      </c>
      <c r="H141" s="3">
        <v>1</v>
      </c>
      <c r="I141" s="3">
        <v>69133</v>
      </c>
      <c r="J141" s="3">
        <f>IF(E141="Cold",1,0)</f>
        <v>0</v>
      </c>
      <c r="K141" s="3">
        <f>IF(E141="Hot",1,0)</f>
        <v>0</v>
      </c>
      <c r="L141" s="3">
        <v>2805</v>
      </c>
      <c r="M141" s="3">
        <v>60</v>
      </c>
      <c r="N141" s="4">
        <v>45310</v>
      </c>
      <c r="O141" s="10">
        <v>347093.64689999999</v>
      </c>
    </row>
    <row r="142" spans="1:15" x14ac:dyDescent="0.3">
      <c r="A142" s="2">
        <v>140</v>
      </c>
      <c r="B142" s="3" t="s">
        <v>24</v>
      </c>
      <c r="C142" s="3" t="s">
        <v>124</v>
      </c>
      <c r="D142" s="3" t="s">
        <v>14</v>
      </c>
      <c r="E142" s="3" t="s">
        <v>21</v>
      </c>
      <c r="F142" s="3">
        <f t="shared" si="2"/>
        <v>0</v>
      </c>
      <c r="G142" s="3">
        <v>19847</v>
      </c>
      <c r="H142" s="3">
        <v>1</v>
      </c>
      <c r="I142" s="3">
        <v>84264</v>
      </c>
      <c r="J142" s="3">
        <f>IF(E142="Cold",1,0)</f>
        <v>0</v>
      </c>
      <c r="K142" s="3">
        <f>IF(E142="Hot",1,0)</f>
        <v>1</v>
      </c>
      <c r="L142" s="3">
        <v>1243</v>
      </c>
      <c r="M142" s="3">
        <v>99</v>
      </c>
      <c r="N142" s="4">
        <v>44068</v>
      </c>
      <c r="O142" s="10">
        <v>344669.14880000002</v>
      </c>
    </row>
    <row r="143" spans="1:15" x14ac:dyDescent="0.3">
      <c r="A143" s="2">
        <v>141</v>
      </c>
      <c r="B143" s="3" t="s">
        <v>24</v>
      </c>
      <c r="C143" s="3" t="s">
        <v>134</v>
      </c>
      <c r="D143" s="3" t="s">
        <v>18</v>
      </c>
      <c r="E143" s="3" t="s">
        <v>21</v>
      </c>
      <c r="F143" s="3">
        <f t="shared" si="2"/>
        <v>1</v>
      </c>
      <c r="G143" s="3">
        <v>23918</v>
      </c>
      <c r="H143" s="3">
        <v>0</v>
      </c>
      <c r="I143" s="3">
        <v>60696</v>
      </c>
      <c r="J143" s="3">
        <f>IF(E143="Cold",1,0)</f>
        <v>0</v>
      </c>
      <c r="K143" s="3">
        <f>IF(E143="Hot",1,0)</f>
        <v>1</v>
      </c>
      <c r="L143" s="3">
        <v>2213</v>
      </c>
      <c r="M143" s="3">
        <v>98</v>
      </c>
      <c r="N143" s="4">
        <v>44294</v>
      </c>
      <c r="O143" s="10">
        <v>405570.26199999999</v>
      </c>
    </row>
    <row r="144" spans="1:15" x14ac:dyDescent="0.3">
      <c r="A144" s="2">
        <v>142</v>
      </c>
      <c r="B144" s="3" t="s">
        <v>29</v>
      </c>
      <c r="C144" s="3" t="s">
        <v>135</v>
      </c>
      <c r="D144" s="3" t="s">
        <v>14</v>
      </c>
      <c r="E144" s="3" t="s">
        <v>15</v>
      </c>
      <c r="F144" s="3">
        <f t="shared" si="2"/>
        <v>0</v>
      </c>
      <c r="G144" s="3">
        <v>13161</v>
      </c>
      <c r="H144" s="3">
        <v>2</v>
      </c>
      <c r="I144" s="3">
        <v>77111</v>
      </c>
      <c r="J144" s="3">
        <f>IF(E144="Cold",1,0)</f>
        <v>1</v>
      </c>
      <c r="K144" s="3">
        <f>IF(E144="Hot",1,0)</f>
        <v>0</v>
      </c>
      <c r="L144" s="3">
        <v>2734</v>
      </c>
      <c r="M144" s="3">
        <v>43</v>
      </c>
      <c r="N144" s="4">
        <v>44369</v>
      </c>
      <c r="O144" s="10">
        <v>330137.00089999998</v>
      </c>
    </row>
    <row r="145" spans="1:15" x14ac:dyDescent="0.3">
      <c r="A145" s="2">
        <v>143</v>
      </c>
      <c r="B145" s="3" t="s">
        <v>40</v>
      </c>
      <c r="C145" s="3" t="s">
        <v>136</v>
      </c>
      <c r="D145" s="3" t="s">
        <v>14</v>
      </c>
      <c r="E145" s="3" t="s">
        <v>23</v>
      </c>
      <c r="F145" s="3">
        <f t="shared" si="2"/>
        <v>0</v>
      </c>
      <c r="G145" s="3">
        <v>4725</v>
      </c>
      <c r="H145" s="3">
        <v>8</v>
      </c>
      <c r="I145" s="3">
        <v>54044</v>
      </c>
      <c r="J145" s="3">
        <f>IF(E145="Cold",1,0)</f>
        <v>0</v>
      </c>
      <c r="K145" s="3">
        <f>IF(E145="Hot",1,0)</f>
        <v>0</v>
      </c>
      <c r="L145" s="3">
        <v>2862</v>
      </c>
      <c r="M145" s="3">
        <v>65</v>
      </c>
      <c r="N145" s="4">
        <v>43878</v>
      </c>
      <c r="O145" s="10">
        <v>330743.34879999998</v>
      </c>
    </row>
    <row r="146" spans="1:15" x14ac:dyDescent="0.3">
      <c r="A146" s="2">
        <v>144</v>
      </c>
      <c r="B146" s="3" t="s">
        <v>122</v>
      </c>
      <c r="C146" s="3" t="s">
        <v>137</v>
      </c>
      <c r="D146" s="3" t="s">
        <v>18</v>
      </c>
      <c r="E146" s="3" t="s">
        <v>21</v>
      </c>
      <c r="F146" s="3">
        <f t="shared" si="2"/>
        <v>1</v>
      </c>
      <c r="G146" s="3">
        <v>1430</v>
      </c>
      <c r="H146" s="3">
        <v>7</v>
      </c>
      <c r="I146" s="3">
        <v>90079</v>
      </c>
      <c r="J146" s="3">
        <f>IF(E146="Cold",1,0)</f>
        <v>0</v>
      </c>
      <c r="K146" s="3">
        <f>IF(E146="Hot",1,0)</f>
        <v>1</v>
      </c>
      <c r="L146" s="3">
        <v>2311</v>
      </c>
      <c r="M146" s="3">
        <v>41</v>
      </c>
      <c r="N146" s="4">
        <v>45151</v>
      </c>
      <c r="O146" s="10">
        <v>384717.31390000001</v>
      </c>
    </row>
    <row r="147" spans="1:15" x14ac:dyDescent="0.3">
      <c r="A147" s="2">
        <v>145</v>
      </c>
      <c r="B147" s="3" t="s">
        <v>29</v>
      </c>
      <c r="C147" s="3" t="s">
        <v>104</v>
      </c>
      <c r="D147" s="3" t="s">
        <v>18</v>
      </c>
      <c r="E147" s="3" t="s">
        <v>21</v>
      </c>
      <c r="F147" s="3">
        <f t="shared" si="2"/>
        <v>1</v>
      </c>
      <c r="G147" s="3">
        <v>13177</v>
      </c>
      <c r="H147" s="3">
        <v>5</v>
      </c>
      <c r="I147" s="3">
        <v>51851</v>
      </c>
      <c r="J147" s="3">
        <f>IF(E147="Cold",1,0)</f>
        <v>0</v>
      </c>
      <c r="K147" s="3">
        <f>IF(E147="Hot",1,0)</f>
        <v>1</v>
      </c>
      <c r="L147" s="3">
        <v>2604</v>
      </c>
      <c r="M147" s="3">
        <v>82</v>
      </c>
      <c r="N147" s="4">
        <v>44394</v>
      </c>
      <c r="O147" s="10">
        <v>379828.5956</v>
      </c>
    </row>
    <row r="148" spans="1:15" x14ac:dyDescent="0.3">
      <c r="A148" s="2">
        <v>146</v>
      </c>
      <c r="B148" s="3" t="s">
        <v>122</v>
      </c>
      <c r="C148" s="3" t="s">
        <v>138</v>
      </c>
      <c r="D148" s="3" t="s">
        <v>18</v>
      </c>
      <c r="E148" s="3" t="s">
        <v>23</v>
      </c>
      <c r="F148" s="3">
        <f t="shared" si="2"/>
        <v>1</v>
      </c>
      <c r="G148" s="3">
        <v>17088</v>
      </c>
      <c r="H148" s="3">
        <v>9</v>
      </c>
      <c r="I148" s="3">
        <v>94552</v>
      </c>
      <c r="J148" s="3">
        <f>IF(E148="Cold",1,0)</f>
        <v>0</v>
      </c>
      <c r="K148" s="3">
        <f>IF(E148="Hot",1,0)</f>
        <v>0</v>
      </c>
      <c r="L148" s="3">
        <v>1033</v>
      </c>
      <c r="M148" s="3">
        <v>36</v>
      </c>
      <c r="N148" s="4">
        <v>44670</v>
      </c>
      <c r="O148" s="10">
        <v>373424.10869999998</v>
      </c>
    </row>
    <row r="149" spans="1:15" x14ac:dyDescent="0.3">
      <c r="A149" s="2">
        <v>147</v>
      </c>
      <c r="B149" s="3" t="s">
        <v>35</v>
      </c>
      <c r="C149" s="3" t="s">
        <v>139</v>
      </c>
      <c r="D149" s="3" t="s">
        <v>14</v>
      </c>
      <c r="E149" s="3" t="s">
        <v>21</v>
      </c>
      <c r="F149" s="3">
        <f t="shared" si="2"/>
        <v>0</v>
      </c>
      <c r="G149" s="3">
        <v>20027</v>
      </c>
      <c r="H149" s="3">
        <v>1</v>
      </c>
      <c r="I149" s="3">
        <v>60091</v>
      </c>
      <c r="J149" s="3">
        <f>IF(E149="Cold",1,0)</f>
        <v>0</v>
      </c>
      <c r="K149" s="3">
        <f>IF(E149="Hot",1,0)</f>
        <v>1</v>
      </c>
      <c r="L149" s="3">
        <v>1836</v>
      </c>
      <c r="M149" s="3">
        <v>33</v>
      </c>
      <c r="N149" s="4">
        <v>45128</v>
      </c>
      <c r="O149" s="10">
        <v>333113.0845</v>
      </c>
    </row>
    <row r="150" spans="1:15" x14ac:dyDescent="0.3">
      <c r="A150" s="2">
        <v>148</v>
      </c>
      <c r="B150" s="3" t="s">
        <v>12</v>
      </c>
      <c r="C150" s="3" t="s">
        <v>140</v>
      </c>
      <c r="D150" s="3" t="s">
        <v>18</v>
      </c>
      <c r="E150" s="3" t="s">
        <v>15</v>
      </c>
      <c r="F150" s="3">
        <f t="shared" si="2"/>
        <v>1</v>
      </c>
      <c r="G150" s="3">
        <v>11977</v>
      </c>
      <c r="H150" s="3">
        <v>1</v>
      </c>
      <c r="I150" s="3">
        <v>96093</v>
      </c>
      <c r="J150" s="3">
        <f>IF(E150="Cold",1,0)</f>
        <v>1</v>
      </c>
      <c r="K150" s="3">
        <f>IF(E150="Hot",1,0)</f>
        <v>0</v>
      </c>
      <c r="L150" s="3">
        <v>1033</v>
      </c>
      <c r="M150" s="3">
        <v>66</v>
      </c>
      <c r="N150" s="4">
        <v>45045</v>
      </c>
      <c r="O150" s="10">
        <v>355100.962</v>
      </c>
    </row>
    <row r="151" spans="1:15" x14ac:dyDescent="0.3">
      <c r="A151" s="2">
        <v>149</v>
      </c>
      <c r="B151" s="3" t="s">
        <v>53</v>
      </c>
      <c r="C151" s="3" t="s">
        <v>141</v>
      </c>
      <c r="D151" s="3" t="s">
        <v>14</v>
      </c>
      <c r="E151" s="3" t="s">
        <v>23</v>
      </c>
      <c r="F151" s="3">
        <f t="shared" si="2"/>
        <v>0</v>
      </c>
      <c r="G151" s="3">
        <v>582</v>
      </c>
      <c r="H151" s="3">
        <v>5</v>
      </c>
      <c r="I151" s="3">
        <v>79125</v>
      </c>
      <c r="J151" s="3">
        <f>IF(E151="Cold",1,0)</f>
        <v>0</v>
      </c>
      <c r="K151" s="3">
        <f>IF(E151="Hot",1,0)</f>
        <v>0</v>
      </c>
      <c r="L151" s="3">
        <v>1563</v>
      </c>
      <c r="M151" s="3">
        <v>92</v>
      </c>
      <c r="N151" s="4">
        <v>44181</v>
      </c>
      <c r="O151" s="10">
        <v>336083.75170000002</v>
      </c>
    </row>
    <row r="152" spans="1:15" x14ac:dyDescent="0.3">
      <c r="A152" s="2">
        <v>150</v>
      </c>
      <c r="B152" s="3" t="s">
        <v>37</v>
      </c>
      <c r="C152" s="3" t="s">
        <v>38</v>
      </c>
      <c r="D152" s="3" t="s">
        <v>14</v>
      </c>
      <c r="E152" s="3" t="s">
        <v>15</v>
      </c>
      <c r="F152" s="3">
        <f t="shared" si="2"/>
        <v>0</v>
      </c>
      <c r="G152" s="3">
        <v>19931</v>
      </c>
      <c r="H152" s="3">
        <v>0</v>
      </c>
      <c r="I152" s="3">
        <v>68079</v>
      </c>
      <c r="J152" s="3">
        <f>IF(E152="Cold",1,0)</f>
        <v>1</v>
      </c>
      <c r="K152" s="3">
        <f>IF(E152="Hot",1,0)</f>
        <v>0</v>
      </c>
      <c r="L152" s="3">
        <v>1612</v>
      </c>
      <c r="M152" s="3">
        <v>25</v>
      </c>
      <c r="N152" s="4">
        <v>44292</v>
      </c>
      <c r="O152" s="10">
        <v>304017.75910000002</v>
      </c>
    </row>
    <row r="153" spans="1:15" x14ac:dyDescent="0.3">
      <c r="A153" s="2">
        <v>151</v>
      </c>
      <c r="B153" s="3" t="s">
        <v>24</v>
      </c>
      <c r="C153" s="3" t="s">
        <v>25</v>
      </c>
      <c r="D153" s="3" t="s">
        <v>14</v>
      </c>
      <c r="E153" s="3" t="s">
        <v>15</v>
      </c>
      <c r="F153" s="3">
        <f t="shared" si="2"/>
        <v>0</v>
      </c>
      <c r="G153" s="3">
        <v>24510</v>
      </c>
      <c r="H153" s="3">
        <v>3</v>
      </c>
      <c r="I153" s="3">
        <v>55899</v>
      </c>
      <c r="J153" s="3">
        <f>IF(E153="Cold",1,0)</f>
        <v>1</v>
      </c>
      <c r="K153" s="3">
        <f>IF(E153="Hot",1,0)</f>
        <v>0</v>
      </c>
      <c r="L153" s="3">
        <v>2539</v>
      </c>
      <c r="M153" s="3">
        <v>52</v>
      </c>
      <c r="N153" s="4">
        <v>44431</v>
      </c>
      <c r="O153" s="10">
        <v>338759.30900000001</v>
      </c>
    </row>
    <row r="154" spans="1:15" x14ac:dyDescent="0.3">
      <c r="A154" s="2">
        <v>152</v>
      </c>
      <c r="B154" s="3" t="s">
        <v>35</v>
      </c>
      <c r="C154" s="3" t="s">
        <v>119</v>
      </c>
      <c r="D154" s="3" t="s">
        <v>14</v>
      </c>
      <c r="E154" s="3" t="s">
        <v>15</v>
      </c>
      <c r="F154" s="3">
        <f t="shared" si="2"/>
        <v>0</v>
      </c>
      <c r="G154" s="3">
        <v>8239</v>
      </c>
      <c r="H154" s="3">
        <v>9</v>
      </c>
      <c r="I154" s="3">
        <v>84025</v>
      </c>
      <c r="J154" s="3">
        <f>IF(E154="Cold",1,0)</f>
        <v>1</v>
      </c>
      <c r="K154" s="3">
        <f>IF(E154="Hot",1,0)</f>
        <v>0</v>
      </c>
      <c r="L154" s="3">
        <v>2413</v>
      </c>
      <c r="M154" s="3">
        <v>80</v>
      </c>
      <c r="N154" s="4">
        <v>44394</v>
      </c>
      <c r="O154" s="10">
        <v>311619.73340000003</v>
      </c>
    </row>
    <row r="155" spans="1:15" x14ac:dyDescent="0.3">
      <c r="A155" s="2">
        <v>153</v>
      </c>
      <c r="B155" s="3" t="s">
        <v>33</v>
      </c>
      <c r="C155" s="3" t="s">
        <v>80</v>
      </c>
      <c r="D155" s="3" t="s">
        <v>18</v>
      </c>
      <c r="E155" s="3" t="s">
        <v>23</v>
      </c>
      <c r="F155" s="3">
        <f t="shared" si="2"/>
        <v>1</v>
      </c>
      <c r="G155" s="3">
        <v>14458</v>
      </c>
      <c r="H155" s="3">
        <v>7</v>
      </c>
      <c r="I155" s="3">
        <v>54076</v>
      </c>
      <c r="J155" s="3">
        <f>IF(E155="Cold",1,0)</f>
        <v>0</v>
      </c>
      <c r="K155" s="3">
        <f>IF(E155="Hot",1,0)</f>
        <v>0</v>
      </c>
      <c r="L155" s="3">
        <v>2382</v>
      </c>
      <c r="M155" s="3">
        <v>61</v>
      </c>
      <c r="N155" s="4">
        <v>45121</v>
      </c>
      <c r="O155" s="10">
        <v>395492.77630000003</v>
      </c>
    </row>
    <row r="156" spans="1:15" x14ac:dyDescent="0.3">
      <c r="A156" s="2">
        <v>154</v>
      </c>
      <c r="B156" s="3" t="s">
        <v>55</v>
      </c>
      <c r="C156" s="3" t="s">
        <v>98</v>
      </c>
      <c r="D156" s="3" t="s">
        <v>18</v>
      </c>
      <c r="E156" s="3" t="s">
        <v>15</v>
      </c>
      <c r="F156" s="3">
        <f t="shared" si="2"/>
        <v>1</v>
      </c>
      <c r="G156" s="3">
        <v>943</v>
      </c>
      <c r="H156" s="3">
        <v>4</v>
      </c>
      <c r="I156" s="3">
        <v>74494</v>
      </c>
      <c r="J156" s="3">
        <f>IF(E156="Cold",1,0)</f>
        <v>1</v>
      </c>
      <c r="K156" s="3">
        <f>IF(E156="Hot",1,0)</f>
        <v>0</v>
      </c>
      <c r="L156" s="3">
        <v>2124</v>
      </c>
      <c r="M156" s="3">
        <v>89</v>
      </c>
      <c r="N156" s="4">
        <v>45453</v>
      </c>
      <c r="O156" s="10">
        <v>357588.53960000002</v>
      </c>
    </row>
    <row r="157" spans="1:15" x14ac:dyDescent="0.3">
      <c r="A157" s="2">
        <v>155</v>
      </c>
      <c r="B157" s="3" t="s">
        <v>108</v>
      </c>
      <c r="C157" s="3" t="s">
        <v>142</v>
      </c>
      <c r="D157" s="3" t="s">
        <v>14</v>
      </c>
      <c r="E157" s="3" t="s">
        <v>21</v>
      </c>
      <c r="F157" s="3">
        <f t="shared" si="2"/>
        <v>0</v>
      </c>
      <c r="G157" s="3">
        <v>20136</v>
      </c>
      <c r="H157" s="3">
        <v>7</v>
      </c>
      <c r="I157" s="3">
        <v>55387</v>
      </c>
      <c r="J157" s="3">
        <f>IF(E157="Cold",1,0)</f>
        <v>0</v>
      </c>
      <c r="K157" s="3">
        <f>IF(E157="Hot",1,0)</f>
        <v>1</v>
      </c>
      <c r="L157" s="3">
        <v>2479</v>
      </c>
      <c r="M157" s="3">
        <v>36</v>
      </c>
      <c r="N157" s="4">
        <v>44527</v>
      </c>
      <c r="O157" s="10">
        <v>317453.76390000002</v>
      </c>
    </row>
    <row r="158" spans="1:15" x14ac:dyDescent="0.3">
      <c r="A158" s="2">
        <v>156</v>
      </c>
      <c r="B158" s="3" t="s">
        <v>35</v>
      </c>
      <c r="C158" s="3" t="s">
        <v>62</v>
      </c>
      <c r="D158" s="3" t="s">
        <v>18</v>
      </c>
      <c r="E158" s="3" t="s">
        <v>15</v>
      </c>
      <c r="F158" s="3">
        <f t="shared" si="2"/>
        <v>1</v>
      </c>
      <c r="G158" s="3">
        <v>15025</v>
      </c>
      <c r="H158" s="3">
        <v>3</v>
      </c>
      <c r="I158" s="3">
        <v>91077</v>
      </c>
      <c r="J158" s="3">
        <f>IF(E158="Cold",1,0)</f>
        <v>1</v>
      </c>
      <c r="K158" s="3">
        <f>IF(E158="Hot",1,0)</f>
        <v>0</v>
      </c>
      <c r="L158" s="3">
        <v>2599</v>
      </c>
      <c r="M158" s="3">
        <v>66</v>
      </c>
      <c r="N158" s="4">
        <v>45368</v>
      </c>
      <c r="O158" s="10">
        <v>374240.50689999998</v>
      </c>
    </row>
    <row r="159" spans="1:15" x14ac:dyDescent="0.3">
      <c r="A159" s="2">
        <v>157</v>
      </c>
      <c r="B159" s="3" t="s">
        <v>29</v>
      </c>
      <c r="C159" s="3" t="s">
        <v>132</v>
      </c>
      <c r="D159" s="3" t="s">
        <v>18</v>
      </c>
      <c r="E159" s="3" t="s">
        <v>15</v>
      </c>
      <c r="F159" s="3">
        <f t="shared" si="2"/>
        <v>1</v>
      </c>
      <c r="G159" s="3">
        <v>15623</v>
      </c>
      <c r="H159" s="3">
        <v>6</v>
      </c>
      <c r="I159" s="3">
        <v>63179</v>
      </c>
      <c r="J159" s="3">
        <f>IF(E159="Cold",1,0)</f>
        <v>1</v>
      </c>
      <c r="K159" s="3">
        <f>IF(E159="Hot",1,0)</f>
        <v>0</v>
      </c>
      <c r="L159" s="3">
        <v>2929</v>
      </c>
      <c r="M159" s="3">
        <v>94</v>
      </c>
      <c r="N159" s="4">
        <v>44061</v>
      </c>
      <c r="O159" s="10">
        <v>385472.34499999997</v>
      </c>
    </row>
    <row r="160" spans="1:15" x14ac:dyDescent="0.3">
      <c r="A160" s="2">
        <v>158</v>
      </c>
      <c r="B160" s="3" t="s">
        <v>29</v>
      </c>
      <c r="C160" s="3" t="s">
        <v>132</v>
      </c>
      <c r="D160" s="3" t="s">
        <v>14</v>
      </c>
      <c r="E160" s="3" t="s">
        <v>23</v>
      </c>
      <c r="F160" s="3">
        <f t="shared" si="2"/>
        <v>0</v>
      </c>
      <c r="G160" s="3">
        <v>12100</v>
      </c>
      <c r="H160" s="3">
        <v>7</v>
      </c>
      <c r="I160" s="3">
        <v>94621</v>
      </c>
      <c r="J160" s="3">
        <f>IF(E160="Cold",1,0)</f>
        <v>0</v>
      </c>
      <c r="K160" s="3">
        <f>IF(E160="Hot",1,0)</f>
        <v>0</v>
      </c>
      <c r="L160" s="3">
        <v>2124</v>
      </c>
      <c r="M160" s="3">
        <v>24</v>
      </c>
      <c r="N160" s="4">
        <v>45214</v>
      </c>
      <c r="O160" s="10">
        <v>323095.76850000001</v>
      </c>
    </row>
    <row r="161" spans="1:15" x14ac:dyDescent="0.3">
      <c r="A161" s="2">
        <v>159</v>
      </c>
      <c r="B161" s="3" t="s">
        <v>44</v>
      </c>
      <c r="C161" s="3" t="s">
        <v>111</v>
      </c>
      <c r="D161" s="3" t="s">
        <v>14</v>
      </c>
      <c r="E161" s="3" t="s">
        <v>15</v>
      </c>
      <c r="F161" s="3">
        <f t="shared" si="2"/>
        <v>0</v>
      </c>
      <c r="G161" s="3">
        <v>19144</v>
      </c>
      <c r="H161" s="3">
        <v>3</v>
      </c>
      <c r="I161" s="3">
        <v>65283</v>
      </c>
      <c r="J161" s="3">
        <f>IF(E161="Cold",1,0)</f>
        <v>1</v>
      </c>
      <c r="K161" s="3">
        <f>IF(E161="Hot",1,0)</f>
        <v>0</v>
      </c>
      <c r="L161" s="3">
        <v>2216</v>
      </c>
      <c r="M161" s="3">
        <v>38</v>
      </c>
      <c r="N161" s="4">
        <v>44097</v>
      </c>
      <c r="O161" s="10">
        <v>309077.08299999998</v>
      </c>
    </row>
    <row r="162" spans="1:15" x14ac:dyDescent="0.3">
      <c r="A162" s="2">
        <v>160</v>
      </c>
      <c r="B162" s="3" t="s">
        <v>44</v>
      </c>
      <c r="C162" s="3" t="s">
        <v>143</v>
      </c>
      <c r="D162" s="3" t="s">
        <v>18</v>
      </c>
      <c r="E162" s="3" t="s">
        <v>23</v>
      </c>
      <c r="F162" s="3">
        <f t="shared" si="2"/>
        <v>1</v>
      </c>
      <c r="G162" s="3">
        <v>6732</v>
      </c>
      <c r="H162" s="3">
        <v>0</v>
      </c>
      <c r="I162" s="3">
        <v>97691</v>
      </c>
      <c r="J162" s="3">
        <f>IF(E162="Cold",1,0)</f>
        <v>0</v>
      </c>
      <c r="K162" s="3">
        <f>IF(E162="Hot",1,0)</f>
        <v>0</v>
      </c>
      <c r="L162" s="3">
        <v>2830</v>
      </c>
      <c r="M162" s="3">
        <v>76</v>
      </c>
      <c r="N162" s="4">
        <v>45061</v>
      </c>
      <c r="O162" s="10">
        <v>393744.39539999998</v>
      </c>
    </row>
    <row r="163" spans="1:15" x14ac:dyDescent="0.3">
      <c r="A163" s="2">
        <v>161</v>
      </c>
      <c r="B163" s="3" t="s">
        <v>44</v>
      </c>
      <c r="C163" s="3" t="s">
        <v>144</v>
      </c>
      <c r="D163" s="3" t="s">
        <v>14</v>
      </c>
      <c r="E163" s="3" t="s">
        <v>15</v>
      </c>
      <c r="F163" s="3">
        <f t="shared" si="2"/>
        <v>0</v>
      </c>
      <c r="G163" s="3">
        <v>11893</v>
      </c>
      <c r="H163" s="3">
        <v>0</v>
      </c>
      <c r="I163" s="3">
        <v>59281</v>
      </c>
      <c r="J163" s="3">
        <f>IF(E163="Cold",1,0)</f>
        <v>1</v>
      </c>
      <c r="K163" s="3">
        <f>IF(E163="Hot",1,0)</f>
        <v>0</v>
      </c>
      <c r="L163" s="3">
        <v>1018</v>
      </c>
      <c r="M163" s="3">
        <v>63</v>
      </c>
      <c r="N163" s="4">
        <v>44347</v>
      </c>
      <c r="O163" s="10">
        <v>297879.27510000003</v>
      </c>
    </row>
    <row r="164" spans="1:15" x14ac:dyDescent="0.3">
      <c r="A164" s="2">
        <v>162</v>
      </c>
      <c r="B164" s="3" t="s">
        <v>26</v>
      </c>
      <c r="C164" s="3" t="s">
        <v>64</v>
      </c>
      <c r="D164" s="3" t="s">
        <v>18</v>
      </c>
      <c r="E164" s="3" t="s">
        <v>23</v>
      </c>
      <c r="F164" s="3">
        <f t="shared" si="2"/>
        <v>1</v>
      </c>
      <c r="G164" s="3">
        <v>21984</v>
      </c>
      <c r="H164" s="3">
        <v>9</v>
      </c>
      <c r="I164" s="3">
        <v>55617</v>
      </c>
      <c r="J164" s="3">
        <f>IF(E164="Cold",1,0)</f>
        <v>0</v>
      </c>
      <c r="K164" s="3">
        <f>IF(E164="Hot",1,0)</f>
        <v>0</v>
      </c>
      <c r="L164" s="3">
        <v>1623</v>
      </c>
      <c r="M164" s="3">
        <v>65</v>
      </c>
      <c r="N164" s="4">
        <v>44408</v>
      </c>
      <c r="O164" s="10">
        <v>364423.7745</v>
      </c>
    </row>
    <row r="165" spans="1:15" x14ac:dyDescent="0.3">
      <c r="A165" s="2">
        <v>163</v>
      </c>
      <c r="B165" s="3" t="s">
        <v>19</v>
      </c>
      <c r="C165" s="3" t="s">
        <v>60</v>
      </c>
      <c r="D165" s="3" t="s">
        <v>18</v>
      </c>
      <c r="E165" s="3" t="s">
        <v>21</v>
      </c>
      <c r="F165" s="3">
        <f t="shared" si="2"/>
        <v>1</v>
      </c>
      <c r="G165" s="3">
        <v>11499</v>
      </c>
      <c r="H165" s="3">
        <v>1</v>
      </c>
      <c r="I165" s="3">
        <v>56617</v>
      </c>
      <c r="J165" s="3">
        <f>IF(E165="Cold",1,0)</f>
        <v>0</v>
      </c>
      <c r="K165" s="3">
        <f>IF(E165="Hot",1,0)</f>
        <v>1</v>
      </c>
      <c r="L165" s="3">
        <v>2999</v>
      </c>
      <c r="M165" s="3">
        <v>31</v>
      </c>
      <c r="N165" s="4">
        <v>45512</v>
      </c>
      <c r="O165" s="10">
        <v>381980.54969999997</v>
      </c>
    </row>
    <row r="166" spans="1:15" x14ac:dyDescent="0.3">
      <c r="A166" s="2">
        <v>164</v>
      </c>
      <c r="B166" s="3" t="s">
        <v>72</v>
      </c>
      <c r="C166" s="3" t="s">
        <v>145</v>
      </c>
      <c r="D166" s="3" t="s">
        <v>18</v>
      </c>
      <c r="E166" s="3" t="s">
        <v>23</v>
      </c>
      <c r="F166" s="3">
        <f t="shared" si="2"/>
        <v>1</v>
      </c>
      <c r="G166" s="3">
        <v>20785</v>
      </c>
      <c r="H166" s="3">
        <v>8</v>
      </c>
      <c r="I166" s="3">
        <v>68821</v>
      </c>
      <c r="J166" s="3">
        <f>IF(E166="Cold",1,0)</f>
        <v>0</v>
      </c>
      <c r="K166" s="3">
        <f>IF(E166="Hot",1,0)</f>
        <v>0</v>
      </c>
      <c r="L166" s="3">
        <v>1186</v>
      </c>
      <c r="M166" s="3">
        <v>22</v>
      </c>
      <c r="N166" s="4">
        <v>44867</v>
      </c>
      <c r="O166" s="10">
        <v>366647.84409999999</v>
      </c>
    </row>
    <row r="167" spans="1:15" x14ac:dyDescent="0.3">
      <c r="A167" s="2">
        <v>165</v>
      </c>
      <c r="B167" s="3" t="s">
        <v>33</v>
      </c>
      <c r="C167" s="3" t="s">
        <v>79</v>
      </c>
      <c r="D167" s="3" t="s">
        <v>14</v>
      </c>
      <c r="E167" s="3" t="s">
        <v>15</v>
      </c>
      <c r="F167" s="3">
        <f t="shared" si="2"/>
        <v>0</v>
      </c>
      <c r="G167" s="3">
        <v>13198</v>
      </c>
      <c r="H167" s="3">
        <v>9</v>
      </c>
      <c r="I167" s="3">
        <v>64173</v>
      </c>
      <c r="J167" s="3">
        <f>IF(E167="Cold",1,0)</f>
        <v>1</v>
      </c>
      <c r="K167" s="3">
        <f>IF(E167="Hot",1,0)</f>
        <v>0</v>
      </c>
      <c r="L167" s="3">
        <v>1082</v>
      </c>
      <c r="M167" s="3">
        <v>30</v>
      </c>
      <c r="N167" s="4">
        <v>44642</v>
      </c>
      <c r="O167" s="10">
        <v>295691.84989999997</v>
      </c>
    </row>
    <row r="168" spans="1:15" x14ac:dyDescent="0.3">
      <c r="A168" s="2">
        <v>166</v>
      </c>
      <c r="B168" s="3" t="s">
        <v>31</v>
      </c>
      <c r="C168" s="3" t="s">
        <v>81</v>
      </c>
      <c r="D168" s="3" t="s">
        <v>18</v>
      </c>
      <c r="E168" s="3" t="s">
        <v>23</v>
      </c>
      <c r="F168" s="3">
        <f t="shared" si="2"/>
        <v>1</v>
      </c>
      <c r="G168" s="3">
        <v>17044</v>
      </c>
      <c r="H168" s="3">
        <v>0</v>
      </c>
      <c r="I168" s="3">
        <v>96740</v>
      </c>
      <c r="J168" s="3">
        <f>IF(E168="Cold",1,0)</f>
        <v>0</v>
      </c>
      <c r="K168" s="3">
        <f>IF(E168="Hot",1,0)</f>
        <v>0</v>
      </c>
      <c r="L168" s="3">
        <v>2870</v>
      </c>
      <c r="M168" s="3">
        <v>26</v>
      </c>
      <c r="N168" s="4">
        <v>44839</v>
      </c>
      <c r="O168" s="10">
        <v>402468.12410000002</v>
      </c>
    </row>
    <row r="169" spans="1:15" x14ac:dyDescent="0.3">
      <c r="A169" s="2">
        <v>167</v>
      </c>
      <c r="B169" s="3" t="s">
        <v>31</v>
      </c>
      <c r="C169" s="3" t="s">
        <v>32</v>
      </c>
      <c r="D169" s="3" t="s">
        <v>14</v>
      </c>
      <c r="E169" s="3" t="s">
        <v>23</v>
      </c>
      <c r="F169" s="3">
        <f t="shared" si="2"/>
        <v>0</v>
      </c>
      <c r="G169" s="3">
        <v>13345</v>
      </c>
      <c r="H169" s="3">
        <v>7</v>
      </c>
      <c r="I169" s="3">
        <v>55295</v>
      </c>
      <c r="J169" s="3">
        <f>IF(E169="Cold",1,0)</f>
        <v>0</v>
      </c>
      <c r="K169" s="3">
        <f>IF(E169="Hot",1,0)</f>
        <v>0</v>
      </c>
      <c r="L169" s="3">
        <v>2214</v>
      </c>
      <c r="M169" s="3">
        <v>21</v>
      </c>
      <c r="N169" s="4">
        <v>44871</v>
      </c>
      <c r="O169" s="10">
        <v>318781.74349999998</v>
      </c>
    </row>
    <row r="170" spans="1:15" x14ac:dyDescent="0.3">
      <c r="A170" s="2">
        <v>168</v>
      </c>
      <c r="B170" s="3" t="s">
        <v>33</v>
      </c>
      <c r="C170" s="3" t="s">
        <v>92</v>
      </c>
      <c r="D170" s="3" t="s">
        <v>18</v>
      </c>
      <c r="E170" s="3" t="s">
        <v>23</v>
      </c>
      <c r="F170" s="3">
        <f t="shared" si="2"/>
        <v>1</v>
      </c>
      <c r="G170" s="3">
        <v>21224</v>
      </c>
      <c r="H170" s="3">
        <v>6</v>
      </c>
      <c r="I170" s="3">
        <v>68192</v>
      </c>
      <c r="J170" s="3">
        <f>IF(E170="Cold",1,0)</f>
        <v>0</v>
      </c>
      <c r="K170" s="3">
        <f>IF(E170="Hot",1,0)</f>
        <v>0</v>
      </c>
      <c r="L170" s="3">
        <v>2366</v>
      </c>
      <c r="M170" s="3">
        <v>70</v>
      </c>
      <c r="N170" s="4">
        <v>45022</v>
      </c>
      <c r="O170" s="10">
        <v>409376.21970000002</v>
      </c>
    </row>
    <row r="171" spans="1:15" x14ac:dyDescent="0.3">
      <c r="A171" s="2">
        <v>169</v>
      </c>
      <c r="B171" s="3" t="s">
        <v>31</v>
      </c>
      <c r="C171" s="3" t="s">
        <v>146</v>
      </c>
      <c r="D171" s="3" t="s">
        <v>14</v>
      </c>
      <c r="E171" s="3" t="s">
        <v>15</v>
      </c>
      <c r="F171" s="3">
        <f t="shared" si="2"/>
        <v>0</v>
      </c>
      <c r="G171" s="3">
        <v>12026</v>
      </c>
      <c r="H171" s="3">
        <v>1</v>
      </c>
      <c r="I171" s="3">
        <v>71044</v>
      </c>
      <c r="J171" s="3">
        <f>IF(E171="Cold",1,0)</f>
        <v>1</v>
      </c>
      <c r="K171" s="3">
        <f>IF(E171="Hot",1,0)</f>
        <v>0</v>
      </c>
      <c r="L171" s="3">
        <v>2973</v>
      </c>
      <c r="M171" s="3">
        <v>81</v>
      </c>
      <c r="N171" s="4">
        <v>43922</v>
      </c>
      <c r="O171" s="10">
        <v>340132.43339999998</v>
      </c>
    </row>
    <row r="172" spans="1:15" x14ac:dyDescent="0.3">
      <c r="A172" s="2">
        <v>170</v>
      </c>
      <c r="B172" s="3" t="s">
        <v>26</v>
      </c>
      <c r="C172" s="3" t="s">
        <v>99</v>
      </c>
      <c r="D172" s="3" t="s">
        <v>14</v>
      </c>
      <c r="E172" s="3" t="s">
        <v>23</v>
      </c>
      <c r="F172" s="3">
        <f t="shared" si="2"/>
        <v>0</v>
      </c>
      <c r="G172" s="3">
        <v>13354</v>
      </c>
      <c r="H172" s="3">
        <v>9</v>
      </c>
      <c r="I172" s="3">
        <v>76915</v>
      </c>
      <c r="J172" s="3">
        <f>IF(E172="Cold",1,0)</f>
        <v>0</v>
      </c>
      <c r="K172" s="3">
        <f>IF(E172="Hot",1,0)</f>
        <v>0</v>
      </c>
      <c r="L172" s="3">
        <v>1416</v>
      </c>
      <c r="M172" s="3">
        <v>32</v>
      </c>
      <c r="N172" s="4">
        <v>44495</v>
      </c>
      <c r="O172" s="10">
        <v>302256.0735</v>
      </c>
    </row>
    <row r="173" spans="1:15" x14ac:dyDescent="0.3">
      <c r="A173" s="2">
        <v>171</v>
      </c>
      <c r="B173" s="3" t="s">
        <v>122</v>
      </c>
      <c r="C173" s="3" t="s">
        <v>138</v>
      </c>
      <c r="D173" s="3" t="s">
        <v>18</v>
      </c>
      <c r="E173" s="3" t="s">
        <v>15</v>
      </c>
      <c r="F173" s="3">
        <f t="shared" si="2"/>
        <v>1</v>
      </c>
      <c r="G173" s="3">
        <v>26548</v>
      </c>
      <c r="H173" s="3">
        <v>6</v>
      </c>
      <c r="I173" s="3">
        <v>88167</v>
      </c>
      <c r="J173" s="3">
        <f>IF(E173="Cold",1,0)</f>
        <v>1</v>
      </c>
      <c r="K173" s="3">
        <f>IF(E173="Hot",1,0)</f>
        <v>0</v>
      </c>
      <c r="L173" s="3">
        <v>2594</v>
      </c>
      <c r="M173" s="3">
        <v>51</v>
      </c>
      <c r="N173" s="4">
        <v>44803</v>
      </c>
      <c r="O173" s="10">
        <v>375425.69750000001</v>
      </c>
    </row>
    <row r="174" spans="1:15" x14ac:dyDescent="0.3">
      <c r="A174" s="2">
        <v>172</v>
      </c>
      <c r="B174" s="3" t="s">
        <v>72</v>
      </c>
      <c r="C174" s="3" t="s">
        <v>147</v>
      </c>
      <c r="D174" s="3" t="s">
        <v>18</v>
      </c>
      <c r="E174" s="3" t="s">
        <v>21</v>
      </c>
      <c r="F174" s="3">
        <f t="shared" si="2"/>
        <v>1</v>
      </c>
      <c r="G174" s="3">
        <v>16455</v>
      </c>
      <c r="H174" s="3">
        <v>8</v>
      </c>
      <c r="I174" s="3">
        <v>59256</v>
      </c>
      <c r="J174" s="3">
        <f>IF(E174="Cold",1,0)</f>
        <v>0</v>
      </c>
      <c r="K174" s="3">
        <f>IF(E174="Hot",1,0)</f>
        <v>1</v>
      </c>
      <c r="L174" s="3">
        <v>1343</v>
      </c>
      <c r="M174" s="3">
        <v>56</v>
      </c>
      <c r="N174" s="4">
        <v>44216</v>
      </c>
      <c r="O174" s="10">
        <v>359094.81699999998</v>
      </c>
    </row>
    <row r="175" spans="1:15" x14ac:dyDescent="0.3">
      <c r="A175" s="2">
        <v>173</v>
      </c>
      <c r="B175" s="3" t="s">
        <v>35</v>
      </c>
      <c r="C175" s="3" t="s">
        <v>148</v>
      </c>
      <c r="D175" s="3" t="s">
        <v>18</v>
      </c>
      <c r="E175" s="3" t="s">
        <v>15</v>
      </c>
      <c r="F175" s="3">
        <f t="shared" si="2"/>
        <v>1</v>
      </c>
      <c r="G175" s="3">
        <v>2972</v>
      </c>
      <c r="H175" s="3">
        <v>2</v>
      </c>
      <c r="I175" s="3">
        <v>84509</v>
      </c>
      <c r="J175" s="3">
        <f>IF(E175="Cold",1,0)</f>
        <v>1</v>
      </c>
      <c r="K175" s="3">
        <f>IF(E175="Hot",1,0)</f>
        <v>0</v>
      </c>
      <c r="L175" s="3">
        <v>1259</v>
      </c>
      <c r="M175" s="3">
        <v>71</v>
      </c>
      <c r="N175" s="4">
        <v>44017</v>
      </c>
      <c r="O175" s="10">
        <v>377931.54399999999</v>
      </c>
    </row>
    <row r="176" spans="1:15" x14ac:dyDescent="0.3">
      <c r="A176" s="2">
        <v>174</v>
      </c>
      <c r="B176" s="3" t="s">
        <v>40</v>
      </c>
      <c r="C176" s="3" t="s">
        <v>71</v>
      </c>
      <c r="D176" s="3" t="s">
        <v>18</v>
      </c>
      <c r="E176" s="3" t="s">
        <v>21</v>
      </c>
      <c r="F176" s="3">
        <f t="shared" si="2"/>
        <v>1</v>
      </c>
      <c r="G176" s="3">
        <v>10789</v>
      </c>
      <c r="H176" s="3">
        <v>2</v>
      </c>
      <c r="I176" s="3">
        <v>87060</v>
      </c>
      <c r="J176" s="3">
        <f>IF(E176="Cold",1,0)</f>
        <v>0</v>
      </c>
      <c r="K176" s="3">
        <f>IF(E176="Hot",1,0)</f>
        <v>1</v>
      </c>
      <c r="L176" s="3">
        <v>2046</v>
      </c>
      <c r="M176" s="3">
        <v>29</v>
      </c>
      <c r="N176" s="4">
        <v>45256</v>
      </c>
      <c r="O176" s="10">
        <v>378945.60810000001</v>
      </c>
    </row>
    <row r="177" spans="1:15" x14ac:dyDescent="0.3">
      <c r="A177" s="2">
        <v>175</v>
      </c>
      <c r="B177" s="3" t="s">
        <v>53</v>
      </c>
      <c r="C177" s="3" t="s">
        <v>141</v>
      </c>
      <c r="D177" s="3" t="s">
        <v>18</v>
      </c>
      <c r="E177" s="3" t="s">
        <v>23</v>
      </c>
      <c r="F177" s="3">
        <f t="shared" si="2"/>
        <v>1</v>
      </c>
      <c r="G177" s="3">
        <v>13601</v>
      </c>
      <c r="H177" s="3">
        <v>5</v>
      </c>
      <c r="I177" s="3">
        <v>82420</v>
      </c>
      <c r="J177" s="3">
        <f>IF(E177="Cold",1,0)</f>
        <v>0</v>
      </c>
      <c r="K177" s="3">
        <f>IF(E177="Hot",1,0)</f>
        <v>0</v>
      </c>
      <c r="L177" s="3">
        <v>1824</v>
      </c>
      <c r="M177" s="3">
        <v>85</v>
      </c>
      <c r="N177" s="4">
        <v>44197</v>
      </c>
      <c r="O177" s="10">
        <v>384037.30410000001</v>
      </c>
    </row>
    <row r="178" spans="1:15" x14ac:dyDescent="0.3">
      <c r="A178" s="2">
        <v>176</v>
      </c>
      <c r="B178" s="3" t="s">
        <v>29</v>
      </c>
      <c r="C178" s="3" t="s">
        <v>104</v>
      </c>
      <c r="D178" s="3" t="s">
        <v>18</v>
      </c>
      <c r="E178" s="3" t="s">
        <v>23</v>
      </c>
      <c r="F178" s="3">
        <f t="shared" si="2"/>
        <v>1</v>
      </c>
      <c r="G178" s="3">
        <v>19847</v>
      </c>
      <c r="H178" s="3">
        <v>0</v>
      </c>
      <c r="I178" s="3">
        <v>75218</v>
      </c>
      <c r="J178" s="3">
        <f>IF(E178="Cold",1,0)</f>
        <v>0</v>
      </c>
      <c r="K178" s="3">
        <f>IF(E178="Hot",1,0)</f>
        <v>0</v>
      </c>
      <c r="L178" s="3">
        <v>2105</v>
      </c>
      <c r="M178" s="3">
        <v>95</v>
      </c>
      <c r="N178" s="4">
        <v>45353</v>
      </c>
      <c r="O178" s="10">
        <v>393783.35470000003</v>
      </c>
    </row>
    <row r="179" spans="1:15" x14ac:dyDescent="0.3">
      <c r="A179" s="2">
        <v>177</v>
      </c>
      <c r="B179" s="3" t="s">
        <v>35</v>
      </c>
      <c r="C179" s="3" t="s">
        <v>36</v>
      </c>
      <c r="D179" s="3" t="s">
        <v>18</v>
      </c>
      <c r="E179" s="3" t="s">
        <v>21</v>
      </c>
      <c r="F179" s="3">
        <f t="shared" si="2"/>
        <v>1</v>
      </c>
      <c r="G179" s="3">
        <v>7580</v>
      </c>
      <c r="H179" s="3">
        <v>9</v>
      </c>
      <c r="I179" s="3">
        <v>52978</v>
      </c>
      <c r="J179" s="3">
        <f>IF(E179="Cold",1,0)</f>
        <v>0</v>
      </c>
      <c r="K179" s="3">
        <f>IF(E179="Hot",1,0)</f>
        <v>1</v>
      </c>
      <c r="L179" s="3">
        <v>2400</v>
      </c>
      <c r="M179" s="3">
        <v>40</v>
      </c>
      <c r="N179" s="4">
        <v>45349</v>
      </c>
      <c r="O179" s="10">
        <v>364855.92979999998</v>
      </c>
    </row>
    <row r="180" spans="1:15" x14ac:dyDescent="0.3">
      <c r="A180" s="2">
        <v>178</v>
      </c>
      <c r="B180" s="3" t="s">
        <v>53</v>
      </c>
      <c r="C180" s="3" t="s">
        <v>149</v>
      </c>
      <c r="D180" s="3" t="s">
        <v>14</v>
      </c>
      <c r="E180" s="3" t="s">
        <v>15</v>
      </c>
      <c r="F180" s="3">
        <f t="shared" si="2"/>
        <v>0</v>
      </c>
      <c r="G180" s="3">
        <v>9025</v>
      </c>
      <c r="H180" s="3">
        <v>7</v>
      </c>
      <c r="I180" s="3">
        <v>61047</v>
      </c>
      <c r="J180" s="3">
        <f>IF(E180="Cold",1,0)</f>
        <v>1</v>
      </c>
      <c r="K180" s="3">
        <f>IF(E180="Hot",1,0)</f>
        <v>0</v>
      </c>
      <c r="L180" s="3">
        <v>1035</v>
      </c>
      <c r="M180" s="3">
        <v>32</v>
      </c>
      <c r="N180" s="4">
        <v>44198</v>
      </c>
      <c r="O180" s="10">
        <v>282657.56410000002</v>
      </c>
    </row>
    <row r="181" spans="1:15" x14ac:dyDescent="0.3">
      <c r="A181" s="2">
        <v>179</v>
      </c>
      <c r="B181" s="3" t="s">
        <v>33</v>
      </c>
      <c r="C181" s="3" t="s">
        <v>68</v>
      </c>
      <c r="D181" s="3" t="s">
        <v>18</v>
      </c>
      <c r="E181" s="3" t="s">
        <v>21</v>
      </c>
      <c r="F181" s="3">
        <f t="shared" si="2"/>
        <v>1</v>
      </c>
      <c r="G181" s="3">
        <v>11756</v>
      </c>
      <c r="H181" s="3">
        <v>9</v>
      </c>
      <c r="I181" s="3">
        <v>57074</v>
      </c>
      <c r="J181" s="3">
        <f>IF(E181="Cold",1,0)</f>
        <v>0</v>
      </c>
      <c r="K181" s="3">
        <f>IF(E181="Hot",1,0)</f>
        <v>1</v>
      </c>
      <c r="L181" s="3">
        <v>1026</v>
      </c>
      <c r="M181" s="3">
        <v>25</v>
      </c>
      <c r="N181" s="4">
        <v>44446</v>
      </c>
      <c r="O181" s="10">
        <v>346916.902</v>
      </c>
    </row>
    <row r="182" spans="1:15" x14ac:dyDescent="0.3">
      <c r="A182" s="2">
        <v>180</v>
      </c>
      <c r="B182" s="3" t="s">
        <v>74</v>
      </c>
      <c r="C182" s="3" t="s">
        <v>75</v>
      </c>
      <c r="D182" s="3" t="s">
        <v>14</v>
      </c>
      <c r="E182" s="3" t="s">
        <v>15</v>
      </c>
      <c r="F182" s="3">
        <f t="shared" si="2"/>
        <v>0</v>
      </c>
      <c r="G182" s="3">
        <v>21357</v>
      </c>
      <c r="H182" s="3">
        <v>8</v>
      </c>
      <c r="I182" s="3">
        <v>80531</v>
      </c>
      <c r="J182" s="3">
        <f>IF(E182="Cold",1,0)</f>
        <v>1</v>
      </c>
      <c r="K182" s="3">
        <f>IF(E182="Hot",1,0)</f>
        <v>0</v>
      </c>
      <c r="L182" s="3">
        <v>2059</v>
      </c>
      <c r="M182" s="3">
        <v>88</v>
      </c>
      <c r="N182" s="4">
        <v>45232</v>
      </c>
      <c r="O182" s="10">
        <v>316579.90909999999</v>
      </c>
    </row>
    <row r="183" spans="1:15" x14ac:dyDescent="0.3">
      <c r="A183" s="2">
        <v>181</v>
      </c>
      <c r="B183" s="3" t="s">
        <v>35</v>
      </c>
      <c r="C183" s="3" t="s">
        <v>150</v>
      </c>
      <c r="D183" s="3" t="s">
        <v>18</v>
      </c>
      <c r="E183" s="3" t="s">
        <v>23</v>
      </c>
      <c r="F183" s="3">
        <f t="shared" si="2"/>
        <v>1</v>
      </c>
      <c r="G183" s="3">
        <v>27212</v>
      </c>
      <c r="H183" s="3">
        <v>9</v>
      </c>
      <c r="I183" s="3">
        <v>51315</v>
      </c>
      <c r="J183" s="3">
        <f>IF(E183="Cold",1,0)</f>
        <v>0</v>
      </c>
      <c r="K183" s="3">
        <f>IF(E183="Hot",1,0)</f>
        <v>0</v>
      </c>
      <c r="L183" s="3">
        <v>2929</v>
      </c>
      <c r="M183" s="3">
        <v>80</v>
      </c>
      <c r="N183" s="4">
        <v>45345</v>
      </c>
      <c r="O183" s="10">
        <v>417342.6433</v>
      </c>
    </row>
    <row r="184" spans="1:15" x14ac:dyDescent="0.3">
      <c r="A184" s="2">
        <v>182</v>
      </c>
      <c r="B184" s="3" t="s">
        <v>40</v>
      </c>
      <c r="C184" s="3" t="s">
        <v>121</v>
      </c>
      <c r="D184" s="3" t="s">
        <v>18</v>
      </c>
      <c r="E184" s="3" t="s">
        <v>15</v>
      </c>
      <c r="F184" s="3">
        <f t="shared" si="2"/>
        <v>1</v>
      </c>
      <c r="G184" s="3">
        <v>12347</v>
      </c>
      <c r="H184" s="3">
        <v>2</v>
      </c>
      <c r="I184" s="3">
        <v>61948</v>
      </c>
      <c r="J184" s="3">
        <f>IF(E184="Cold",1,0)</f>
        <v>1</v>
      </c>
      <c r="K184" s="3">
        <f>IF(E184="Hot",1,0)</f>
        <v>0</v>
      </c>
      <c r="L184" s="3">
        <v>1158</v>
      </c>
      <c r="M184" s="3">
        <v>96</v>
      </c>
      <c r="N184" s="4">
        <v>44724</v>
      </c>
      <c r="O184" s="10">
        <v>363671.30570000003</v>
      </c>
    </row>
    <row r="185" spans="1:15" x14ac:dyDescent="0.3">
      <c r="A185" s="2">
        <v>183</v>
      </c>
      <c r="B185" s="3" t="s">
        <v>37</v>
      </c>
      <c r="C185" s="3" t="s">
        <v>90</v>
      </c>
      <c r="D185" s="3" t="s">
        <v>18</v>
      </c>
      <c r="E185" s="3" t="s">
        <v>23</v>
      </c>
      <c r="F185" s="3">
        <f t="shared" si="2"/>
        <v>1</v>
      </c>
      <c r="G185" s="3">
        <v>11294</v>
      </c>
      <c r="H185" s="3">
        <v>6</v>
      </c>
      <c r="I185" s="3">
        <v>99410</v>
      </c>
      <c r="J185" s="3">
        <f>IF(E185="Cold",1,0)</f>
        <v>0</v>
      </c>
      <c r="K185" s="3">
        <f>IF(E185="Hot",1,0)</f>
        <v>0</v>
      </c>
      <c r="L185" s="3">
        <v>2858</v>
      </c>
      <c r="M185" s="3">
        <v>36</v>
      </c>
      <c r="N185" s="4">
        <v>43866</v>
      </c>
      <c r="O185" s="10">
        <v>403075.63780000003</v>
      </c>
    </row>
    <row r="186" spans="1:15" x14ac:dyDescent="0.3">
      <c r="A186" s="2">
        <v>184</v>
      </c>
      <c r="B186" s="3" t="s">
        <v>55</v>
      </c>
      <c r="C186" s="3" t="s">
        <v>56</v>
      </c>
      <c r="D186" s="3" t="s">
        <v>14</v>
      </c>
      <c r="E186" s="3" t="s">
        <v>21</v>
      </c>
      <c r="F186" s="3">
        <f t="shared" si="2"/>
        <v>0</v>
      </c>
      <c r="G186" s="3">
        <v>22475</v>
      </c>
      <c r="H186" s="3">
        <v>5</v>
      </c>
      <c r="I186" s="3">
        <v>91944</v>
      </c>
      <c r="J186" s="3">
        <f>IF(E186="Cold",1,0)</f>
        <v>0</v>
      </c>
      <c r="K186" s="3">
        <f>IF(E186="Hot",1,0)</f>
        <v>1</v>
      </c>
      <c r="L186" s="3">
        <v>2586</v>
      </c>
      <c r="M186" s="3">
        <v>94</v>
      </c>
      <c r="N186" s="4">
        <v>45473</v>
      </c>
      <c r="O186" s="10">
        <v>377416.14189999999</v>
      </c>
    </row>
    <row r="187" spans="1:15" x14ac:dyDescent="0.3">
      <c r="A187" s="2">
        <v>185</v>
      </c>
      <c r="B187" s="3" t="s">
        <v>72</v>
      </c>
      <c r="C187" s="3" t="s">
        <v>151</v>
      </c>
      <c r="D187" s="3" t="s">
        <v>14</v>
      </c>
      <c r="E187" s="3" t="s">
        <v>21</v>
      </c>
      <c r="F187" s="3">
        <f t="shared" si="2"/>
        <v>0</v>
      </c>
      <c r="G187" s="3">
        <v>1403</v>
      </c>
      <c r="H187" s="3">
        <v>6</v>
      </c>
      <c r="I187" s="3">
        <v>95636</v>
      </c>
      <c r="J187" s="3">
        <f>IF(E187="Cold",1,0)</f>
        <v>0</v>
      </c>
      <c r="K187" s="3">
        <f>IF(E187="Hot",1,0)</f>
        <v>1</v>
      </c>
      <c r="L187" s="3">
        <v>1832</v>
      </c>
      <c r="M187" s="3">
        <v>76</v>
      </c>
      <c r="N187" s="4">
        <v>44645</v>
      </c>
      <c r="O187" s="10">
        <v>320540.23540000001</v>
      </c>
    </row>
    <row r="188" spans="1:15" x14ac:dyDescent="0.3">
      <c r="A188" s="2">
        <v>186</v>
      </c>
      <c r="B188" s="3" t="s">
        <v>29</v>
      </c>
      <c r="C188" s="3" t="s">
        <v>135</v>
      </c>
      <c r="D188" s="3" t="s">
        <v>14</v>
      </c>
      <c r="E188" s="3" t="s">
        <v>23</v>
      </c>
      <c r="F188" s="3">
        <f t="shared" si="2"/>
        <v>0</v>
      </c>
      <c r="G188" s="3">
        <v>26327</v>
      </c>
      <c r="H188" s="3">
        <v>5</v>
      </c>
      <c r="I188" s="3">
        <v>59432</v>
      </c>
      <c r="J188" s="3">
        <f>IF(E188="Cold",1,0)</f>
        <v>0</v>
      </c>
      <c r="K188" s="3">
        <f>IF(E188="Hot",1,0)</f>
        <v>0</v>
      </c>
      <c r="L188" s="3">
        <v>1458</v>
      </c>
      <c r="M188" s="3">
        <v>53</v>
      </c>
      <c r="N188" s="4">
        <v>44890</v>
      </c>
      <c r="O188" s="10">
        <v>319922.82339999999</v>
      </c>
    </row>
    <row r="189" spans="1:15" x14ac:dyDescent="0.3">
      <c r="A189" s="2">
        <v>187</v>
      </c>
      <c r="B189" s="3" t="s">
        <v>29</v>
      </c>
      <c r="C189" s="3" t="s">
        <v>132</v>
      </c>
      <c r="D189" s="3" t="s">
        <v>14</v>
      </c>
      <c r="E189" s="3" t="s">
        <v>23</v>
      </c>
      <c r="F189" s="3">
        <f t="shared" si="2"/>
        <v>0</v>
      </c>
      <c r="G189" s="3">
        <v>8372</v>
      </c>
      <c r="H189" s="3">
        <v>0</v>
      </c>
      <c r="I189" s="3">
        <v>94572</v>
      </c>
      <c r="J189" s="3">
        <f>IF(E189="Cold",1,0)</f>
        <v>0</v>
      </c>
      <c r="K189" s="3">
        <f>IF(E189="Hot",1,0)</f>
        <v>0</v>
      </c>
      <c r="L189" s="3">
        <v>2675</v>
      </c>
      <c r="M189" s="3">
        <v>97</v>
      </c>
      <c r="N189" s="4">
        <v>44680</v>
      </c>
      <c r="O189" s="10">
        <v>356063.95760000002</v>
      </c>
    </row>
    <row r="190" spans="1:15" x14ac:dyDescent="0.3">
      <c r="A190" s="2">
        <v>188</v>
      </c>
      <c r="B190" s="3" t="s">
        <v>12</v>
      </c>
      <c r="C190" s="3" t="s">
        <v>47</v>
      </c>
      <c r="D190" s="3" t="s">
        <v>14</v>
      </c>
      <c r="E190" s="3" t="s">
        <v>15</v>
      </c>
      <c r="F190" s="3">
        <f t="shared" si="2"/>
        <v>0</v>
      </c>
      <c r="G190" s="3">
        <v>17367</v>
      </c>
      <c r="H190" s="3">
        <v>5</v>
      </c>
      <c r="I190" s="3">
        <v>51356</v>
      </c>
      <c r="J190" s="3">
        <f>IF(E190="Cold",1,0)</f>
        <v>1</v>
      </c>
      <c r="K190" s="3">
        <f>IF(E190="Hot",1,0)</f>
        <v>0</v>
      </c>
      <c r="L190" s="3">
        <v>2394</v>
      </c>
      <c r="M190" s="3">
        <v>38</v>
      </c>
      <c r="N190" s="4">
        <v>44416</v>
      </c>
      <c r="O190" s="10">
        <v>326244.26209999999</v>
      </c>
    </row>
    <row r="191" spans="1:15" x14ac:dyDescent="0.3">
      <c r="A191" s="2">
        <v>189</v>
      </c>
      <c r="B191" s="3" t="s">
        <v>53</v>
      </c>
      <c r="C191" s="3" t="s">
        <v>152</v>
      </c>
      <c r="D191" s="3" t="s">
        <v>18</v>
      </c>
      <c r="E191" s="3" t="s">
        <v>23</v>
      </c>
      <c r="F191" s="3">
        <f t="shared" si="2"/>
        <v>1</v>
      </c>
      <c r="G191" s="3">
        <v>10590</v>
      </c>
      <c r="H191" s="3">
        <v>5</v>
      </c>
      <c r="I191" s="3">
        <v>94206</v>
      </c>
      <c r="J191" s="3">
        <f>IF(E191="Cold",1,0)</f>
        <v>0</v>
      </c>
      <c r="K191" s="3">
        <f>IF(E191="Hot",1,0)</f>
        <v>0</v>
      </c>
      <c r="L191" s="3">
        <v>1845</v>
      </c>
      <c r="M191" s="3">
        <v>53</v>
      </c>
      <c r="N191" s="4">
        <v>44726</v>
      </c>
      <c r="O191" s="10">
        <v>354012.88549999997</v>
      </c>
    </row>
    <row r="192" spans="1:15" x14ac:dyDescent="0.3">
      <c r="A192" s="2">
        <v>190</v>
      </c>
      <c r="B192" s="3" t="s">
        <v>24</v>
      </c>
      <c r="C192" s="3" t="s">
        <v>94</v>
      </c>
      <c r="D192" s="3" t="s">
        <v>14</v>
      </c>
      <c r="E192" s="3" t="s">
        <v>15</v>
      </c>
      <c r="F192" s="3">
        <f t="shared" si="2"/>
        <v>0</v>
      </c>
      <c r="G192" s="3">
        <v>3505</v>
      </c>
      <c r="H192" s="3">
        <v>7</v>
      </c>
      <c r="I192" s="3">
        <v>81494</v>
      </c>
      <c r="J192" s="3">
        <f>IF(E192="Cold",1,0)</f>
        <v>1</v>
      </c>
      <c r="K192" s="3">
        <f>IF(E192="Hot",1,0)</f>
        <v>0</v>
      </c>
      <c r="L192" s="3">
        <v>2515</v>
      </c>
      <c r="M192" s="3">
        <v>53</v>
      </c>
      <c r="N192" s="4">
        <v>45412</v>
      </c>
      <c r="O192" s="10">
        <v>323025.62839999999</v>
      </c>
    </row>
    <row r="193" spans="1:15" x14ac:dyDescent="0.3">
      <c r="A193" s="2">
        <v>191</v>
      </c>
      <c r="B193" s="3" t="s">
        <v>74</v>
      </c>
      <c r="C193" s="3" t="s">
        <v>153</v>
      </c>
      <c r="D193" s="3" t="s">
        <v>14</v>
      </c>
      <c r="E193" s="3" t="s">
        <v>15</v>
      </c>
      <c r="F193" s="3">
        <f t="shared" si="2"/>
        <v>0</v>
      </c>
      <c r="G193" s="3">
        <v>2084</v>
      </c>
      <c r="H193" s="3">
        <v>8</v>
      </c>
      <c r="I193" s="3">
        <v>55868</v>
      </c>
      <c r="J193" s="3">
        <f>IF(E193="Cold",1,0)</f>
        <v>1</v>
      </c>
      <c r="K193" s="3">
        <f>IF(E193="Hot",1,0)</f>
        <v>0</v>
      </c>
      <c r="L193" s="3">
        <v>1502</v>
      </c>
      <c r="M193" s="3">
        <v>51</v>
      </c>
      <c r="N193" s="4">
        <v>45485</v>
      </c>
      <c r="O193" s="10">
        <v>297205.92420000001</v>
      </c>
    </row>
    <row r="194" spans="1:15" x14ac:dyDescent="0.3">
      <c r="A194" s="2">
        <v>192</v>
      </c>
      <c r="B194" s="3" t="s">
        <v>28</v>
      </c>
      <c r="C194" s="3" t="s">
        <v>102</v>
      </c>
      <c r="D194" s="3" t="s">
        <v>14</v>
      </c>
      <c r="E194" s="3" t="s">
        <v>23</v>
      </c>
      <c r="F194" s="3">
        <f t="shared" si="2"/>
        <v>0</v>
      </c>
      <c r="G194" s="3">
        <v>19793</v>
      </c>
      <c r="H194" s="3">
        <v>4</v>
      </c>
      <c r="I194" s="3">
        <v>52635</v>
      </c>
      <c r="J194" s="3">
        <f>IF(E194="Cold",1,0)</f>
        <v>0</v>
      </c>
      <c r="K194" s="3">
        <f>IF(E194="Hot",1,0)</f>
        <v>0</v>
      </c>
      <c r="L194" s="3">
        <v>1722</v>
      </c>
      <c r="M194" s="3">
        <v>53</v>
      </c>
      <c r="N194" s="4">
        <v>44537</v>
      </c>
      <c r="O194" s="10">
        <v>331670.19689999998</v>
      </c>
    </row>
    <row r="195" spans="1:15" x14ac:dyDescent="0.3">
      <c r="A195" s="2">
        <v>193</v>
      </c>
      <c r="B195" s="3" t="s">
        <v>31</v>
      </c>
      <c r="C195" s="3" t="s">
        <v>63</v>
      </c>
      <c r="D195" s="3" t="s">
        <v>14</v>
      </c>
      <c r="E195" s="3" t="s">
        <v>23</v>
      </c>
      <c r="F195" s="3">
        <f t="shared" ref="F195:F258" si="3">IF(D195=$F$1,1,0)</f>
        <v>0</v>
      </c>
      <c r="G195" s="3">
        <v>11868</v>
      </c>
      <c r="H195" s="3">
        <v>2</v>
      </c>
      <c r="I195" s="3">
        <v>79629</v>
      </c>
      <c r="J195" s="3">
        <f>IF(E195="Cold",1,0)</f>
        <v>0</v>
      </c>
      <c r="K195" s="3">
        <f>IF(E195="Hot",1,0)</f>
        <v>0</v>
      </c>
      <c r="L195" s="3">
        <v>2267</v>
      </c>
      <c r="M195" s="3">
        <v>31</v>
      </c>
      <c r="N195" s="4">
        <v>44352</v>
      </c>
      <c r="O195" s="10">
        <v>339266.8222</v>
      </c>
    </row>
    <row r="196" spans="1:15" x14ac:dyDescent="0.3">
      <c r="A196" s="2">
        <v>194</v>
      </c>
      <c r="B196" s="3" t="s">
        <v>24</v>
      </c>
      <c r="C196" s="3" t="s">
        <v>154</v>
      </c>
      <c r="D196" s="3" t="s">
        <v>14</v>
      </c>
      <c r="E196" s="3" t="s">
        <v>15</v>
      </c>
      <c r="F196" s="3">
        <f t="shared" si="3"/>
        <v>0</v>
      </c>
      <c r="G196" s="3">
        <v>7127</v>
      </c>
      <c r="H196" s="3">
        <v>7</v>
      </c>
      <c r="I196" s="3">
        <v>75074</v>
      </c>
      <c r="J196" s="3">
        <f>IF(E196="Cold",1,0)</f>
        <v>1</v>
      </c>
      <c r="K196" s="3">
        <f>IF(E196="Hot",1,0)</f>
        <v>0</v>
      </c>
      <c r="L196" s="3">
        <v>2928</v>
      </c>
      <c r="M196" s="3">
        <v>72</v>
      </c>
      <c r="N196" s="4">
        <v>45422</v>
      </c>
      <c r="O196" s="10">
        <v>347069.5563</v>
      </c>
    </row>
    <row r="197" spans="1:15" x14ac:dyDescent="0.3">
      <c r="A197" s="2">
        <v>195</v>
      </c>
      <c r="B197" s="3" t="s">
        <v>19</v>
      </c>
      <c r="C197" s="3" t="s">
        <v>155</v>
      </c>
      <c r="D197" s="3" t="s">
        <v>14</v>
      </c>
      <c r="E197" s="3" t="s">
        <v>21</v>
      </c>
      <c r="F197" s="3">
        <f t="shared" si="3"/>
        <v>0</v>
      </c>
      <c r="G197" s="3">
        <v>3938</v>
      </c>
      <c r="H197" s="3">
        <v>5</v>
      </c>
      <c r="I197" s="3">
        <v>87268</v>
      </c>
      <c r="J197" s="3">
        <f>IF(E197="Cold",1,0)</f>
        <v>0</v>
      </c>
      <c r="K197" s="3">
        <f>IF(E197="Hot",1,0)</f>
        <v>1</v>
      </c>
      <c r="L197" s="3">
        <v>1544</v>
      </c>
      <c r="M197" s="3">
        <v>27</v>
      </c>
      <c r="N197" s="4">
        <v>45213</v>
      </c>
      <c r="O197" s="10">
        <v>323583.81849999999</v>
      </c>
    </row>
    <row r="198" spans="1:15" x14ac:dyDescent="0.3">
      <c r="A198" s="2">
        <v>196</v>
      </c>
      <c r="B198" s="3" t="s">
        <v>33</v>
      </c>
      <c r="C198" s="3" t="s">
        <v>91</v>
      </c>
      <c r="D198" s="3" t="s">
        <v>18</v>
      </c>
      <c r="E198" s="3" t="s">
        <v>23</v>
      </c>
      <c r="F198" s="3">
        <f t="shared" si="3"/>
        <v>1</v>
      </c>
      <c r="G198" s="3">
        <v>11979</v>
      </c>
      <c r="H198" s="3">
        <v>1</v>
      </c>
      <c r="I198" s="3">
        <v>59532</v>
      </c>
      <c r="J198" s="3">
        <f>IF(E198="Cold",1,0)</f>
        <v>0</v>
      </c>
      <c r="K198" s="3">
        <f>IF(E198="Hot",1,0)</f>
        <v>0</v>
      </c>
      <c r="L198" s="3">
        <v>1436</v>
      </c>
      <c r="M198" s="3">
        <v>74</v>
      </c>
      <c r="N198" s="4">
        <v>45019</v>
      </c>
      <c r="O198" s="10">
        <v>382165.11810000002</v>
      </c>
    </row>
    <row r="199" spans="1:15" x14ac:dyDescent="0.3">
      <c r="A199" s="2">
        <v>197</v>
      </c>
      <c r="B199" s="3" t="s">
        <v>26</v>
      </c>
      <c r="C199" s="3" t="s">
        <v>156</v>
      </c>
      <c r="D199" s="3" t="s">
        <v>18</v>
      </c>
      <c r="E199" s="3" t="s">
        <v>21</v>
      </c>
      <c r="F199" s="3">
        <f t="shared" si="3"/>
        <v>1</v>
      </c>
      <c r="G199" s="3">
        <v>18342</v>
      </c>
      <c r="H199" s="3">
        <v>8</v>
      </c>
      <c r="I199" s="3">
        <v>96364</v>
      </c>
      <c r="J199" s="3">
        <f>IF(E199="Cold",1,0)</f>
        <v>0</v>
      </c>
      <c r="K199" s="3">
        <f>IF(E199="Hot",1,0)</f>
        <v>1</v>
      </c>
      <c r="L199" s="3">
        <v>2365</v>
      </c>
      <c r="M199" s="3">
        <v>47</v>
      </c>
      <c r="N199" s="4">
        <v>44130</v>
      </c>
      <c r="O199" s="10">
        <v>397717.67460000003</v>
      </c>
    </row>
    <row r="200" spans="1:15" x14ac:dyDescent="0.3">
      <c r="A200" s="2">
        <v>198</v>
      </c>
      <c r="B200" s="3" t="s">
        <v>53</v>
      </c>
      <c r="C200" s="3" t="s">
        <v>157</v>
      </c>
      <c r="D200" s="3" t="s">
        <v>18</v>
      </c>
      <c r="E200" s="3" t="s">
        <v>21</v>
      </c>
      <c r="F200" s="3">
        <f t="shared" si="3"/>
        <v>1</v>
      </c>
      <c r="G200" s="3">
        <v>7142</v>
      </c>
      <c r="H200" s="3">
        <v>0</v>
      </c>
      <c r="I200" s="3">
        <v>83170</v>
      </c>
      <c r="J200" s="3">
        <f>IF(E200="Cold",1,0)</f>
        <v>0</v>
      </c>
      <c r="K200" s="3">
        <f>IF(E200="Hot",1,0)</f>
        <v>1</v>
      </c>
      <c r="L200" s="3">
        <v>1936</v>
      </c>
      <c r="M200" s="3">
        <v>72</v>
      </c>
      <c r="N200" s="4">
        <v>44793</v>
      </c>
      <c r="O200" s="10">
        <v>389213.48839999997</v>
      </c>
    </row>
    <row r="201" spans="1:15" x14ac:dyDescent="0.3">
      <c r="A201" s="2">
        <v>199</v>
      </c>
      <c r="B201" s="3" t="s">
        <v>72</v>
      </c>
      <c r="C201" s="3" t="s">
        <v>158</v>
      </c>
      <c r="D201" s="3" t="s">
        <v>18</v>
      </c>
      <c r="E201" s="3" t="s">
        <v>15</v>
      </c>
      <c r="F201" s="3">
        <f t="shared" si="3"/>
        <v>1</v>
      </c>
      <c r="G201" s="3">
        <v>23729</v>
      </c>
      <c r="H201" s="3">
        <v>9</v>
      </c>
      <c r="I201" s="3">
        <v>75159</v>
      </c>
      <c r="J201" s="3">
        <f>IF(E201="Cold",1,0)</f>
        <v>1</v>
      </c>
      <c r="K201" s="3">
        <f>IF(E201="Hot",1,0)</f>
        <v>0</v>
      </c>
      <c r="L201" s="3">
        <v>1181</v>
      </c>
      <c r="M201" s="3">
        <v>34</v>
      </c>
      <c r="N201" s="4">
        <v>45259</v>
      </c>
      <c r="O201" s="10">
        <v>352110.3689</v>
      </c>
    </row>
    <row r="202" spans="1:15" x14ac:dyDescent="0.3">
      <c r="A202" s="2">
        <v>200</v>
      </c>
      <c r="B202" s="3" t="s">
        <v>26</v>
      </c>
      <c r="C202" s="3" t="s">
        <v>159</v>
      </c>
      <c r="D202" s="3" t="s">
        <v>18</v>
      </c>
      <c r="E202" s="3" t="s">
        <v>15</v>
      </c>
      <c r="F202" s="3">
        <f t="shared" si="3"/>
        <v>1</v>
      </c>
      <c r="G202" s="3">
        <v>2318</v>
      </c>
      <c r="H202" s="3">
        <v>7</v>
      </c>
      <c r="I202" s="3">
        <v>91950</v>
      </c>
      <c r="J202" s="3">
        <f>IF(E202="Cold",1,0)</f>
        <v>1</v>
      </c>
      <c r="K202" s="3">
        <f>IF(E202="Hot",1,0)</f>
        <v>0</v>
      </c>
      <c r="L202" s="3">
        <v>2964</v>
      </c>
      <c r="M202" s="3">
        <v>86</v>
      </c>
      <c r="N202" s="4">
        <v>44550</v>
      </c>
      <c r="O202" s="10">
        <v>373265.97899999999</v>
      </c>
    </row>
    <row r="203" spans="1:15" x14ac:dyDescent="0.3">
      <c r="A203" s="2">
        <v>201</v>
      </c>
      <c r="B203" s="3" t="s">
        <v>40</v>
      </c>
      <c r="C203" s="3" t="s">
        <v>42</v>
      </c>
      <c r="D203" s="3" t="s">
        <v>14</v>
      </c>
      <c r="E203" s="3" t="s">
        <v>23</v>
      </c>
      <c r="F203" s="3">
        <f t="shared" si="3"/>
        <v>0</v>
      </c>
      <c r="G203" s="3">
        <v>29556</v>
      </c>
      <c r="H203" s="3">
        <v>3</v>
      </c>
      <c r="I203" s="3">
        <v>59084</v>
      </c>
      <c r="J203" s="3">
        <f>IF(E203="Cold",1,0)</f>
        <v>0</v>
      </c>
      <c r="K203" s="3">
        <f>IF(E203="Hot",1,0)</f>
        <v>0</v>
      </c>
      <c r="L203" s="3">
        <v>2525</v>
      </c>
      <c r="M203" s="3">
        <v>68</v>
      </c>
      <c r="N203" s="4">
        <v>44580</v>
      </c>
      <c r="O203" s="10">
        <v>348555.10690000001</v>
      </c>
    </row>
    <row r="204" spans="1:15" x14ac:dyDescent="0.3">
      <c r="A204" s="2">
        <v>202</v>
      </c>
      <c r="B204" s="3" t="s">
        <v>55</v>
      </c>
      <c r="C204" s="3" t="s">
        <v>148</v>
      </c>
      <c r="D204" s="3" t="s">
        <v>18</v>
      </c>
      <c r="E204" s="3" t="s">
        <v>23</v>
      </c>
      <c r="F204" s="3">
        <f t="shared" si="3"/>
        <v>1</v>
      </c>
      <c r="G204" s="3">
        <v>13644</v>
      </c>
      <c r="H204" s="3">
        <v>0</v>
      </c>
      <c r="I204" s="3">
        <v>86147</v>
      </c>
      <c r="J204" s="3">
        <f>IF(E204="Cold",1,0)</f>
        <v>0</v>
      </c>
      <c r="K204" s="3">
        <f>IF(E204="Hot",1,0)</f>
        <v>0</v>
      </c>
      <c r="L204" s="3">
        <v>1675</v>
      </c>
      <c r="M204" s="3">
        <v>43</v>
      </c>
      <c r="N204" s="4">
        <v>45480</v>
      </c>
      <c r="O204" s="10">
        <v>384646.14539999998</v>
      </c>
    </row>
    <row r="205" spans="1:15" x14ac:dyDescent="0.3">
      <c r="A205" s="2">
        <v>203</v>
      </c>
      <c r="B205" s="3" t="s">
        <v>53</v>
      </c>
      <c r="C205" s="3" t="s">
        <v>157</v>
      </c>
      <c r="D205" s="3" t="s">
        <v>14</v>
      </c>
      <c r="E205" s="3" t="s">
        <v>15</v>
      </c>
      <c r="F205" s="3">
        <f t="shared" si="3"/>
        <v>0</v>
      </c>
      <c r="G205" s="3">
        <v>13496</v>
      </c>
      <c r="H205" s="3">
        <v>4</v>
      </c>
      <c r="I205" s="3">
        <v>95903</v>
      </c>
      <c r="J205" s="3">
        <f>IF(E205="Cold",1,0)</f>
        <v>1</v>
      </c>
      <c r="K205" s="3">
        <f>IF(E205="Hot",1,0)</f>
        <v>0</v>
      </c>
      <c r="L205" s="3">
        <v>2041</v>
      </c>
      <c r="M205" s="3">
        <v>94</v>
      </c>
      <c r="N205" s="4">
        <v>44765</v>
      </c>
      <c r="O205" s="10">
        <v>323746.65470000001</v>
      </c>
    </row>
    <row r="206" spans="1:15" x14ac:dyDescent="0.3">
      <c r="A206" s="2">
        <v>204</v>
      </c>
      <c r="B206" s="3" t="s">
        <v>72</v>
      </c>
      <c r="C206" s="3" t="s">
        <v>160</v>
      </c>
      <c r="D206" s="3" t="s">
        <v>18</v>
      </c>
      <c r="E206" s="3" t="s">
        <v>23</v>
      </c>
      <c r="F206" s="3">
        <f t="shared" si="3"/>
        <v>1</v>
      </c>
      <c r="G206" s="3">
        <v>18816</v>
      </c>
      <c r="H206" s="3">
        <v>2</v>
      </c>
      <c r="I206" s="3">
        <v>80093</v>
      </c>
      <c r="J206" s="3">
        <f>IF(E206="Cold",1,0)</f>
        <v>0</v>
      </c>
      <c r="K206" s="3">
        <f>IF(E206="Hot",1,0)</f>
        <v>0</v>
      </c>
      <c r="L206" s="3">
        <v>2713</v>
      </c>
      <c r="M206" s="3">
        <v>71</v>
      </c>
      <c r="N206" s="4">
        <v>44565</v>
      </c>
      <c r="O206" s="10">
        <v>393955.61259999999</v>
      </c>
    </row>
    <row r="207" spans="1:15" x14ac:dyDescent="0.3">
      <c r="A207" s="2">
        <v>205</v>
      </c>
      <c r="B207" s="3" t="s">
        <v>108</v>
      </c>
      <c r="C207" s="3" t="s">
        <v>161</v>
      </c>
      <c r="D207" s="3" t="s">
        <v>14</v>
      </c>
      <c r="E207" s="3" t="s">
        <v>21</v>
      </c>
      <c r="F207" s="3">
        <f t="shared" si="3"/>
        <v>0</v>
      </c>
      <c r="G207" s="3">
        <v>24974</v>
      </c>
      <c r="H207" s="3">
        <v>7</v>
      </c>
      <c r="I207" s="3">
        <v>98522</v>
      </c>
      <c r="J207" s="3">
        <f>IF(E207="Cold",1,0)</f>
        <v>0</v>
      </c>
      <c r="K207" s="3">
        <f>IF(E207="Hot",1,0)</f>
        <v>1</v>
      </c>
      <c r="L207" s="3">
        <v>2709</v>
      </c>
      <c r="M207" s="3">
        <v>76</v>
      </c>
      <c r="N207" s="4">
        <v>45156</v>
      </c>
      <c r="O207" s="10">
        <v>358947.62670000002</v>
      </c>
    </row>
    <row r="208" spans="1:15" x14ac:dyDescent="0.3">
      <c r="A208" s="2">
        <v>206</v>
      </c>
      <c r="B208" s="3" t="s">
        <v>57</v>
      </c>
      <c r="C208" s="3" t="s">
        <v>162</v>
      </c>
      <c r="D208" s="3" t="s">
        <v>18</v>
      </c>
      <c r="E208" s="3" t="s">
        <v>23</v>
      </c>
      <c r="F208" s="3">
        <f t="shared" si="3"/>
        <v>1</v>
      </c>
      <c r="G208" s="3">
        <v>22893</v>
      </c>
      <c r="H208" s="3">
        <v>4</v>
      </c>
      <c r="I208" s="3">
        <v>88306</v>
      </c>
      <c r="J208" s="3">
        <f>IF(E208="Cold",1,0)</f>
        <v>0</v>
      </c>
      <c r="K208" s="3">
        <f>IF(E208="Hot",1,0)</f>
        <v>0</v>
      </c>
      <c r="L208" s="3">
        <v>2768</v>
      </c>
      <c r="M208" s="3">
        <v>71</v>
      </c>
      <c r="N208" s="4">
        <v>44394</v>
      </c>
      <c r="O208" s="10">
        <v>413696.47450000001</v>
      </c>
    </row>
    <row r="209" spans="1:15" x14ac:dyDescent="0.3">
      <c r="A209" s="2">
        <v>207</v>
      </c>
      <c r="B209" s="3" t="s">
        <v>74</v>
      </c>
      <c r="C209" s="3" t="s">
        <v>163</v>
      </c>
      <c r="D209" s="3" t="s">
        <v>14</v>
      </c>
      <c r="E209" s="3" t="s">
        <v>15</v>
      </c>
      <c r="F209" s="3">
        <f t="shared" si="3"/>
        <v>0</v>
      </c>
      <c r="G209" s="3">
        <v>22330</v>
      </c>
      <c r="H209" s="3">
        <v>1</v>
      </c>
      <c r="I209" s="3">
        <v>81803</v>
      </c>
      <c r="J209" s="3">
        <f>IF(E209="Cold",1,0)</f>
        <v>1</v>
      </c>
      <c r="K209" s="3">
        <f>IF(E209="Hot",1,0)</f>
        <v>0</v>
      </c>
      <c r="L209" s="3">
        <v>1367</v>
      </c>
      <c r="M209" s="3">
        <v>65</v>
      </c>
      <c r="N209" s="4">
        <v>44309</v>
      </c>
      <c r="O209" s="10">
        <v>300808.07809999998</v>
      </c>
    </row>
    <row r="210" spans="1:15" x14ac:dyDescent="0.3">
      <c r="A210" s="2">
        <v>208</v>
      </c>
      <c r="B210" s="3" t="s">
        <v>33</v>
      </c>
      <c r="C210" s="3" t="s">
        <v>34</v>
      </c>
      <c r="D210" s="3" t="s">
        <v>18</v>
      </c>
      <c r="E210" s="3" t="s">
        <v>21</v>
      </c>
      <c r="F210" s="3">
        <f t="shared" si="3"/>
        <v>1</v>
      </c>
      <c r="G210" s="3">
        <v>28781</v>
      </c>
      <c r="H210" s="3">
        <v>6</v>
      </c>
      <c r="I210" s="3">
        <v>54553</v>
      </c>
      <c r="J210" s="3">
        <f>IF(E210="Cold",1,0)</f>
        <v>0</v>
      </c>
      <c r="K210" s="3">
        <f>IF(E210="Hot",1,0)</f>
        <v>1</v>
      </c>
      <c r="L210" s="3">
        <v>1837</v>
      </c>
      <c r="M210" s="3">
        <v>71</v>
      </c>
      <c r="N210" s="4">
        <v>45324</v>
      </c>
      <c r="O210" s="10">
        <v>380110.6556</v>
      </c>
    </row>
    <row r="211" spans="1:15" x14ac:dyDescent="0.3">
      <c r="A211" s="2">
        <v>209</v>
      </c>
      <c r="B211" s="3" t="s">
        <v>72</v>
      </c>
      <c r="C211" s="3" t="s">
        <v>96</v>
      </c>
      <c r="D211" s="3" t="s">
        <v>14</v>
      </c>
      <c r="E211" s="3" t="s">
        <v>15</v>
      </c>
      <c r="F211" s="3">
        <f t="shared" si="3"/>
        <v>0</v>
      </c>
      <c r="G211" s="3">
        <v>15671</v>
      </c>
      <c r="H211" s="3">
        <v>7</v>
      </c>
      <c r="I211" s="3">
        <v>78781</v>
      </c>
      <c r="J211" s="3">
        <f>IF(E211="Cold",1,0)</f>
        <v>1</v>
      </c>
      <c r="K211" s="3">
        <f>IF(E211="Hot",1,0)</f>
        <v>0</v>
      </c>
      <c r="L211" s="3">
        <v>2301</v>
      </c>
      <c r="M211" s="3">
        <v>53</v>
      </c>
      <c r="N211" s="4">
        <v>44252</v>
      </c>
      <c r="O211" s="10">
        <v>335194.10989999998</v>
      </c>
    </row>
    <row r="212" spans="1:15" x14ac:dyDescent="0.3">
      <c r="A212" s="2">
        <v>210</v>
      </c>
      <c r="B212" s="3" t="s">
        <v>33</v>
      </c>
      <c r="C212" s="3" t="s">
        <v>80</v>
      </c>
      <c r="D212" s="3" t="s">
        <v>18</v>
      </c>
      <c r="E212" s="3" t="s">
        <v>21</v>
      </c>
      <c r="F212" s="3">
        <f t="shared" si="3"/>
        <v>1</v>
      </c>
      <c r="G212" s="3">
        <v>13994</v>
      </c>
      <c r="H212" s="3">
        <v>6</v>
      </c>
      <c r="I212" s="3">
        <v>87476</v>
      </c>
      <c r="J212" s="3">
        <f>IF(E212="Cold",1,0)</f>
        <v>0</v>
      </c>
      <c r="K212" s="3">
        <f>IF(E212="Hot",1,0)</f>
        <v>1</v>
      </c>
      <c r="L212" s="3">
        <v>1559</v>
      </c>
      <c r="M212" s="3">
        <v>27</v>
      </c>
      <c r="N212" s="4">
        <v>45016</v>
      </c>
      <c r="O212" s="10">
        <v>375589.5097</v>
      </c>
    </row>
    <row r="213" spans="1:15" x14ac:dyDescent="0.3">
      <c r="A213" s="2">
        <v>211</v>
      </c>
      <c r="B213" s="3" t="s">
        <v>29</v>
      </c>
      <c r="C213" s="3" t="s">
        <v>164</v>
      </c>
      <c r="D213" s="3" t="s">
        <v>18</v>
      </c>
      <c r="E213" s="3" t="s">
        <v>15</v>
      </c>
      <c r="F213" s="3">
        <f t="shared" si="3"/>
        <v>1</v>
      </c>
      <c r="G213" s="3">
        <v>26470</v>
      </c>
      <c r="H213" s="3">
        <v>9</v>
      </c>
      <c r="I213" s="3">
        <v>51102</v>
      </c>
      <c r="J213" s="3">
        <f>IF(E213="Cold",1,0)</f>
        <v>1</v>
      </c>
      <c r="K213" s="3">
        <f>IF(E213="Hot",1,0)</f>
        <v>0</v>
      </c>
      <c r="L213" s="3">
        <v>2399</v>
      </c>
      <c r="M213" s="3">
        <v>40</v>
      </c>
      <c r="N213" s="4">
        <v>45455</v>
      </c>
      <c r="O213" s="10">
        <v>371157.01980000001</v>
      </c>
    </row>
    <row r="214" spans="1:15" x14ac:dyDescent="0.3">
      <c r="A214" s="2">
        <v>212</v>
      </c>
      <c r="B214" s="3" t="s">
        <v>40</v>
      </c>
      <c r="C214" s="3" t="s">
        <v>71</v>
      </c>
      <c r="D214" s="3" t="s">
        <v>18</v>
      </c>
      <c r="E214" s="3" t="s">
        <v>23</v>
      </c>
      <c r="F214" s="3">
        <f t="shared" si="3"/>
        <v>1</v>
      </c>
      <c r="G214" s="3">
        <v>21057</v>
      </c>
      <c r="H214" s="3">
        <v>6</v>
      </c>
      <c r="I214" s="3">
        <v>98011</v>
      </c>
      <c r="J214" s="3">
        <f>IF(E214="Cold",1,0)</f>
        <v>0</v>
      </c>
      <c r="K214" s="3">
        <f>IF(E214="Hot",1,0)</f>
        <v>0</v>
      </c>
      <c r="L214" s="3">
        <v>1102</v>
      </c>
      <c r="M214" s="3">
        <v>69</v>
      </c>
      <c r="N214" s="4">
        <v>44209</v>
      </c>
      <c r="O214" s="10">
        <v>377693.12729999999</v>
      </c>
    </row>
    <row r="215" spans="1:15" x14ac:dyDescent="0.3">
      <c r="A215" s="2">
        <v>213</v>
      </c>
      <c r="B215" s="3" t="s">
        <v>12</v>
      </c>
      <c r="C215" s="3" t="s">
        <v>76</v>
      </c>
      <c r="D215" s="3" t="s">
        <v>18</v>
      </c>
      <c r="E215" s="3" t="s">
        <v>23</v>
      </c>
      <c r="F215" s="3">
        <f t="shared" si="3"/>
        <v>1</v>
      </c>
      <c r="G215" s="3">
        <v>5666</v>
      </c>
      <c r="H215" s="3">
        <v>1</v>
      </c>
      <c r="I215" s="3">
        <v>95633</v>
      </c>
      <c r="J215" s="3">
        <f>IF(E215="Cold",1,0)</f>
        <v>0</v>
      </c>
      <c r="K215" s="3">
        <f>IF(E215="Hot",1,0)</f>
        <v>0</v>
      </c>
      <c r="L215" s="3">
        <v>1082</v>
      </c>
      <c r="M215" s="3">
        <v>28</v>
      </c>
      <c r="N215" s="4">
        <v>44867</v>
      </c>
      <c r="O215" s="10">
        <v>355204.64</v>
      </c>
    </row>
    <row r="216" spans="1:15" x14ac:dyDescent="0.3">
      <c r="A216" s="2">
        <v>214</v>
      </c>
      <c r="B216" s="3" t="s">
        <v>31</v>
      </c>
      <c r="C216" s="3" t="s">
        <v>146</v>
      </c>
      <c r="D216" s="3" t="s">
        <v>18</v>
      </c>
      <c r="E216" s="3" t="s">
        <v>23</v>
      </c>
      <c r="F216" s="3">
        <f t="shared" si="3"/>
        <v>1</v>
      </c>
      <c r="G216" s="3">
        <v>27657</v>
      </c>
      <c r="H216" s="3">
        <v>8</v>
      </c>
      <c r="I216" s="3">
        <v>71031</v>
      </c>
      <c r="J216" s="3">
        <f>IF(E216="Cold",1,0)</f>
        <v>0</v>
      </c>
      <c r="K216" s="3">
        <f>IF(E216="Hot",1,0)</f>
        <v>0</v>
      </c>
      <c r="L216" s="3">
        <v>2396</v>
      </c>
      <c r="M216" s="3">
        <v>32</v>
      </c>
      <c r="N216" s="4">
        <v>44400</v>
      </c>
      <c r="O216" s="10">
        <v>382333.63410000002</v>
      </c>
    </row>
    <row r="217" spans="1:15" x14ac:dyDescent="0.3">
      <c r="A217" s="2">
        <v>215</v>
      </c>
      <c r="B217" s="3" t="s">
        <v>37</v>
      </c>
      <c r="C217" s="3" t="s">
        <v>38</v>
      </c>
      <c r="D217" s="3" t="s">
        <v>18</v>
      </c>
      <c r="E217" s="3" t="s">
        <v>15</v>
      </c>
      <c r="F217" s="3">
        <f t="shared" si="3"/>
        <v>1</v>
      </c>
      <c r="G217" s="3">
        <v>24602</v>
      </c>
      <c r="H217" s="3">
        <v>0</v>
      </c>
      <c r="I217" s="3">
        <v>71501</v>
      </c>
      <c r="J217" s="3">
        <f>IF(E217="Cold",1,0)</f>
        <v>1</v>
      </c>
      <c r="K217" s="3">
        <f>IF(E217="Hot",1,0)</f>
        <v>0</v>
      </c>
      <c r="L217" s="3">
        <v>1547</v>
      </c>
      <c r="M217" s="3">
        <v>50</v>
      </c>
      <c r="N217" s="4">
        <v>45214</v>
      </c>
      <c r="O217" s="10">
        <v>344648.44130000001</v>
      </c>
    </row>
    <row r="218" spans="1:15" x14ac:dyDescent="0.3">
      <c r="A218" s="2">
        <v>216</v>
      </c>
      <c r="B218" s="3" t="s">
        <v>55</v>
      </c>
      <c r="C218" s="3" t="s">
        <v>67</v>
      </c>
      <c r="D218" s="3" t="s">
        <v>14</v>
      </c>
      <c r="E218" s="3" t="s">
        <v>23</v>
      </c>
      <c r="F218" s="3">
        <f t="shared" si="3"/>
        <v>0</v>
      </c>
      <c r="G218" s="3">
        <v>27549</v>
      </c>
      <c r="H218" s="3">
        <v>3</v>
      </c>
      <c r="I218" s="3">
        <v>63141</v>
      </c>
      <c r="J218" s="3">
        <f>IF(E218="Cold",1,0)</f>
        <v>0</v>
      </c>
      <c r="K218" s="3">
        <f>IF(E218="Hot",1,0)</f>
        <v>0</v>
      </c>
      <c r="L218" s="3">
        <v>1040</v>
      </c>
      <c r="M218" s="3">
        <v>55</v>
      </c>
      <c r="N218" s="4">
        <v>45097</v>
      </c>
      <c r="O218" s="10">
        <v>312437.48210000002</v>
      </c>
    </row>
    <row r="219" spans="1:15" x14ac:dyDescent="0.3">
      <c r="A219" s="2">
        <v>217</v>
      </c>
      <c r="B219" s="3" t="s">
        <v>28</v>
      </c>
      <c r="C219" s="3" t="s">
        <v>46</v>
      </c>
      <c r="D219" s="3" t="s">
        <v>18</v>
      </c>
      <c r="E219" s="3" t="s">
        <v>15</v>
      </c>
      <c r="F219" s="3">
        <f t="shared" si="3"/>
        <v>1</v>
      </c>
      <c r="G219" s="3">
        <v>16637</v>
      </c>
      <c r="H219" s="3">
        <v>5</v>
      </c>
      <c r="I219" s="3">
        <v>50695</v>
      </c>
      <c r="J219" s="3">
        <f>IF(E219="Cold",1,0)</f>
        <v>1</v>
      </c>
      <c r="K219" s="3">
        <f>IF(E219="Hot",1,0)</f>
        <v>0</v>
      </c>
      <c r="L219" s="3">
        <v>2989</v>
      </c>
      <c r="M219" s="3">
        <v>32</v>
      </c>
      <c r="N219" s="4">
        <v>44074</v>
      </c>
      <c r="O219" s="10">
        <v>369807.45360000001</v>
      </c>
    </row>
    <row r="220" spans="1:15" x14ac:dyDescent="0.3">
      <c r="A220" s="2">
        <v>218</v>
      </c>
      <c r="B220" s="3" t="s">
        <v>108</v>
      </c>
      <c r="C220" s="3" t="s">
        <v>117</v>
      </c>
      <c r="D220" s="3" t="s">
        <v>18</v>
      </c>
      <c r="E220" s="3" t="s">
        <v>15</v>
      </c>
      <c r="F220" s="3">
        <f t="shared" si="3"/>
        <v>1</v>
      </c>
      <c r="G220" s="3">
        <v>13798</v>
      </c>
      <c r="H220" s="3">
        <v>3</v>
      </c>
      <c r="I220" s="3">
        <v>78668</v>
      </c>
      <c r="J220" s="3">
        <f>IF(E220="Cold",1,0)</f>
        <v>1</v>
      </c>
      <c r="K220" s="3">
        <f>IF(E220="Hot",1,0)</f>
        <v>0</v>
      </c>
      <c r="L220" s="3">
        <v>2783</v>
      </c>
      <c r="M220" s="3">
        <v>92</v>
      </c>
      <c r="N220" s="4">
        <v>44262</v>
      </c>
      <c r="O220" s="10">
        <v>385515.95240000001</v>
      </c>
    </row>
    <row r="221" spans="1:15" x14ac:dyDescent="0.3">
      <c r="A221" s="2">
        <v>219</v>
      </c>
      <c r="B221" s="3" t="s">
        <v>24</v>
      </c>
      <c r="C221" s="3" t="s">
        <v>77</v>
      </c>
      <c r="D221" s="3" t="s">
        <v>18</v>
      </c>
      <c r="E221" s="3" t="s">
        <v>23</v>
      </c>
      <c r="F221" s="3">
        <f t="shared" si="3"/>
        <v>1</v>
      </c>
      <c r="G221" s="3">
        <v>21792</v>
      </c>
      <c r="H221" s="3">
        <v>8</v>
      </c>
      <c r="I221" s="3">
        <v>98423</v>
      </c>
      <c r="J221" s="3">
        <f>IF(E221="Cold",1,0)</f>
        <v>0</v>
      </c>
      <c r="K221" s="3">
        <f>IF(E221="Hot",1,0)</f>
        <v>0</v>
      </c>
      <c r="L221" s="3">
        <v>1445</v>
      </c>
      <c r="M221" s="3">
        <v>29</v>
      </c>
      <c r="N221" s="4">
        <v>44081</v>
      </c>
      <c r="O221" s="10">
        <v>375817.6018</v>
      </c>
    </row>
    <row r="222" spans="1:15" x14ac:dyDescent="0.3">
      <c r="A222" s="2">
        <v>220</v>
      </c>
      <c r="B222" s="3" t="s">
        <v>35</v>
      </c>
      <c r="C222" s="3" t="s">
        <v>62</v>
      </c>
      <c r="D222" s="3" t="s">
        <v>18</v>
      </c>
      <c r="E222" s="3" t="s">
        <v>21</v>
      </c>
      <c r="F222" s="3">
        <f t="shared" si="3"/>
        <v>1</v>
      </c>
      <c r="G222" s="3">
        <v>16589</v>
      </c>
      <c r="H222" s="3">
        <v>4</v>
      </c>
      <c r="I222" s="3">
        <v>79687</v>
      </c>
      <c r="J222" s="3">
        <f>IF(E222="Cold",1,0)</f>
        <v>0</v>
      </c>
      <c r="K222" s="3">
        <f>IF(E222="Hot",1,0)</f>
        <v>1</v>
      </c>
      <c r="L222" s="3">
        <v>1326</v>
      </c>
      <c r="M222" s="3">
        <v>33</v>
      </c>
      <c r="N222" s="4">
        <v>44280</v>
      </c>
      <c r="O222" s="10">
        <v>386563.65120000002</v>
      </c>
    </row>
    <row r="223" spans="1:15" x14ac:dyDescent="0.3">
      <c r="A223" s="2">
        <v>221</v>
      </c>
      <c r="B223" s="3" t="s">
        <v>26</v>
      </c>
      <c r="C223" s="3" t="s">
        <v>48</v>
      </c>
      <c r="D223" s="3" t="s">
        <v>18</v>
      </c>
      <c r="E223" s="3" t="s">
        <v>15</v>
      </c>
      <c r="F223" s="3">
        <f t="shared" si="3"/>
        <v>1</v>
      </c>
      <c r="G223" s="3">
        <v>9297</v>
      </c>
      <c r="H223" s="3">
        <v>0</v>
      </c>
      <c r="I223" s="3">
        <v>97703</v>
      </c>
      <c r="J223" s="3">
        <f>IF(E223="Cold",1,0)</f>
        <v>1</v>
      </c>
      <c r="K223" s="3">
        <f>IF(E223="Hot",1,0)</f>
        <v>0</v>
      </c>
      <c r="L223" s="3">
        <v>2264</v>
      </c>
      <c r="M223" s="3">
        <v>45</v>
      </c>
      <c r="N223" s="4">
        <v>44634</v>
      </c>
      <c r="O223" s="10">
        <v>395258.93939999997</v>
      </c>
    </row>
    <row r="224" spans="1:15" x14ac:dyDescent="0.3">
      <c r="A224" s="2">
        <v>222</v>
      </c>
      <c r="B224" s="3" t="s">
        <v>19</v>
      </c>
      <c r="C224" s="3" t="s">
        <v>130</v>
      </c>
      <c r="D224" s="3" t="s">
        <v>14</v>
      </c>
      <c r="E224" s="3" t="s">
        <v>15</v>
      </c>
      <c r="F224" s="3">
        <f t="shared" si="3"/>
        <v>0</v>
      </c>
      <c r="G224" s="3">
        <v>13763</v>
      </c>
      <c r="H224" s="3">
        <v>2</v>
      </c>
      <c r="I224" s="3">
        <v>56408</v>
      </c>
      <c r="J224" s="3">
        <f>IF(E224="Cold",1,0)</f>
        <v>1</v>
      </c>
      <c r="K224" s="3">
        <f>IF(E224="Hot",1,0)</f>
        <v>0</v>
      </c>
      <c r="L224" s="3">
        <v>1472</v>
      </c>
      <c r="M224" s="3">
        <v>69</v>
      </c>
      <c r="N224" s="4">
        <v>44359</v>
      </c>
      <c r="O224" s="10">
        <v>295783.04310000001</v>
      </c>
    </row>
    <row r="225" spans="1:15" x14ac:dyDescent="0.3">
      <c r="A225" s="2">
        <v>223</v>
      </c>
      <c r="B225" s="3" t="s">
        <v>31</v>
      </c>
      <c r="C225" s="3" t="s">
        <v>165</v>
      </c>
      <c r="D225" s="3" t="s">
        <v>18</v>
      </c>
      <c r="E225" s="3" t="s">
        <v>23</v>
      </c>
      <c r="F225" s="3">
        <f t="shared" si="3"/>
        <v>1</v>
      </c>
      <c r="G225" s="3">
        <v>12272</v>
      </c>
      <c r="H225" s="3">
        <v>4</v>
      </c>
      <c r="I225" s="3">
        <v>77136</v>
      </c>
      <c r="J225" s="3">
        <f>IF(E225="Cold",1,0)</f>
        <v>0</v>
      </c>
      <c r="K225" s="3">
        <f>IF(E225="Hot",1,0)</f>
        <v>0</v>
      </c>
      <c r="L225" s="3">
        <v>1161</v>
      </c>
      <c r="M225" s="3">
        <v>97</v>
      </c>
      <c r="N225" s="4">
        <v>44809</v>
      </c>
      <c r="O225" s="10">
        <v>400407.25400000002</v>
      </c>
    </row>
    <row r="226" spans="1:15" x14ac:dyDescent="0.3">
      <c r="A226" s="2">
        <v>224</v>
      </c>
      <c r="B226" s="3" t="s">
        <v>37</v>
      </c>
      <c r="C226" s="3" t="s">
        <v>166</v>
      </c>
      <c r="D226" s="3" t="s">
        <v>14</v>
      </c>
      <c r="E226" s="3" t="s">
        <v>23</v>
      </c>
      <c r="F226" s="3">
        <f t="shared" si="3"/>
        <v>0</v>
      </c>
      <c r="G226" s="3">
        <v>7819</v>
      </c>
      <c r="H226" s="3">
        <v>4</v>
      </c>
      <c r="I226" s="3">
        <v>79586</v>
      </c>
      <c r="J226" s="3">
        <f>IF(E226="Cold",1,0)</f>
        <v>0</v>
      </c>
      <c r="K226" s="3">
        <f>IF(E226="Hot",1,0)</f>
        <v>0</v>
      </c>
      <c r="L226" s="3">
        <v>1197</v>
      </c>
      <c r="M226" s="3">
        <v>49</v>
      </c>
      <c r="N226" s="4">
        <v>45035</v>
      </c>
      <c r="O226" s="10">
        <v>316642.15500000003</v>
      </c>
    </row>
    <row r="227" spans="1:15" x14ac:dyDescent="0.3">
      <c r="A227" s="2">
        <v>225</v>
      </c>
      <c r="B227" s="3" t="s">
        <v>74</v>
      </c>
      <c r="C227" s="3" t="s">
        <v>113</v>
      </c>
      <c r="D227" s="3" t="s">
        <v>14</v>
      </c>
      <c r="E227" s="3" t="s">
        <v>21</v>
      </c>
      <c r="F227" s="3">
        <f t="shared" si="3"/>
        <v>0</v>
      </c>
      <c r="G227" s="3">
        <v>3670</v>
      </c>
      <c r="H227" s="3">
        <v>1</v>
      </c>
      <c r="I227" s="3">
        <v>96581</v>
      </c>
      <c r="J227" s="3">
        <f>IF(E227="Cold",1,0)</f>
        <v>0</v>
      </c>
      <c r="K227" s="3">
        <f>IF(E227="Hot",1,0)</f>
        <v>1</v>
      </c>
      <c r="L227" s="3">
        <v>2969</v>
      </c>
      <c r="M227" s="3">
        <v>92</v>
      </c>
      <c r="N227" s="4">
        <v>45543</v>
      </c>
      <c r="O227" s="10">
        <v>376969.51040000003</v>
      </c>
    </row>
    <row r="228" spans="1:15" x14ac:dyDescent="0.3">
      <c r="A228" s="2">
        <v>226</v>
      </c>
      <c r="B228" s="3" t="s">
        <v>74</v>
      </c>
      <c r="C228" s="3" t="s">
        <v>163</v>
      </c>
      <c r="D228" s="3" t="s">
        <v>14</v>
      </c>
      <c r="E228" s="3" t="s">
        <v>21</v>
      </c>
      <c r="F228" s="3">
        <f t="shared" si="3"/>
        <v>0</v>
      </c>
      <c r="G228" s="3">
        <v>16476</v>
      </c>
      <c r="H228" s="3">
        <v>5</v>
      </c>
      <c r="I228" s="3">
        <v>70586</v>
      </c>
      <c r="J228" s="3">
        <f>IF(E228="Cold",1,0)</f>
        <v>0</v>
      </c>
      <c r="K228" s="3">
        <f>IF(E228="Hot",1,0)</f>
        <v>1</v>
      </c>
      <c r="L228" s="3">
        <v>2692</v>
      </c>
      <c r="M228" s="3">
        <v>97</v>
      </c>
      <c r="N228" s="4">
        <v>44275</v>
      </c>
      <c r="O228" s="10">
        <v>342924.2867</v>
      </c>
    </row>
    <row r="229" spans="1:15" x14ac:dyDescent="0.3">
      <c r="A229" s="2">
        <v>227</v>
      </c>
      <c r="B229" s="3" t="s">
        <v>35</v>
      </c>
      <c r="C229" s="3" t="s">
        <v>139</v>
      </c>
      <c r="D229" s="3" t="s">
        <v>18</v>
      </c>
      <c r="E229" s="3" t="s">
        <v>21</v>
      </c>
      <c r="F229" s="3">
        <f t="shared" si="3"/>
        <v>1</v>
      </c>
      <c r="G229" s="3">
        <v>9132</v>
      </c>
      <c r="H229" s="3">
        <v>3</v>
      </c>
      <c r="I229" s="3">
        <v>96329</v>
      </c>
      <c r="J229" s="3">
        <f>IF(E229="Cold",1,0)</f>
        <v>0</v>
      </c>
      <c r="K229" s="3">
        <f>IF(E229="Hot",1,0)</f>
        <v>1</v>
      </c>
      <c r="L229" s="3">
        <v>2473</v>
      </c>
      <c r="M229" s="3">
        <v>67</v>
      </c>
      <c r="N229" s="4">
        <v>45291</v>
      </c>
      <c r="O229" s="10">
        <v>392126.56699999998</v>
      </c>
    </row>
    <row r="230" spans="1:15" x14ac:dyDescent="0.3">
      <c r="A230" s="2">
        <v>228</v>
      </c>
      <c r="B230" s="3" t="s">
        <v>72</v>
      </c>
      <c r="C230" s="3" t="s">
        <v>167</v>
      </c>
      <c r="D230" s="3" t="s">
        <v>18</v>
      </c>
      <c r="E230" s="3" t="s">
        <v>15</v>
      </c>
      <c r="F230" s="3">
        <f t="shared" si="3"/>
        <v>1</v>
      </c>
      <c r="G230" s="3">
        <v>7620</v>
      </c>
      <c r="H230" s="3">
        <v>9</v>
      </c>
      <c r="I230" s="3">
        <v>76567</v>
      </c>
      <c r="J230" s="3">
        <f>IF(E230="Cold",1,0)</f>
        <v>1</v>
      </c>
      <c r="K230" s="3">
        <f>IF(E230="Hot",1,0)</f>
        <v>0</v>
      </c>
      <c r="L230" s="3">
        <v>1831</v>
      </c>
      <c r="M230" s="3">
        <v>94</v>
      </c>
      <c r="N230" s="4">
        <v>43929</v>
      </c>
      <c r="O230" s="10">
        <v>342151.85969999997</v>
      </c>
    </row>
    <row r="231" spans="1:15" x14ac:dyDescent="0.3">
      <c r="A231" s="2">
        <v>229</v>
      </c>
      <c r="B231" s="3" t="s">
        <v>33</v>
      </c>
      <c r="C231" s="3" t="s">
        <v>80</v>
      </c>
      <c r="D231" s="3" t="s">
        <v>18</v>
      </c>
      <c r="E231" s="3" t="s">
        <v>21</v>
      </c>
      <c r="F231" s="3">
        <f t="shared" si="3"/>
        <v>1</v>
      </c>
      <c r="G231" s="3">
        <v>4920</v>
      </c>
      <c r="H231" s="3">
        <v>7</v>
      </c>
      <c r="I231" s="3">
        <v>74050</v>
      </c>
      <c r="J231" s="3">
        <f>IF(E231="Cold",1,0)</f>
        <v>0</v>
      </c>
      <c r="K231" s="3">
        <f>IF(E231="Hot",1,0)</f>
        <v>1</v>
      </c>
      <c r="L231" s="3">
        <v>2119</v>
      </c>
      <c r="M231" s="3">
        <v>68</v>
      </c>
      <c r="N231" s="4">
        <v>44727</v>
      </c>
      <c r="O231" s="10">
        <v>392393.93589999998</v>
      </c>
    </row>
    <row r="232" spans="1:15" x14ac:dyDescent="0.3">
      <c r="A232" s="2">
        <v>230</v>
      </c>
      <c r="B232" s="3" t="s">
        <v>37</v>
      </c>
      <c r="C232" s="3" t="s">
        <v>118</v>
      </c>
      <c r="D232" s="3" t="s">
        <v>14</v>
      </c>
      <c r="E232" s="3" t="s">
        <v>21</v>
      </c>
      <c r="F232" s="3">
        <f t="shared" si="3"/>
        <v>0</v>
      </c>
      <c r="G232" s="3">
        <v>3349</v>
      </c>
      <c r="H232" s="3">
        <v>3</v>
      </c>
      <c r="I232" s="3">
        <v>74857</v>
      </c>
      <c r="J232" s="3">
        <f>IF(E232="Cold",1,0)</f>
        <v>0</v>
      </c>
      <c r="K232" s="3">
        <f>IF(E232="Hot",1,0)</f>
        <v>1</v>
      </c>
      <c r="L232" s="3">
        <v>2519</v>
      </c>
      <c r="M232" s="3">
        <v>22</v>
      </c>
      <c r="N232" s="4">
        <v>44043</v>
      </c>
      <c r="O232" s="10">
        <v>334609.76980000001</v>
      </c>
    </row>
    <row r="233" spans="1:15" x14ac:dyDescent="0.3">
      <c r="A233" s="2">
        <v>231</v>
      </c>
      <c r="B233" s="3" t="s">
        <v>57</v>
      </c>
      <c r="C233" s="3" t="s">
        <v>168</v>
      </c>
      <c r="D233" s="3" t="s">
        <v>18</v>
      </c>
      <c r="E233" s="3" t="s">
        <v>23</v>
      </c>
      <c r="F233" s="3">
        <f t="shared" si="3"/>
        <v>1</v>
      </c>
      <c r="G233" s="3">
        <v>16168</v>
      </c>
      <c r="H233" s="3">
        <v>9</v>
      </c>
      <c r="I233" s="3">
        <v>71263</v>
      </c>
      <c r="J233" s="3">
        <f>IF(E233="Cold",1,0)</f>
        <v>0</v>
      </c>
      <c r="K233" s="3">
        <f>IF(E233="Hot",1,0)</f>
        <v>0</v>
      </c>
      <c r="L233" s="3">
        <v>1430</v>
      </c>
      <c r="M233" s="3">
        <v>64</v>
      </c>
      <c r="N233" s="4">
        <v>44763</v>
      </c>
      <c r="O233" s="10">
        <v>354374.20850000001</v>
      </c>
    </row>
    <row r="234" spans="1:15" x14ac:dyDescent="0.3">
      <c r="A234" s="2">
        <v>232</v>
      </c>
      <c r="B234" s="3" t="s">
        <v>55</v>
      </c>
      <c r="C234" s="3" t="s">
        <v>169</v>
      </c>
      <c r="D234" s="3" t="s">
        <v>14</v>
      </c>
      <c r="E234" s="3" t="s">
        <v>23</v>
      </c>
      <c r="F234" s="3">
        <f t="shared" si="3"/>
        <v>0</v>
      </c>
      <c r="G234" s="3">
        <v>2269</v>
      </c>
      <c r="H234" s="3">
        <v>6</v>
      </c>
      <c r="I234" s="3">
        <v>70207</v>
      </c>
      <c r="J234" s="3">
        <f>IF(E234="Cold",1,0)</f>
        <v>0</v>
      </c>
      <c r="K234" s="3">
        <f>IF(E234="Hot",1,0)</f>
        <v>0</v>
      </c>
      <c r="L234" s="3">
        <v>2081</v>
      </c>
      <c r="M234" s="3">
        <v>72</v>
      </c>
      <c r="N234" s="4">
        <v>44794</v>
      </c>
      <c r="O234" s="10">
        <v>317956.70110000001</v>
      </c>
    </row>
    <row r="235" spans="1:15" x14ac:dyDescent="0.3">
      <c r="A235" s="2">
        <v>233</v>
      </c>
      <c r="B235" s="3" t="s">
        <v>74</v>
      </c>
      <c r="C235" s="3" t="s">
        <v>106</v>
      </c>
      <c r="D235" s="3" t="s">
        <v>18</v>
      </c>
      <c r="E235" s="3" t="s">
        <v>21</v>
      </c>
      <c r="F235" s="3">
        <f t="shared" si="3"/>
        <v>1</v>
      </c>
      <c r="G235" s="3">
        <v>3395</v>
      </c>
      <c r="H235" s="3">
        <v>0</v>
      </c>
      <c r="I235" s="3">
        <v>94320</v>
      </c>
      <c r="J235" s="3">
        <f>IF(E235="Cold",1,0)</f>
        <v>0</v>
      </c>
      <c r="K235" s="3">
        <f>IF(E235="Hot",1,0)</f>
        <v>1</v>
      </c>
      <c r="L235" s="3">
        <v>2477</v>
      </c>
      <c r="M235" s="3">
        <v>96</v>
      </c>
      <c r="N235" s="4">
        <v>44874</v>
      </c>
      <c r="O235" s="10">
        <v>425582.92729999998</v>
      </c>
    </row>
    <row r="236" spans="1:15" x14ac:dyDescent="0.3">
      <c r="A236" s="2">
        <v>234</v>
      </c>
      <c r="B236" s="3" t="s">
        <v>31</v>
      </c>
      <c r="C236" s="3" t="s">
        <v>170</v>
      </c>
      <c r="D236" s="3" t="s">
        <v>14</v>
      </c>
      <c r="E236" s="3" t="s">
        <v>15</v>
      </c>
      <c r="F236" s="3">
        <f t="shared" si="3"/>
        <v>0</v>
      </c>
      <c r="G236" s="3">
        <v>20853</v>
      </c>
      <c r="H236" s="3">
        <v>3</v>
      </c>
      <c r="I236" s="3">
        <v>71767</v>
      </c>
      <c r="J236" s="3">
        <f>IF(E236="Cold",1,0)</f>
        <v>1</v>
      </c>
      <c r="K236" s="3">
        <f>IF(E236="Hot",1,0)</f>
        <v>0</v>
      </c>
      <c r="L236" s="3">
        <v>2526</v>
      </c>
      <c r="M236" s="3">
        <v>80</v>
      </c>
      <c r="N236" s="4">
        <v>44137</v>
      </c>
      <c r="O236" s="10">
        <v>333805.2892</v>
      </c>
    </row>
    <row r="237" spans="1:15" x14ac:dyDescent="0.3">
      <c r="A237" s="2">
        <v>235</v>
      </c>
      <c r="B237" s="3" t="s">
        <v>16</v>
      </c>
      <c r="C237" s="3" t="s">
        <v>171</v>
      </c>
      <c r="D237" s="3" t="s">
        <v>18</v>
      </c>
      <c r="E237" s="3" t="s">
        <v>23</v>
      </c>
      <c r="F237" s="3">
        <f t="shared" si="3"/>
        <v>1</v>
      </c>
      <c r="G237" s="3">
        <v>15750</v>
      </c>
      <c r="H237" s="3">
        <v>4</v>
      </c>
      <c r="I237" s="3">
        <v>82136</v>
      </c>
      <c r="J237" s="3">
        <f>IF(E237="Cold",1,0)</f>
        <v>0</v>
      </c>
      <c r="K237" s="3">
        <f>IF(E237="Hot",1,0)</f>
        <v>0</v>
      </c>
      <c r="L237" s="3">
        <v>2522</v>
      </c>
      <c r="M237" s="3">
        <v>51</v>
      </c>
      <c r="N237" s="4">
        <v>43958</v>
      </c>
      <c r="O237" s="10">
        <v>407400.5147</v>
      </c>
    </row>
    <row r="238" spans="1:15" x14ac:dyDescent="0.3">
      <c r="A238" s="2">
        <v>236</v>
      </c>
      <c r="B238" s="3" t="s">
        <v>19</v>
      </c>
      <c r="C238" s="3" t="s">
        <v>60</v>
      </c>
      <c r="D238" s="3" t="s">
        <v>18</v>
      </c>
      <c r="E238" s="3" t="s">
        <v>21</v>
      </c>
      <c r="F238" s="3">
        <f t="shared" si="3"/>
        <v>1</v>
      </c>
      <c r="G238" s="3">
        <v>27705</v>
      </c>
      <c r="H238" s="3">
        <v>6</v>
      </c>
      <c r="I238" s="3">
        <v>64572</v>
      </c>
      <c r="J238" s="3">
        <f>IF(E238="Cold",1,0)</f>
        <v>0</v>
      </c>
      <c r="K238" s="3">
        <f>IF(E238="Hot",1,0)</f>
        <v>1</v>
      </c>
      <c r="L238" s="3">
        <v>2758</v>
      </c>
      <c r="M238" s="3">
        <v>69</v>
      </c>
      <c r="N238" s="4">
        <v>44022</v>
      </c>
      <c r="O238" s="10">
        <v>420052.25939999998</v>
      </c>
    </row>
    <row r="239" spans="1:15" x14ac:dyDescent="0.3">
      <c r="A239" s="2">
        <v>237</v>
      </c>
      <c r="B239" s="3" t="s">
        <v>31</v>
      </c>
      <c r="C239" s="3" t="s">
        <v>63</v>
      </c>
      <c r="D239" s="3" t="s">
        <v>14</v>
      </c>
      <c r="E239" s="3" t="s">
        <v>21</v>
      </c>
      <c r="F239" s="3">
        <f t="shared" si="3"/>
        <v>0</v>
      </c>
      <c r="G239" s="3">
        <v>3737</v>
      </c>
      <c r="H239" s="3">
        <v>4</v>
      </c>
      <c r="I239" s="3">
        <v>56452</v>
      </c>
      <c r="J239" s="3">
        <f>IF(E239="Cold",1,0)</f>
        <v>0</v>
      </c>
      <c r="K239" s="3">
        <f>IF(E239="Hot",1,0)</f>
        <v>1</v>
      </c>
      <c r="L239" s="3">
        <v>1680</v>
      </c>
      <c r="M239" s="3">
        <v>71</v>
      </c>
      <c r="N239" s="4">
        <v>44201</v>
      </c>
      <c r="O239" s="10">
        <v>321760.16190000001</v>
      </c>
    </row>
    <row r="240" spans="1:15" x14ac:dyDescent="0.3">
      <c r="A240" s="2">
        <v>238</v>
      </c>
      <c r="B240" s="3" t="s">
        <v>31</v>
      </c>
      <c r="C240" s="3" t="s">
        <v>172</v>
      </c>
      <c r="D240" s="3" t="s">
        <v>18</v>
      </c>
      <c r="E240" s="3" t="s">
        <v>21</v>
      </c>
      <c r="F240" s="3">
        <f t="shared" si="3"/>
        <v>1</v>
      </c>
      <c r="G240" s="3">
        <v>6771</v>
      </c>
      <c r="H240" s="3">
        <v>8</v>
      </c>
      <c r="I240" s="3">
        <v>62306</v>
      </c>
      <c r="J240" s="3">
        <f>IF(E240="Cold",1,0)</f>
        <v>0</v>
      </c>
      <c r="K240" s="3">
        <f>IF(E240="Hot",1,0)</f>
        <v>1</v>
      </c>
      <c r="L240" s="3">
        <v>1900</v>
      </c>
      <c r="M240" s="3">
        <v>89</v>
      </c>
      <c r="N240" s="4">
        <v>44045</v>
      </c>
      <c r="O240" s="10">
        <v>391773.67619999999</v>
      </c>
    </row>
    <row r="241" spans="1:15" x14ac:dyDescent="0.3">
      <c r="A241" s="2">
        <v>239</v>
      </c>
      <c r="B241" s="3" t="s">
        <v>26</v>
      </c>
      <c r="C241" s="3" t="s">
        <v>93</v>
      </c>
      <c r="D241" s="3" t="s">
        <v>18</v>
      </c>
      <c r="E241" s="3" t="s">
        <v>15</v>
      </c>
      <c r="F241" s="3">
        <f t="shared" si="3"/>
        <v>1</v>
      </c>
      <c r="G241" s="3">
        <v>13701</v>
      </c>
      <c r="H241" s="3">
        <v>6</v>
      </c>
      <c r="I241" s="3">
        <v>66647</v>
      </c>
      <c r="J241" s="3">
        <f>IF(E241="Cold",1,0)</f>
        <v>1</v>
      </c>
      <c r="K241" s="3">
        <f>IF(E241="Hot",1,0)</f>
        <v>0</v>
      </c>
      <c r="L241" s="3">
        <v>2639</v>
      </c>
      <c r="M241" s="3">
        <v>90</v>
      </c>
      <c r="N241" s="4">
        <v>45005</v>
      </c>
      <c r="O241" s="10">
        <v>371424.40090000001</v>
      </c>
    </row>
    <row r="242" spans="1:15" x14ac:dyDescent="0.3">
      <c r="A242" s="2">
        <v>240</v>
      </c>
      <c r="B242" s="3" t="s">
        <v>29</v>
      </c>
      <c r="C242" s="3" t="s">
        <v>30</v>
      </c>
      <c r="D242" s="3" t="s">
        <v>18</v>
      </c>
      <c r="E242" s="3" t="s">
        <v>15</v>
      </c>
      <c r="F242" s="3">
        <f t="shared" si="3"/>
        <v>1</v>
      </c>
      <c r="G242" s="3">
        <v>6644</v>
      </c>
      <c r="H242" s="3">
        <v>4</v>
      </c>
      <c r="I242" s="3">
        <v>55320</v>
      </c>
      <c r="J242" s="3">
        <f>IF(E242="Cold",1,0)</f>
        <v>1</v>
      </c>
      <c r="K242" s="3">
        <f>IF(E242="Hot",1,0)</f>
        <v>0</v>
      </c>
      <c r="L242" s="3">
        <v>2925</v>
      </c>
      <c r="M242" s="3">
        <v>20</v>
      </c>
      <c r="N242" s="4">
        <v>43949</v>
      </c>
      <c r="O242" s="10">
        <v>351460.08350000001</v>
      </c>
    </row>
    <row r="243" spans="1:15" x14ac:dyDescent="0.3">
      <c r="A243" s="2">
        <v>241</v>
      </c>
      <c r="B243" s="3" t="s">
        <v>12</v>
      </c>
      <c r="C243" s="3" t="s">
        <v>173</v>
      </c>
      <c r="D243" s="3" t="s">
        <v>18</v>
      </c>
      <c r="E243" s="3" t="s">
        <v>15</v>
      </c>
      <c r="F243" s="3">
        <f t="shared" si="3"/>
        <v>1</v>
      </c>
      <c r="G243" s="3">
        <v>18396</v>
      </c>
      <c r="H243" s="3">
        <v>8</v>
      </c>
      <c r="I243" s="3">
        <v>95977</v>
      </c>
      <c r="J243" s="3">
        <f>IF(E243="Cold",1,0)</f>
        <v>1</v>
      </c>
      <c r="K243" s="3">
        <f>IF(E243="Hot",1,0)</f>
        <v>0</v>
      </c>
      <c r="L243" s="3">
        <v>2606</v>
      </c>
      <c r="M243" s="3">
        <v>51</v>
      </c>
      <c r="N243" s="4">
        <v>43949</v>
      </c>
      <c r="O243" s="10">
        <v>361774.07319999998</v>
      </c>
    </row>
    <row r="244" spans="1:15" x14ac:dyDescent="0.3">
      <c r="A244" s="2">
        <v>242</v>
      </c>
      <c r="B244" s="3" t="s">
        <v>37</v>
      </c>
      <c r="C244" s="3" t="s">
        <v>61</v>
      </c>
      <c r="D244" s="3" t="s">
        <v>18</v>
      </c>
      <c r="E244" s="3" t="s">
        <v>15</v>
      </c>
      <c r="F244" s="3">
        <f t="shared" si="3"/>
        <v>1</v>
      </c>
      <c r="G244" s="3">
        <v>8030</v>
      </c>
      <c r="H244" s="3">
        <v>0</v>
      </c>
      <c r="I244" s="3">
        <v>91863</v>
      </c>
      <c r="J244" s="3">
        <f>IF(E244="Cold",1,0)</f>
        <v>1</v>
      </c>
      <c r="K244" s="3">
        <f>IF(E244="Hot",1,0)</f>
        <v>0</v>
      </c>
      <c r="L244" s="3">
        <v>1756</v>
      </c>
      <c r="M244" s="3">
        <v>58</v>
      </c>
      <c r="N244" s="4">
        <v>45112</v>
      </c>
      <c r="O244" s="10">
        <v>343148.52350000001</v>
      </c>
    </row>
    <row r="245" spans="1:15" x14ac:dyDescent="0.3">
      <c r="A245" s="2">
        <v>243</v>
      </c>
      <c r="B245" s="3" t="s">
        <v>29</v>
      </c>
      <c r="C245" s="3" t="s">
        <v>110</v>
      </c>
      <c r="D245" s="3" t="s">
        <v>18</v>
      </c>
      <c r="E245" s="3" t="s">
        <v>21</v>
      </c>
      <c r="F245" s="3">
        <f t="shared" si="3"/>
        <v>1</v>
      </c>
      <c r="G245" s="3">
        <v>7971</v>
      </c>
      <c r="H245" s="3">
        <v>0</v>
      </c>
      <c r="I245" s="3">
        <v>98146</v>
      </c>
      <c r="J245" s="3">
        <f>IF(E245="Cold",1,0)</f>
        <v>0</v>
      </c>
      <c r="K245" s="3">
        <f>IF(E245="Hot",1,0)</f>
        <v>1</v>
      </c>
      <c r="L245" s="3">
        <v>1826</v>
      </c>
      <c r="M245" s="3">
        <v>94</v>
      </c>
      <c r="N245" s="4">
        <v>45376</v>
      </c>
      <c r="O245" s="10">
        <v>370839.3052</v>
      </c>
    </row>
    <row r="246" spans="1:15" x14ac:dyDescent="0.3">
      <c r="A246" s="2">
        <v>244</v>
      </c>
      <c r="B246" s="3" t="s">
        <v>37</v>
      </c>
      <c r="C246" s="3" t="s">
        <v>166</v>
      </c>
      <c r="D246" s="3" t="s">
        <v>14</v>
      </c>
      <c r="E246" s="3" t="s">
        <v>15</v>
      </c>
      <c r="F246" s="3">
        <f t="shared" si="3"/>
        <v>0</v>
      </c>
      <c r="G246" s="3">
        <v>27314</v>
      </c>
      <c r="H246" s="3">
        <v>6</v>
      </c>
      <c r="I246" s="3">
        <v>58070</v>
      </c>
      <c r="J246" s="3">
        <f>IF(E246="Cold",1,0)</f>
        <v>1</v>
      </c>
      <c r="K246" s="3">
        <f>IF(E246="Hot",1,0)</f>
        <v>0</v>
      </c>
      <c r="L246" s="3">
        <v>1638</v>
      </c>
      <c r="M246" s="3">
        <v>33</v>
      </c>
      <c r="N246" s="4">
        <v>44271</v>
      </c>
      <c r="O246" s="10">
        <v>309612.60399999999</v>
      </c>
    </row>
    <row r="247" spans="1:15" x14ac:dyDescent="0.3">
      <c r="A247" s="2">
        <v>245</v>
      </c>
      <c r="B247" s="3" t="s">
        <v>57</v>
      </c>
      <c r="C247" s="3" t="s">
        <v>174</v>
      </c>
      <c r="D247" s="3" t="s">
        <v>14</v>
      </c>
      <c r="E247" s="3" t="s">
        <v>21</v>
      </c>
      <c r="F247" s="3">
        <f t="shared" si="3"/>
        <v>0</v>
      </c>
      <c r="G247" s="3">
        <v>7296</v>
      </c>
      <c r="H247" s="3">
        <v>7</v>
      </c>
      <c r="I247" s="3">
        <v>66418</v>
      </c>
      <c r="J247" s="3">
        <f>IF(E247="Cold",1,0)</f>
        <v>0</v>
      </c>
      <c r="K247" s="3">
        <f>IF(E247="Hot",1,0)</f>
        <v>1</v>
      </c>
      <c r="L247" s="3">
        <v>2961</v>
      </c>
      <c r="M247" s="3">
        <v>51</v>
      </c>
      <c r="N247" s="4">
        <v>44362</v>
      </c>
      <c r="O247" s="10">
        <v>334052.15710000001</v>
      </c>
    </row>
    <row r="248" spans="1:15" x14ac:dyDescent="0.3">
      <c r="A248" s="2">
        <v>246</v>
      </c>
      <c r="B248" s="3" t="s">
        <v>55</v>
      </c>
      <c r="C248" s="3" t="s">
        <v>175</v>
      </c>
      <c r="D248" s="3" t="s">
        <v>14</v>
      </c>
      <c r="E248" s="3" t="s">
        <v>21</v>
      </c>
      <c r="F248" s="3">
        <f t="shared" si="3"/>
        <v>0</v>
      </c>
      <c r="G248" s="3">
        <v>15078</v>
      </c>
      <c r="H248" s="3">
        <v>9</v>
      </c>
      <c r="I248" s="3">
        <v>58937</v>
      </c>
      <c r="J248" s="3">
        <f>IF(E248="Cold",1,0)</f>
        <v>0</v>
      </c>
      <c r="K248" s="3">
        <f>IF(E248="Hot",1,0)</f>
        <v>1</v>
      </c>
      <c r="L248" s="3">
        <v>1428</v>
      </c>
      <c r="M248" s="3">
        <v>84</v>
      </c>
      <c r="N248" s="4">
        <v>44909</v>
      </c>
      <c r="O248" s="10">
        <v>340650.16110000003</v>
      </c>
    </row>
    <row r="249" spans="1:15" x14ac:dyDescent="0.3">
      <c r="A249" s="2">
        <v>247</v>
      </c>
      <c r="B249" s="3" t="s">
        <v>16</v>
      </c>
      <c r="C249" s="3" t="s">
        <v>176</v>
      </c>
      <c r="D249" s="3" t="s">
        <v>18</v>
      </c>
      <c r="E249" s="3" t="s">
        <v>21</v>
      </c>
      <c r="F249" s="3">
        <f t="shared" si="3"/>
        <v>1</v>
      </c>
      <c r="G249" s="3">
        <v>4119</v>
      </c>
      <c r="H249" s="3">
        <v>2</v>
      </c>
      <c r="I249" s="3">
        <v>65275</v>
      </c>
      <c r="J249" s="3">
        <f>IF(E249="Cold",1,0)</f>
        <v>0</v>
      </c>
      <c r="K249" s="3">
        <f>IF(E249="Hot",1,0)</f>
        <v>1</v>
      </c>
      <c r="L249" s="3">
        <v>1346</v>
      </c>
      <c r="M249" s="3">
        <v>34</v>
      </c>
      <c r="N249" s="4">
        <v>45329</v>
      </c>
      <c r="O249" s="10">
        <v>362982.96899999998</v>
      </c>
    </row>
    <row r="250" spans="1:15" x14ac:dyDescent="0.3">
      <c r="A250" s="2">
        <v>248</v>
      </c>
      <c r="B250" s="3" t="s">
        <v>55</v>
      </c>
      <c r="C250" s="3" t="s">
        <v>98</v>
      </c>
      <c r="D250" s="3" t="s">
        <v>14</v>
      </c>
      <c r="E250" s="3" t="s">
        <v>15</v>
      </c>
      <c r="F250" s="3">
        <f t="shared" si="3"/>
        <v>0</v>
      </c>
      <c r="G250" s="3">
        <v>14249</v>
      </c>
      <c r="H250" s="3">
        <v>6</v>
      </c>
      <c r="I250" s="3">
        <v>76428</v>
      </c>
      <c r="J250" s="3">
        <f>IF(E250="Cold",1,0)</f>
        <v>1</v>
      </c>
      <c r="K250" s="3">
        <f>IF(E250="Hot",1,0)</f>
        <v>0</v>
      </c>
      <c r="L250" s="3">
        <v>1167</v>
      </c>
      <c r="M250" s="3">
        <v>81</v>
      </c>
      <c r="N250" s="4">
        <v>44303</v>
      </c>
      <c r="O250" s="10">
        <v>318307.56449999998</v>
      </c>
    </row>
    <row r="251" spans="1:15" x14ac:dyDescent="0.3">
      <c r="A251" s="2">
        <v>249</v>
      </c>
      <c r="B251" s="3" t="s">
        <v>74</v>
      </c>
      <c r="C251" s="3" t="s">
        <v>120</v>
      </c>
      <c r="D251" s="3" t="s">
        <v>14</v>
      </c>
      <c r="E251" s="3" t="s">
        <v>15</v>
      </c>
      <c r="F251" s="3">
        <f t="shared" si="3"/>
        <v>0</v>
      </c>
      <c r="G251" s="3">
        <v>18393</v>
      </c>
      <c r="H251" s="3">
        <v>6</v>
      </c>
      <c r="I251" s="3">
        <v>75439</v>
      </c>
      <c r="J251" s="3">
        <f>IF(E251="Cold",1,0)</f>
        <v>1</v>
      </c>
      <c r="K251" s="3">
        <f>IF(E251="Hot",1,0)</f>
        <v>0</v>
      </c>
      <c r="L251" s="3">
        <v>2430</v>
      </c>
      <c r="M251" s="3">
        <v>78</v>
      </c>
      <c r="N251" s="4">
        <v>43951</v>
      </c>
      <c r="O251" s="10">
        <v>337300.5196</v>
      </c>
    </row>
    <row r="252" spans="1:15" x14ac:dyDescent="0.3">
      <c r="A252" s="2">
        <v>250</v>
      </c>
      <c r="B252" s="3" t="s">
        <v>29</v>
      </c>
      <c r="C252" s="3" t="s">
        <v>132</v>
      </c>
      <c r="D252" s="3" t="s">
        <v>18</v>
      </c>
      <c r="E252" s="3" t="s">
        <v>21</v>
      </c>
      <c r="F252" s="3">
        <f t="shared" si="3"/>
        <v>1</v>
      </c>
      <c r="G252" s="3">
        <v>22226</v>
      </c>
      <c r="H252" s="3">
        <v>3</v>
      </c>
      <c r="I252" s="3">
        <v>77804</v>
      </c>
      <c r="J252" s="3">
        <f>IF(E252="Cold",1,0)</f>
        <v>0</v>
      </c>
      <c r="K252" s="3">
        <f>IF(E252="Hot",1,0)</f>
        <v>1</v>
      </c>
      <c r="L252" s="3">
        <v>2141</v>
      </c>
      <c r="M252" s="3">
        <v>52</v>
      </c>
      <c r="N252" s="4">
        <v>44479</v>
      </c>
      <c r="O252" s="10">
        <v>409656.0294</v>
      </c>
    </row>
    <row r="253" spans="1:15" x14ac:dyDescent="0.3">
      <c r="A253" s="2">
        <v>251</v>
      </c>
      <c r="B253" s="3" t="s">
        <v>72</v>
      </c>
      <c r="C253" s="3" t="s">
        <v>147</v>
      </c>
      <c r="D253" s="3" t="s">
        <v>18</v>
      </c>
      <c r="E253" s="3" t="s">
        <v>21</v>
      </c>
      <c r="F253" s="3">
        <f t="shared" si="3"/>
        <v>1</v>
      </c>
      <c r="G253" s="3">
        <v>17946</v>
      </c>
      <c r="H253" s="3">
        <v>6</v>
      </c>
      <c r="I253" s="3">
        <v>92191</v>
      </c>
      <c r="J253" s="3">
        <f>IF(E253="Cold",1,0)</f>
        <v>0</v>
      </c>
      <c r="K253" s="3">
        <f>IF(E253="Hot",1,0)</f>
        <v>1</v>
      </c>
      <c r="L253" s="3">
        <v>2401</v>
      </c>
      <c r="M253" s="3">
        <v>85</v>
      </c>
      <c r="N253" s="4">
        <v>45290</v>
      </c>
      <c r="O253" s="10">
        <v>398541.61469999998</v>
      </c>
    </row>
    <row r="254" spans="1:15" x14ac:dyDescent="0.3">
      <c r="A254" s="2">
        <v>252</v>
      </c>
      <c r="B254" s="3" t="s">
        <v>29</v>
      </c>
      <c r="C254" s="3" t="s">
        <v>135</v>
      </c>
      <c r="D254" s="3" t="s">
        <v>18</v>
      </c>
      <c r="E254" s="3" t="s">
        <v>23</v>
      </c>
      <c r="F254" s="3">
        <f t="shared" si="3"/>
        <v>1</v>
      </c>
      <c r="G254" s="3">
        <v>17179</v>
      </c>
      <c r="H254" s="3">
        <v>1</v>
      </c>
      <c r="I254" s="3">
        <v>92229</v>
      </c>
      <c r="J254" s="3">
        <f>IF(E254="Cold",1,0)</f>
        <v>0</v>
      </c>
      <c r="K254" s="3">
        <f>IF(E254="Hot",1,0)</f>
        <v>0</v>
      </c>
      <c r="L254" s="3">
        <v>1553</v>
      </c>
      <c r="M254" s="3">
        <v>65</v>
      </c>
      <c r="N254" s="4">
        <v>44593</v>
      </c>
      <c r="O254" s="10">
        <v>365394.26360000001</v>
      </c>
    </row>
    <row r="255" spans="1:15" x14ac:dyDescent="0.3">
      <c r="A255" s="2">
        <v>253</v>
      </c>
      <c r="B255" s="3" t="s">
        <v>44</v>
      </c>
      <c r="C255" s="3" t="s">
        <v>65</v>
      </c>
      <c r="D255" s="3" t="s">
        <v>14</v>
      </c>
      <c r="E255" s="3" t="s">
        <v>15</v>
      </c>
      <c r="F255" s="3">
        <f t="shared" si="3"/>
        <v>0</v>
      </c>
      <c r="G255" s="3">
        <v>12984</v>
      </c>
      <c r="H255" s="3">
        <v>6</v>
      </c>
      <c r="I255" s="3">
        <v>66818</v>
      </c>
      <c r="J255" s="3">
        <f>IF(E255="Cold",1,0)</f>
        <v>1</v>
      </c>
      <c r="K255" s="3">
        <f>IF(E255="Hot",1,0)</f>
        <v>0</v>
      </c>
      <c r="L255" s="3">
        <v>2139</v>
      </c>
      <c r="M255" s="3">
        <v>39</v>
      </c>
      <c r="N255" s="4">
        <v>44558</v>
      </c>
      <c r="O255" s="10">
        <v>309523.42969999998</v>
      </c>
    </row>
    <row r="256" spans="1:15" x14ac:dyDescent="0.3">
      <c r="A256" s="2">
        <v>254</v>
      </c>
      <c r="B256" s="3" t="s">
        <v>35</v>
      </c>
      <c r="C256" s="3" t="s">
        <v>177</v>
      </c>
      <c r="D256" s="3" t="s">
        <v>18</v>
      </c>
      <c r="E256" s="3" t="s">
        <v>15</v>
      </c>
      <c r="F256" s="3">
        <f t="shared" si="3"/>
        <v>1</v>
      </c>
      <c r="G256" s="3">
        <v>10963</v>
      </c>
      <c r="H256" s="3">
        <v>0</v>
      </c>
      <c r="I256" s="3">
        <v>83537</v>
      </c>
      <c r="J256" s="3">
        <f>IF(E256="Cold",1,0)</f>
        <v>1</v>
      </c>
      <c r="K256" s="3">
        <f>IF(E256="Hot",1,0)</f>
        <v>0</v>
      </c>
      <c r="L256" s="3">
        <v>1095</v>
      </c>
      <c r="M256" s="3">
        <v>37</v>
      </c>
      <c r="N256" s="4">
        <v>44314</v>
      </c>
      <c r="O256" s="10">
        <v>343026.5883</v>
      </c>
    </row>
    <row r="257" spans="1:15" x14ac:dyDescent="0.3">
      <c r="A257" s="2">
        <v>255</v>
      </c>
      <c r="B257" s="3" t="s">
        <v>40</v>
      </c>
      <c r="C257" s="3" t="s">
        <v>136</v>
      </c>
      <c r="D257" s="3" t="s">
        <v>14</v>
      </c>
      <c r="E257" s="3" t="s">
        <v>21</v>
      </c>
      <c r="F257" s="3">
        <f t="shared" si="3"/>
        <v>0</v>
      </c>
      <c r="G257" s="3">
        <v>8141</v>
      </c>
      <c r="H257" s="3">
        <v>5</v>
      </c>
      <c r="I257" s="3">
        <v>67369</v>
      </c>
      <c r="J257" s="3">
        <f>IF(E257="Cold",1,0)</f>
        <v>0</v>
      </c>
      <c r="K257" s="3">
        <f>IF(E257="Hot",1,0)</f>
        <v>1</v>
      </c>
      <c r="L257" s="3">
        <v>1326</v>
      </c>
      <c r="M257" s="3">
        <v>59</v>
      </c>
      <c r="N257" s="4">
        <v>44703</v>
      </c>
      <c r="O257" s="10">
        <v>295400.60269999999</v>
      </c>
    </row>
    <row r="258" spans="1:15" x14ac:dyDescent="0.3">
      <c r="A258" s="2">
        <v>256</v>
      </c>
      <c r="B258" s="3" t="s">
        <v>53</v>
      </c>
      <c r="C258" s="3" t="s">
        <v>178</v>
      </c>
      <c r="D258" s="3" t="s">
        <v>18</v>
      </c>
      <c r="E258" s="3" t="s">
        <v>21</v>
      </c>
      <c r="F258" s="3">
        <f t="shared" si="3"/>
        <v>1</v>
      </c>
      <c r="G258" s="3">
        <v>19210</v>
      </c>
      <c r="H258" s="3">
        <v>4</v>
      </c>
      <c r="I258" s="3">
        <v>57168</v>
      </c>
      <c r="J258" s="3">
        <f>IF(E258="Cold",1,0)</f>
        <v>0</v>
      </c>
      <c r="K258" s="3">
        <f>IF(E258="Hot",1,0)</f>
        <v>1</v>
      </c>
      <c r="L258" s="3">
        <v>2614</v>
      </c>
      <c r="M258" s="3">
        <v>78</v>
      </c>
      <c r="N258" s="4">
        <v>45004</v>
      </c>
      <c r="O258" s="10">
        <v>394530.58929999999</v>
      </c>
    </row>
    <row r="259" spans="1:15" x14ac:dyDescent="0.3">
      <c r="A259" s="2">
        <v>257</v>
      </c>
      <c r="B259" s="3" t="s">
        <v>72</v>
      </c>
      <c r="C259" s="3" t="s">
        <v>151</v>
      </c>
      <c r="D259" s="3" t="s">
        <v>18</v>
      </c>
      <c r="E259" s="3" t="s">
        <v>15</v>
      </c>
      <c r="F259" s="3">
        <f t="shared" ref="F259:F322" si="4">IF(D259=$F$1,1,0)</f>
        <v>1</v>
      </c>
      <c r="G259" s="3">
        <v>7630</v>
      </c>
      <c r="H259" s="3">
        <v>4</v>
      </c>
      <c r="I259" s="3">
        <v>89740</v>
      </c>
      <c r="J259" s="3">
        <f>IF(E259="Cold",1,0)</f>
        <v>1</v>
      </c>
      <c r="K259" s="3">
        <f>IF(E259="Hot",1,0)</f>
        <v>0</v>
      </c>
      <c r="L259" s="3">
        <v>2162</v>
      </c>
      <c r="M259" s="3">
        <v>95</v>
      </c>
      <c r="N259" s="4">
        <v>44727</v>
      </c>
      <c r="O259" s="10">
        <v>350507.33159999998</v>
      </c>
    </row>
    <row r="260" spans="1:15" x14ac:dyDescent="0.3">
      <c r="A260" s="2">
        <v>258</v>
      </c>
      <c r="B260" s="3" t="s">
        <v>19</v>
      </c>
      <c r="C260" s="3" t="s">
        <v>179</v>
      </c>
      <c r="D260" s="3" t="s">
        <v>18</v>
      </c>
      <c r="E260" s="3" t="s">
        <v>23</v>
      </c>
      <c r="F260" s="3">
        <f t="shared" si="4"/>
        <v>1</v>
      </c>
      <c r="G260" s="3">
        <v>14860</v>
      </c>
      <c r="H260" s="3">
        <v>6</v>
      </c>
      <c r="I260" s="3">
        <v>79618</v>
      </c>
      <c r="J260" s="3">
        <f>IF(E260="Cold",1,0)</f>
        <v>0</v>
      </c>
      <c r="K260" s="3">
        <f>IF(E260="Hot",1,0)</f>
        <v>0</v>
      </c>
      <c r="L260" s="3">
        <v>1832</v>
      </c>
      <c r="M260" s="3">
        <v>80</v>
      </c>
      <c r="N260" s="4">
        <v>45325</v>
      </c>
      <c r="O260" s="10">
        <v>396017.35220000002</v>
      </c>
    </row>
    <row r="261" spans="1:15" x14ac:dyDescent="0.3">
      <c r="A261" s="2">
        <v>259</v>
      </c>
      <c r="B261" s="3" t="s">
        <v>37</v>
      </c>
      <c r="C261" s="3" t="s">
        <v>118</v>
      </c>
      <c r="D261" s="3" t="s">
        <v>18</v>
      </c>
      <c r="E261" s="3" t="s">
        <v>23</v>
      </c>
      <c r="F261" s="3">
        <f t="shared" si="4"/>
        <v>1</v>
      </c>
      <c r="G261" s="3">
        <v>2454</v>
      </c>
      <c r="H261" s="3">
        <v>5</v>
      </c>
      <c r="I261" s="3">
        <v>71503</v>
      </c>
      <c r="J261" s="3">
        <f>IF(E261="Cold",1,0)</f>
        <v>0</v>
      </c>
      <c r="K261" s="3">
        <f>IF(E261="Hot",1,0)</f>
        <v>0</v>
      </c>
      <c r="L261" s="3">
        <v>2510</v>
      </c>
      <c r="M261" s="3">
        <v>24</v>
      </c>
      <c r="N261" s="4">
        <v>45109</v>
      </c>
      <c r="O261" s="10">
        <v>387101.78169999999</v>
      </c>
    </row>
    <row r="262" spans="1:15" x14ac:dyDescent="0.3">
      <c r="A262" s="2">
        <v>260</v>
      </c>
      <c r="B262" s="3" t="s">
        <v>74</v>
      </c>
      <c r="C262" s="3" t="s">
        <v>75</v>
      </c>
      <c r="D262" s="3" t="s">
        <v>14</v>
      </c>
      <c r="E262" s="3" t="s">
        <v>21</v>
      </c>
      <c r="F262" s="3">
        <f t="shared" si="4"/>
        <v>0</v>
      </c>
      <c r="G262" s="3">
        <v>21070</v>
      </c>
      <c r="H262" s="3">
        <v>4</v>
      </c>
      <c r="I262" s="3">
        <v>80433</v>
      </c>
      <c r="J262" s="3">
        <f>IF(E262="Cold",1,0)</f>
        <v>0</v>
      </c>
      <c r="K262" s="3">
        <f>IF(E262="Hot",1,0)</f>
        <v>1</v>
      </c>
      <c r="L262" s="3">
        <v>2505</v>
      </c>
      <c r="M262" s="3">
        <v>67</v>
      </c>
      <c r="N262" s="4">
        <v>44357</v>
      </c>
      <c r="O262" s="10">
        <v>351301.5368</v>
      </c>
    </row>
    <row r="263" spans="1:15" x14ac:dyDescent="0.3">
      <c r="A263" s="2">
        <v>261</v>
      </c>
      <c r="B263" s="3" t="s">
        <v>31</v>
      </c>
      <c r="C263" s="3" t="s">
        <v>81</v>
      </c>
      <c r="D263" s="3" t="s">
        <v>14</v>
      </c>
      <c r="E263" s="3" t="s">
        <v>15</v>
      </c>
      <c r="F263" s="3">
        <f t="shared" si="4"/>
        <v>0</v>
      </c>
      <c r="G263" s="3">
        <v>28456</v>
      </c>
      <c r="H263" s="3">
        <v>1</v>
      </c>
      <c r="I263" s="3">
        <v>63559</v>
      </c>
      <c r="J263" s="3">
        <f>IF(E263="Cold",1,0)</f>
        <v>1</v>
      </c>
      <c r="K263" s="3">
        <f>IF(E263="Hot",1,0)</f>
        <v>0</v>
      </c>
      <c r="L263" s="3">
        <v>1003</v>
      </c>
      <c r="M263" s="3">
        <v>26</v>
      </c>
      <c r="N263" s="4">
        <v>45029</v>
      </c>
      <c r="O263" s="10">
        <v>294915.33549999999</v>
      </c>
    </row>
    <row r="264" spans="1:15" x14ac:dyDescent="0.3">
      <c r="A264" s="2">
        <v>262</v>
      </c>
      <c r="B264" s="3" t="s">
        <v>122</v>
      </c>
      <c r="C264" s="3" t="s">
        <v>137</v>
      </c>
      <c r="D264" s="3" t="s">
        <v>14</v>
      </c>
      <c r="E264" s="3" t="s">
        <v>23</v>
      </c>
      <c r="F264" s="3">
        <f t="shared" si="4"/>
        <v>0</v>
      </c>
      <c r="G264" s="3">
        <v>20276</v>
      </c>
      <c r="H264" s="3">
        <v>5</v>
      </c>
      <c r="I264" s="3">
        <v>98726</v>
      </c>
      <c r="J264" s="3">
        <f>IF(E264="Cold",1,0)</f>
        <v>0</v>
      </c>
      <c r="K264" s="3">
        <f>IF(E264="Hot",1,0)</f>
        <v>0</v>
      </c>
      <c r="L264" s="3">
        <v>2534</v>
      </c>
      <c r="M264" s="3">
        <v>65</v>
      </c>
      <c r="N264" s="4">
        <v>44304</v>
      </c>
      <c r="O264" s="10">
        <v>351715.26679999998</v>
      </c>
    </row>
    <row r="265" spans="1:15" x14ac:dyDescent="0.3">
      <c r="A265" s="2">
        <v>263</v>
      </c>
      <c r="B265" s="3" t="s">
        <v>33</v>
      </c>
      <c r="C265" s="3" t="s">
        <v>88</v>
      </c>
      <c r="D265" s="3" t="s">
        <v>14</v>
      </c>
      <c r="E265" s="3" t="s">
        <v>23</v>
      </c>
      <c r="F265" s="3">
        <f t="shared" si="4"/>
        <v>0</v>
      </c>
      <c r="G265" s="3">
        <v>11169</v>
      </c>
      <c r="H265" s="3">
        <v>7</v>
      </c>
      <c r="I265" s="3">
        <v>99954</v>
      </c>
      <c r="J265" s="3">
        <f>IF(E265="Cold",1,0)</f>
        <v>0</v>
      </c>
      <c r="K265" s="3">
        <f>IF(E265="Hot",1,0)</f>
        <v>0</v>
      </c>
      <c r="L265" s="3">
        <v>2127</v>
      </c>
      <c r="M265" s="3">
        <v>33</v>
      </c>
      <c r="N265" s="4">
        <v>45069</v>
      </c>
      <c r="O265" s="10">
        <v>311906.86969999998</v>
      </c>
    </row>
    <row r="266" spans="1:15" x14ac:dyDescent="0.3">
      <c r="A266" s="2">
        <v>264</v>
      </c>
      <c r="B266" s="3" t="s">
        <v>57</v>
      </c>
      <c r="C266" s="3" t="s">
        <v>174</v>
      </c>
      <c r="D266" s="3" t="s">
        <v>14</v>
      </c>
      <c r="E266" s="3" t="s">
        <v>21</v>
      </c>
      <c r="F266" s="3">
        <f t="shared" si="4"/>
        <v>0</v>
      </c>
      <c r="G266" s="3">
        <v>25646</v>
      </c>
      <c r="H266" s="3">
        <v>5</v>
      </c>
      <c r="I266" s="3">
        <v>60031</v>
      </c>
      <c r="J266" s="3">
        <f>IF(E266="Cold",1,0)</f>
        <v>0</v>
      </c>
      <c r="K266" s="3">
        <f>IF(E266="Hot",1,0)</f>
        <v>1</v>
      </c>
      <c r="L266" s="3">
        <v>2408</v>
      </c>
      <c r="M266" s="3">
        <v>80</v>
      </c>
      <c r="N266" s="4">
        <v>44530</v>
      </c>
      <c r="O266" s="10">
        <v>360803.34450000001</v>
      </c>
    </row>
    <row r="267" spans="1:15" x14ac:dyDescent="0.3">
      <c r="A267" s="2">
        <v>265</v>
      </c>
      <c r="B267" s="3" t="s">
        <v>24</v>
      </c>
      <c r="C267" s="3" t="s">
        <v>94</v>
      </c>
      <c r="D267" s="3" t="s">
        <v>14</v>
      </c>
      <c r="E267" s="3" t="s">
        <v>15</v>
      </c>
      <c r="F267" s="3">
        <f t="shared" si="4"/>
        <v>0</v>
      </c>
      <c r="G267" s="3">
        <v>6850</v>
      </c>
      <c r="H267" s="3">
        <v>5</v>
      </c>
      <c r="I267" s="3">
        <v>81916</v>
      </c>
      <c r="J267" s="3">
        <f>IF(E267="Cold",1,0)</f>
        <v>1</v>
      </c>
      <c r="K267" s="3">
        <f>IF(E267="Hot",1,0)</f>
        <v>0</v>
      </c>
      <c r="L267" s="3">
        <v>2166</v>
      </c>
      <c r="M267" s="3">
        <v>45</v>
      </c>
      <c r="N267" s="4">
        <v>45186</v>
      </c>
      <c r="O267" s="10">
        <v>315928.3357</v>
      </c>
    </row>
    <row r="268" spans="1:15" x14ac:dyDescent="0.3">
      <c r="A268" s="2">
        <v>266</v>
      </c>
      <c r="B268" s="3" t="s">
        <v>24</v>
      </c>
      <c r="C268" s="3" t="s">
        <v>39</v>
      </c>
      <c r="D268" s="3" t="s">
        <v>14</v>
      </c>
      <c r="E268" s="3" t="s">
        <v>15</v>
      </c>
      <c r="F268" s="3">
        <f t="shared" si="4"/>
        <v>0</v>
      </c>
      <c r="G268" s="3">
        <v>17322</v>
      </c>
      <c r="H268" s="3">
        <v>8</v>
      </c>
      <c r="I268" s="3">
        <v>62725</v>
      </c>
      <c r="J268" s="3">
        <f>IF(E268="Cold",1,0)</f>
        <v>1</v>
      </c>
      <c r="K268" s="3">
        <f>IF(E268="Hot",1,0)</f>
        <v>0</v>
      </c>
      <c r="L268" s="3">
        <v>2475</v>
      </c>
      <c r="M268" s="3">
        <v>57</v>
      </c>
      <c r="N268" s="4">
        <v>44134</v>
      </c>
      <c r="O268" s="10">
        <v>335735.83590000001</v>
      </c>
    </row>
    <row r="269" spans="1:15" x14ac:dyDescent="0.3">
      <c r="A269" s="2">
        <v>267</v>
      </c>
      <c r="B269" s="3" t="s">
        <v>16</v>
      </c>
      <c r="C269" s="3" t="s">
        <v>176</v>
      </c>
      <c r="D269" s="3" t="s">
        <v>18</v>
      </c>
      <c r="E269" s="3" t="s">
        <v>15</v>
      </c>
      <c r="F269" s="3">
        <f t="shared" si="4"/>
        <v>1</v>
      </c>
      <c r="G269" s="3">
        <v>10505</v>
      </c>
      <c r="H269" s="3">
        <v>3</v>
      </c>
      <c r="I269" s="3">
        <v>70592</v>
      </c>
      <c r="J269" s="3">
        <f>IF(E269="Cold",1,0)</f>
        <v>1</v>
      </c>
      <c r="K269" s="3">
        <f>IF(E269="Hot",1,0)</f>
        <v>0</v>
      </c>
      <c r="L269" s="3">
        <v>2543</v>
      </c>
      <c r="M269" s="3">
        <v>55</v>
      </c>
      <c r="N269" s="4">
        <v>45545</v>
      </c>
      <c r="O269" s="10">
        <v>344968.52639999997</v>
      </c>
    </row>
    <row r="270" spans="1:15" x14ac:dyDescent="0.3">
      <c r="A270" s="2">
        <v>268</v>
      </c>
      <c r="B270" s="3" t="s">
        <v>44</v>
      </c>
      <c r="C270" s="3" t="s">
        <v>143</v>
      </c>
      <c r="D270" s="3" t="s">
        <v>14</v>
      </c>
      <c r="E270" s="3" t="s">
        <v>21</v>
      </c>
      <c r="F270" s="3">
        <f t="shared" si="4"/>
        <v>0</v>
      </c>
      <c r="G270" s="3">
        <v>4478</v>
      </c>
      <c r="H270" s="3">
        <v>3</v>
      </c>
      <c r="I270" s="3">
        <v>85125</v>
      </c>
      <c r="J270" s="3">
        <f>IF(E270="Cold",1,0)</f>
        <v>0</v>
      </c>
      <c r="K270" s="3">
        <f>IF(E270="Hot",1,0)</f>
        <v>1</v>
      </c>
      <c r="L270" s="3">
        <v>1413</v>
      </c>
      <c r="M270" s="3">
        <v>55</v>
      </c>
      <c r="N270" s="4">
        <v>45346</v>
      </c>
      <c r="O270" s="10">
        <v>326133.31099999999</v>
      </c>
    </row>
    <row r="271" spans="1:15" x14ac:dyDescent="0.3">
      <c r="A271" s="2">
        <v>269</v>
      </c>
      <c r="B271" s="3" t="s">
        <v>55</v>
      </c>
      <c r="C271" s="3" t="s">
        <v>169</v>
      </c>
      <c r="D271" s="3" t="s">
        <v>18</v>
      </c>
      <c r="E271" s="3" t="s">
        <v>21</v>
      </c>
      <c r="F271" s="3">
        <f t="shared" si="4"/>
        <v>1</v>
      </c>
      <c r="G271" s="3">
        <v>21698</v>
      </c>
      <c r="H271" s="3">
        <v>1</v>
      </c>
      <c r="I271" s="3">
        <v>69814</v>
      </c>
      <c r="J271" s="3">
        <f>IF(E271="Cold",1,0)</f>
        <v>0</v>
      </c>
      <c r="K271" s="3">
        <f>IF(E271="Hot",1,0)</f>
        <v>1</v>
      </c>
      <c r="L271" s="3">
        <v>1031</v>
      </c>
      <c r="M271" s="3">
        <v>83</v>
      </c>
      <c r="N271" s="4">
        <v>45347</v>
      </c>
      <c r="O271" s="10">
        <v>400897.50390000001</v>
      </c>
    </row>
    <row r="272" spans="1:15" x14ac:dyDescent="0.3">
      <c r="A272" s="2">
        <v>270</v>
      </c>
      <c r="B272" s="3" t="s">
        <v>24</v>
      </c>
      <c r="C272" s="3" t="s">
        <v>154</v>
      </c>
      <c r="D272" s="3" t="s">
        <v>14</v>
      </c>
      <c r="E272" s="3" t="s">
        <v>15</v>
      </c>
      <c r="F272" s="3">
        <f t="shared" si="4"/>
        <v>0</v>
      </c>
      <c r="G272" s="3">
        <v>9738</v>
      </c>
      <c r="H272" s="3">
        <v>7</v>
      </c>
      <c r="I272" s="3">
        <v>57354</v>
      </c>
      <c r="J272" s="3">
        <f>IF(E272="Cold",1,0)</f>
        <v>1</v>
      </c>
      <c r="K272" s="3">
        <f>IF(E272="Hot",1,0)</f>
        <v>0</v>
      </c>
      <c r="L272" s="3">
        <v>1372</v>
      </c>
      <c r="M272" s="3">
        <v>83</v>
      </c>
      <c r="N272" s="4">
        <v>45340</v>
      </c>
      <c r="O272" s="10">
        <v>279303.43689999997</v>
      </c>
    </row>
    <row r="273" spans="1:15" x14ac:dyDescent="0.3">
      <c r="A273" s="2">
        <v>271</v>
      </c>
      <c r="B273" s="3" t="s">
        <v>28</v>
      </c>
      <c r="C273" s="3" t="s">
        <v>46</v>
      </c>
      <c r="D273" s="3" t="s">
        <v>18</v>
      </c>
      <c r="E273" s="3" t="s">
        <v>21</v>
      </c>
      <c r="F273" s="3">
        <f t="shared" si="4"/>
        <v>1</v>
      </c>
      <c r="G273" s="3">
        <v>24306</v>
      </c>
      <c r="H273" s="3">
        <v>2</v>
      </c>
      <c r="I273" s="3">
        <v>54690</v>
      </c>
      <c r="J273" s="3">
        <f>IF(E273="Cold",1,0)</f>
        <v>0</v>
      </c>
      <c r="K273" s="3">
        <f>IF(E273="Hot",1,0)</f>
        <v>1</v>
      </c>
      <c r="L273" s="3">
        <v>1359</v>
      </c>
      <c r="M273" s="3">
        <v>63</v>
      </c>
      <c r="N273" s="4">
        <v>43886</v>
      </c>
      <c r="O273" s="10">
        <v>372272.13050000003</v>
      </c>
    </row>
    <row r="274" spans="1:15" x14ac:dyDescent="0.3">
      <c r="A274" s="2">
        <v>272</v>
      </c>
      <c r="B274" s="3" t="s">
        <v>72</v>
      </c>
      <c r="C274" s="3" t="s">
        <v>180</v>
      </c>
      <c r="D274" s="3" t="s">
        <v>18</v>
      </c>
      <c r="E274" s="3" t="s">
        <v>23</v>
      </c>
      <c r="F274" s="3">
        <f t="shared" si="4"/>
        <v>1</v>
      </c>
      <c r="G274" s="3">
        <v>7377</v>
      </c>
      <c r="H274" s="3">
        <v>7</v>
      </c>
      <c r="I274" s="3">
        <v>74552</v>
      </c>
      <c r="J274" s="3">
        <f>IF(E274="Cold",1,0)</f>
        <v>0</v>
      </c>
      <c r="K274" s="3">
        <f>IF(E274="Hot",1,0)</f>
        <v>0</v>
      </c>
      <c r="L274" s="3">
        <v>1050</v>
      </c>
      <c r="M274" s="3">
        <v>27</v>
      </c>
      <c r="N274" s="4">
        <v>45250</v>
      </c>
      <c r="O274" s="10">
        <v>351009.67479999998</v>
      </c>
    </row>
    <row r="275" spans="1:15" x14ac:dyDescent="0.3">
      <c r="A275" s="2">
        <v>273</v>
      </c>
      <c r="B275" s="3" t="s">
        <v>33</v>
      </c>
      <c r="C275" s="3" t="s">
        <v>68</v>
      </c>
      <c r="D275" s="3" t="s">
        <v>18</v>
      </c>
      <c r="E275" s="3" t="s">
        <v>21</v>
      </c>
      <c r="F275" s="3">
        <f t="shared" si="4"/>
        <v>1</v>
      </c>
      <c r="G275" s="3">
        <v>16712</v>
      </c>
      <c r="H275" s="3">
        <v>3</v>
      </c>
      <c r="I275" s="3">
        <v>66617</v>
      </c>
      <c r="J275" s="3">
        <f>IF(E275="Cold",1,0)</f>
        <v>0</v>
      </c>
      <c r="K275" s="3">
        <f>IF(E275="Hot",1,0)</f>
        <v>1</v>
      </c>
      <c r="L275" s="3">
        <v>2853</v>
      </c>
      <c r="M275" s="3">
        <v>69</v>
      </c>
      <c r="N275" s="4">
        <v>44233</v>
      </c>
      <c r="O275" s="10">
        <v>423646.56069999997</v>
      </c>
    </row>
    <row r="276" spans="1:15" x14ac:dyDescent="0.3">
      <c r="A276" s="2">
        <v>274</v>
      </c>
      <c r="B276" s="3" t="s">
        <v>28</v>
      </c>
      <c r="C276" s="3" t="s">
        <v>49</v>
      </c>
      <c r="D276" s="3" t="s">
        <v>14</v>
      </c>
      <c r="E276" s="3" t="s">
        <v>21</v>
      </c>
      <c r="F276" s="3">
        <f t="shared" si="4"/>
        <v>0</v>
      </c>
      <c r="G276" s="3">
        <v>28354</v>
      </c>
      <c r="H276" s="3">
        <v>0</v>
      </c>
      <c r="I276" s="3">
        <v>53863</v>
      </c>
      <c r="J276" s="3">
        <f>IF(E276="Cold",1,0)</f>
        <v>0</v>
      </c>
      <c r="K276" s="3">
        <f>IF(E276="Hot",1,0)</f>
        <v>1</v>
      </c>
      <c r="L276" s="3">
        <v>2089</v>
      </c>
      <c r="M276" s="3">
        <v>36</v>
      </c>
      <c r="N276" s="4">
        <v>44143</v>
      </c>
      <c r="O276" s="10">
        <v>356447.02179999999</v>
      </c>
    </row>
    <row r="277" spans="1:15" x14ac:dyDescent="0.3">
      <c r="A277" s="2">
        <v>275</v>
      </c>
      <c r="B277" s="3" t="s">
        <v>28</v>
      </c>
      <c r="C277" s="3" t="s">
        <v>181</v>
      </c>
      <c r="D277" s="3" t="s">
        <v>18</v>
      </c>
      <c r="E277" s="3" t="s">
        <v>23</v>
      </c>
      <c r="F277" s="3">
        <f t="shared" si="4"/>
        <v>1</v>
      </c>
      <c r="G277" s="3">
        <v>21019</v>
      </c>
      <c r="H277" s="3">
        <v>0</v>
      </c>
      <c r="I277" s="3">
        <v>69093</v>
      </c>
      <c r="J277" s="3">
        <f>IF(E277="Cold",1,0)</f>
        <v>0</v>
      </c>
      <c r="K277" s="3">
        <f>IF(E277="Hot",1,0)</f>
        <v>0</v>
      </c>
      <c r="L277" s="3">
        <v>2333</v>
      </c>
      <c r="M277" s="3">
        <v>96</v>
      </c>
      <c r="N277" s="4">
        <v>44842</v>
      </c>
      <c r="O277" s="10">
        <v>426994.6005</v>
      </c>
    </row>
    <row r="278" spans="1:15" x14ac:dyDescent="0.3">
      <c r="A278" s="2">
        <v>276</v>
      </c>
      <c r="B278" s="3" t="s">
        <v>33</v>
      </c>
      <c r="C278" s="3" t="s">
        <v>34</v>
      </c>
      <c r="D278" s="3" t="s">
        <v>18</v>
      </c>
      <c r="E278" s="3" t="s">
        <v>15</v>
      </c>
      <c r="F278" s="3">
        <f t="shared" si="4"/>
        <v>1</v>
      </c>
      <c r="G278" s="3">
        <v>1868</v>
      </c>
      <c r="H278" s="3">
        <v>5</v>
      </c>
      <c r="I278" s="3">
        <v>88304</v>
      </c>
      <c r="J278" s="3">
        <f>IF(E278="Cold",1,0)</f>
        <v>1</v>
      </c>
      <c r="K278" s="3">
        <f>IF(E278="Hot",1,0)</f>
        <v>0</v>
      </c>
      <c r="L278" s="3">
        <v>2807</v>
      </c>
      <c r="M278" s="3">
        <v>43</v>
      </c>
      <c r="N278" s="4">
        <v>45187</v>
      </c>
      <c r="O278" s="10">
        <v>358020.28869999998</v>
      </c>
    </row>
    <row r="279" spans="1:15" x14ac:dyDescent="0.3">
      <c r="A279" s="2">
        <v>277</v>
      </c>
      <c r="B279" s="3" t="s">
        <v>72</v>
      </c>
      <c r="C279" s="3" t="s">
        <v>147</v>
      </c>
      <c r="D279" s="3" t="s">
        <v>18</v>
      </c>
      <c r="E279" s="3" t="s">
        <v>23</v>
      </c>
      <c r="F279" s="3">
        <f t="shared" si="4"/>
        <v>1</v>
      </c>
      <c r="G279" s="3">
        <v>28719</v>
      </c>
      <c r="H279" s="3">
        <v>3</v>
      </c>
      <c r="I279" s="3">
        <v>53935</v>
      </c>
      <c r="J279" s="3">
        <f>IF(E279="Cold",1,0)</f>
        <v>0</v>
      </c>
      <c r="K279" s="3">
        <f>IF(E279="Hot",1,0)</f>
        <v>0</v>
      </c>
      <c r="L279" s="3">
        <v>1019</v>
      </c>
      <c r="M279" s="3">
        <v>58</v>
      </c>
      <c r="N279" s="4">
        <v>43883</v>
      </c>
      <c r="O279" s="10">
        <v>364584.17729999998</v>
      </c>
    </row>
    <row r="280" spans="1:15" x14ac:dyDescent="0.3">
      <c r="A280" s="2">
        <v>278</v>
      </c>
      <c r="B280" s="3" t="s">
        <v>40</v>
      </c>
      <c r="C280" s="3" t="s">
        <v>41</v>
      </c>
      <c r="D280" s="3" t="s">
        <v>18</v>
      </c>
      <c r="E280" s="3" t="s">
        <v>23</v>
      </c>
      <c r="F280" s="3">
        <f t="shared" si="4"/>
        <v>1</v>
      </c>
      <c r="G280" s="3">
        <v>5565</v>
      </c>
      <c r="H280" s="3">
        <v>9</v>
      </c>
      <c r="I280" s="3">
        <v>72475</v>
      </c>
      <c r="J280" s="3">
        <f>IF(E280="Cold",1,0)</f>
        <v>0</v>
      </c>
      <c r="K280" s="3">
        <f>IF(E280="Hot",1,0)</f>
        <v>0</v>
      </c>
      <c r="L280" s="3">
        <v>2288</v>
      </c>
      <c r="M280" s="3">
        <v>64</v>
      </c>
      <c r="N280" s="4">
        <v>45486</v>
      </c>
      <c r="O280" s="10">
        <v>366978.60379999998</v>
      </c>
    </row>
    <row r="281" spans="1:15" x14ac:dyDescent="0.3">
      <c r="A281" s="2">
        <v>279</v>
      </c>
      <c r="B281" s="3" t="s">
        <v>12</v>
      </c>
      <c r="C281" s="3" t="s">
        <v>126</v>
      </c>
      <c r="D281" s="3" t="s">
        <v>18</v>
      </c>
      <c r="E281" s="3" t="s">
        <v>21</v>
      </c>
      <c r="F281" s="3">
        <f t="shared" si="4"/>
        <v>1</v>
      </c>
      <c r="G281" s="3">
        <v>1714</v>
      </c>
      <c r="H281" s="3">
        <v>3</v>
      </c>
      <c r="I281" s="3">
        <v>71897</v>
      </c>
      <c r="J281" s="3">
        <f>IF(E281="Cold",1,0)</f>
        <v>0</v>
      </c>
      <c r="K281" s="3">
        <f>IF(E281="Hot",1,0)</f>
        <v>1</v>
      </c>
      <c r="L281" s="3">
        <v>1635</v>
      </c>
      <c r="M281" s="3">
        <v>64</v>
      </c>
      <c r="N281" s="4">
        <v>45497</v>
      </c>
      <c r="O281" s="10">
        <v>369944.31219999999</v>
      </c>
    </row>
    <row r="282" spans="1:15" x14ac:dyDescent="0.3">
      <c r="A282" s="2">
        <v>280</v>
      </c>
      <c r="B282" s="3" t="s">
        <v>40</v>
      </c>
      <c r="C282" s="3" t="s">
        <v>182</v>
      </c>
      <c r="D282" s="3" t="s">
        <v>18</v>
      </c>
      <c r="E282" s="3" t="s">
        <v>21</v>
      </c>
      <c r="F282" s="3">
        <f t="shared" si="4"/>
        <v>1</v>
      </c>
      <c r="G282" s="3">
        <v>14890</v>
      </c>
      <c r="H282" s="3">
        <v>1</v>
      </c>
      <c r="I282" s="3">
        <v>53648</v>
      </c>
      <c r="J282" s="3">
        <f>IF(E282="Cold",1,0)</f>
        <v>0</v>
      </c>
      <c r="K282" s="3">
        <f>IF(E282="Hot",1,0)</f>
        <v>1</v>
      </c>
      <c r="L282" s="3">
        <v>2692</v>
      </c>
      <c r="M282" s="3">
        <v>21</v>
      </c>
      <c r="N282" s="4">
        <v>43862</v>
      </c>
      <c r="O282" s="10">
        <v>366259.63630000001</v>
      </c>
    </row>
    <row r="283" spans="1:15" x14ac:dyDescent="0.3">
      <c r="A283" s="2">
        <v>281</v>
      </c>
      <c r="B283" s="3" t="s">
        <v>108</v>
      </c>
      <c r="C283" s="3" t="s">
        <v>109</v>
      </c>
      <c r="D283" s="3" t="s">
        <v>18</v>
      </c>
      <c r="E283" s="3" t="s">
        <v>21</v>
      </c>
      <c r="F283" s="3">
        <f t="shared" si="4"/>
        <v>1</v>
      </c>
      <c r="G283" s="3">
        <v>26396</v>
      </c>
      <c r="H283" s="3">
        <v>2</v>
      </c>
      <c r="I283" s="3">
        <v>99576</v>
      </c>
      <c r="J283" s="3">
        <f>IF(E283="Cold",1,0)</f>
        <v>0</v>
      </c>
      <c r="K283" s="3">
        <f>IF(E283="Hot",1,0)</f>
        <v>1</v>
      </c>
      <c r="L283" s="3">
        <v>2802</v>
      </c>
      <c r="M283" s="3">
        <v>86</v>
      </c>
      <c r="N283" s="4">
        <v>44808</v>
      </c>
      <c r="O283" s="10">
        <v>424338.20209999999</v>
      </c>
    </row>
    <row r="284" spans="1:15" x14ac:dyDescent="0.3">
      <c r="A284" s="2">
        <v>282</v>
      </c>
      <c r="B284" s="3" t="s">
        <v>37</v>
      </c>
      <c r="C284" s="3" t="s">
        <v>90</v>
      </c>
      <c r="D284" s="3" t="s">
        <v>14</v>
      </c>
      <c r="E284" s="3" t="s">
        <v>23</v>
      </c>
      <c r="F284" s="3">
        <f t="shared" si="4"/>
        <v>0</v>
      </c>
      <c r="G284" s="3">
        <v>23666</v>
      </c>
      <c r="H284" s="3">
        <v>8</v>
      </c>
      <c r="I284" s="3">
        <v>90265</v>
      </c>
      <c r="J284" s="3">
        <f>IF(E284="Cold",1,0)</f>
        <v>0</v>
      </c>
      <c r="K284" s="3">
        <f>IF(E284="Hot",1,0)</f>
        <v>0</v>
      </c>
      <c r="L284" s="3">
        <v>1414</v>
      </c>
      <c r="M284" s="3">
        <v>97</v>
      </c>
      <c r="N284" s="4">
        <v>44382</v>
      </c>
      <c r="O284" s="10">
        <v>336805.32659999997</v>
      </c>
    </row>
    <row r="285" spans="1:15" x14ac:dyDescent="0.3">
      <c r="A285" s="2">
        <v>283</v>
      </c>
      <c r="B285" s="3" t="s">
        <v>72</v>
      </c>
      <c r="C285" s="3" t="s">
        <v>145</v>
      </c>
      <c r="D285" s="3" t="s">
        <v>14</v>
      </c>
      <c r="E285" s="3" t="s">
        <v>15</v>
      </c>
      <c r="F285" s="3">
        <f t="shared" si="4"/>
        <v>0</v>
      </c>
      <c r="G285" s="3">
        <v>18628</v>
      </c>
      <c r="H285" s="3">
        <v>6</v>
      </c>
      <c r="I285" s="3">
        <v>96096</v>
      </c>
      <c r="J285" s="3">
        <f>IF(E285="Cold",1,0)</f>
        <v>1</v>
      </c>
      <c r="K285" s="3">
        <f>IF(E285="Hot",1,0)</f>
        <v>0</v>
      </c>
      <c r="L285" s="3">
        <v>1392</v>
      </c>
      <c r="M285" s="3">
        <v>40</v>
      </c>
      <c r="N285" s="4">
        <v>43935</v>
      </c>
      <c r="O285" s="10">
        <v>294133.06109999999</v>
      </c>
    </row>
    <row r="286" spans="1:15" x14ac:dyDescent="0.3">
      <c r="A286" s="2">
        <v>284</v>
      </c>
      <c r="B286" s="3" t="s">
        <v>16</v>
      </c>
      <c r="C286" s="3" t="s">
        <v>183</v>
      </c>
      <c r="D286" s="3" t="s">
        <v>18</v>
      </c>
      <c r="E286" s="3" t="s">
        <v>21</v>
      </c>
      <c r="F286" s="3">
        <f t="shared" si="4"/>
        <v>1</v>
      </c>
      <c r="G286" s="3">
        <v>21800</v>
      </c>
      <c r="H286" s="3">
        <v>1</v>
      </c>
      <c r="I286" s="3">
        <v>59687</v>
      </c>
      <c r="J286" s="3">
        <f>IF(E286="Cold",1,0)</f>
        <v>0</v>
      </c>
      <c r="K286" s="3">
        <f>IF(E286="Hot",1,0)</f>
        <v>1</v>
      </c>
      <c r="L286" s="3">
        <v>1535</v>
      </c>
      <c r="M286" s="3">
        <v>96</v>
      </c>
      <c r="N286" s="4">
        <v>43839</v>
      </c>
      <c r="O286" s="10">
        <v>373263.77260000003</v>
      </c>
    </row>
    <row r="287" spans="1:15" x14ac:dyDescent="0.3">
      <c r="A287" s="2">
        <v>285</v>
      </c>
      <c r="B287" s="3" t="s">
        <v>33</v>
      </c>
      <c r="C287" s="3" t="s">
        <v>184</v>
      </c>
      <c r="D287" s="3" t="s">
        <v>18</v>
      </c>
      <c r="E287" s="3" t="s">
        <v>21</v>
      </c>
      <c r="F287" s="3">
        <f t="shared" si="4"/>
        <v>1</v>
      </c>
      <c r="G287" s="3">
        <v>2425</v>
      </c>
      <c r="H287" s="3">
        <v>9</v>
      </c>
      <c r="I287" s="3">
        <v>70367</v>
      </c>
      <c r="J287" s="3">
        <f>IF(E287="Cold",1,0)</f>
        <v>0</v>
      </c>
      <c r="K287" s="3">
        <f>IF(E287="Hot",1,0)</f>
        <v>1</v>
      </c>
      <c r="L287" s="3">
        <v>2906</v>
      </c>
      <c r="M287" s="3">
        <v>32</v>
      </c>
      <c r="N287" s="4">
        <v>45137</v>
      </c>
      <c r="O287" s="10">
        <v>377869.04210000002</v>
      </c>
    </row>
    <row r="288" spans="1:15" x14ac:dyDescent="0.3">
      <c r="A288" s="2">
        <v>286</v>
      </c>
      <c r="B288" s="3" t="s">
        <v>16</v>
      </c>
      <c r="C288" s="3" t="s">
        <v>84</v>
      </c>
      <c r="D288" s="3" t="s">
        <v>14</v>
      </c>
      <c r="E288" s="3" t="s">
        <v>15</v>
      </c>
      <c r="F288" s="3">
        <f t="shared" si="4"/>
        <v>0</v>
      </c>
      <c r="G288" s="3">
        <v>6474</v>
      </c>
      <c r="H288" s="3">
        <v>6</v>
      </c>
      <c r="I288" s="3">
        <v>75721</v>
      </c>
      <c r="J288" s="3">
        <f>IF(E288="Cold",1,0)</f>
        <v>1</v>
      </c>
      <c r="K288" s="3">
        <f>IF(E288="Hot",1,0)</f>
        <v>0</v>
      </c>
      <c r="L288" s="3">
        <v>1289</v>
      </c>
      <c r="M288" s="3">
        <v>42</v>
      </c>
      <c r="N288" s="4">
        <v>44302</v>
      </c>
      <c r="O288" s="10">
        <v>298786.52679999999</v>
      </c>
    </row>
    <row r="289" spans="1:15" x14ac:dyDescent="0.3">
      <c r="A289" s="2">
        <v>287</v>
      </c>
      <c r="B289" s="3" t="s">
        <v>26</v>
      </c>
      <c r="C289" s="3" t="s">
        <v>159</v>
      </c>
      <c r="D289" s="3" t="s">
        <v>14</v>
      </c>
      <c r="E289" s="3" t="s">
        <v>15</v>
      </c>
      <c r="F289" s="3">
        <f t="shared" si="4"/>
        <v>0</v>
      </c>
      <c r="G289" s="3">
        <v>1734</v>
      </c>
      <c r="H289" s="3">
        <v>2</v>
      </c>
      <c r="I289" s="3">
        <v>61355</v>
      </c>
      <c r="J289" s="3">
        <f>IF(E289="Cold",1,0)</f>
        <v>1</v>
      </c>
      <c r="K289" s="3">
        <f>IF(E289="Hot",1,0)</f>
        <v>0</v>
      </c>
      <c r="L289" s="3">
        <v>1976</v>
      </c>
      <c r="M289" s="3">
        <v>45</v>
      </c>
      <c r="N289" s="4">
        <v>45097</v>
      </c>
      <c r="O289" s="10">
        <v>298822.90759999998</v>
      </c>
    </row>
    <row r="290" spans="1:15" x14ac:dyDescent="0.3">
      <c r="A290" s="2">
        <v>288</v>
      </c>
      <c r="B290" s="3" t="s">
        <v>19</v>
      </c>
      <c r="C290" s="3" t="s">
        <v>130</v>
      </c>
      <c r="D290" s="3" t="s">
        <v>14</v>
      </c>
      <c r="E290" s="3" t="s">
        <v>15</v>
      </c>
      <c r="F290" s="3">
        <f t="shared" si="4"/>
        <v>0</v>
      </c>
      <c r="G290" s="3">
        <v>29183</v>
      </c>
      <c r="H290" s="3">
        <v>1</v>
      </c>
      <c r="I290" s="3">
        <v>91510</v>
      </c>
      <c r="J290" s="3">
        <f>IF(E290="Cold",1,0)</f>
        <v>1</v>
      </c>
      <c r="K290" s="3">
        <f>IF(E290="Hot",1,0)</f>
        <v>0</v>
      </c>
      <c r="L290" s="3">
        <v>1429</v>
      </c>
      <c r="M290" s="3">
        <v>99</v>
      </c>
      <c r="N290" s="4">
        <v>45230</v>
      </c>
      <c r="O290" s="10">
        <v>335988.98249999998</v>
      </c>
    </row>
    <row r="291" spans="1:15" x14ac:dyDescent="0.3">
      <c r="A291" s="2">
        <v>289</v>
      </c>
      <c r="B291" s="3" t="s">
        <v>53</v>
      </c>
      <c r="C291" s="3" t="s">
        <v>149</v>
      </c>
      <c r="D291" s="3" t="s">
        <v>18</v>
      </c>
      <c r="E291" s="3" t="s">
        <v>21</v>
      </c>
      <c r="F291" s="3">
        <f t="shared" si="4"/>
        <v>1</v>
      </c>
      <c r="G291" s="3">
        <v>5174</v>
      </c>
      <c r="H291" s="3">
        <v>6</v>
      </c>
      <c r="I291" s="3">
        <v>59946</v>
      </c>
      <c r="J291" s="3">
        <f>IF(E291="Cold",1,0)</f>
        <v>0</v>
      </c>
      <c r="K291" s="3">
        <f>IF(E291="Hot",1,0)</f>
        <v>1</v>
      </c>
      <c r="L291" s="3">
        <v>1683</v>
      </c>
      <c r="M291" s="3">
        <v>70</v>
      </c>
      <c r="N291" s="4">
        <v>45502</v>
      </c>
      <c r="O291" s="10">
        <v>368253.49479999999</v>
      </c>
    </row>
    <row r="292" spans="1:15" x14ac:dyDescent="0.3">
      <c r="A292" s="2">
        <v>290</v>
      </c>
      <c r="B292" s="3" t="s">
        <v>53</v>
      </c>
      <c r="C292" s="3" t="s">
        <v>178</v>
      </c>
      <c r="D292" s="3" t="s">
        <v>18</v>
      </c>
      <c r="E292" s="3" t="s">
        <v>15</v>
      </c>
      <c r="F292" s="3">
        <f t="shared" si="4"/>
        <v>1</v>
      </c>
      <c r="G292" s="3">
        <v>3329</v>
      </c>
      <c r="H292" s="3">
        <v>7</v>
      </c>
      <c r="I292" s="3">
        <v>99658</v>
      </c>
      <c r="J292" s="3">
        <f>IF(E292="Cold",1,0)</f>
        <v>1</v>
      </c>
      <c r="K292" s="3">
        <f>IF(E292="Hot",1,0)</f>
        <v>0</v>
      </c>
      <c r="L292" s="3">
        <v>1868</v>
      </c>
      <c r="M292" s="3">
        <v>94</v>
      </c>
      <c r="N292" s="4">
        <v>45488</v>
      </c>
      <c r="O292" s="10">
        <v>349761.51409999997</v>
      </c>
    </row>
    <row r="293" spans="1:15" x14ac:dyDescent="0.3">
      <c r="A293" s="2">
        <v>291</v>
      </c>
      <c r="B293" s="3" t="s">
        <v>57</v>
      </c>
      <c r="C293" s="3" t="s">
        <v>116</v>
      </c>
      <c r="D293" s="3" t="s">
        <v>14</v>
      </c>
      <c r="E293" s="3" t="s">
        <v>15</v>
      </c>
      <c r="F293" s="3">
        <f t="shared" si="4"/>
        <v>0</v>
      </c>
      <c r="G293" s="3">
        <v>16896</v>
      </c>
      <c r="H293" s="3">
        <v>7</v>
      </c>
      <c r="I293" s="3">
        <v>64541</v>
      </c>
      <c r="J293" s="3">
        <f>IF(E293="Cold",1,0)</f>
        <v>1</v>
      </c>
      <c r="K293" s="3">
        <f>IF(E293="Hot",1,0)</f>
        <v>0</v>
      </c>
      <c r="L293" s="3">
        <v>2101</v>
      </c>
      <c r="M293" s="3">
        <v>67</v>
      </c>
      <c r="N293" s="4">
        <v>45525</v>
      </c>
      <c r="O293" s="10">
        <v>345442.71590000001</v>
      </c>
    </row>
    <row r="294" spans="1:15" x14ac:dyDescent="0.3">
      <c r="A294" s="2">
        <v>292</v>
      </c>
      <c r="B294" s="3" t="s">
        <v>24</v>
      </c>
      <c r="C294" s="3" t="s">
        <v>100</v>
      </c>
      <c r="D294" s="3" t="s">
        <v>14</v>
      </c>
      <c r="E294" s="3" t="s">
        <v>15</v>
      </c>
      <c r="F294" s="3">
        <f t="shared" si="4"/>
        <v>0</v>
      </c>
      <c r="G294" s="3">
        <v>25436</v>
      </c>
      <c r="H294" s="3">
        <v>0</v>
      </c>
      <c r="I294" s="3">
        <v>78919</v>
      </c>
      <c r="J294" s="3">
        <f>IF(E294="Cold",1,0)</f>
        <v>1</v>
      </c>
      <c r="K294" s="3">
        <f>IF(E294="Hot",1,0)</f>
        <v>0</v>
      </c>
      <c r="L294" s="3">
        <v>2245</v>
      </c>
      <c r="M294" s="3">
        <v>24</v>
      </c>
      <c r="N294" s="4">
        <v>45185</v>
      </c>
      <c r="O294" s="10">
        <v>326523.74709999998</v>
      </c>
    </row>
    <row r="295" spans="1:15" x14ac:dyDescent="0.3">
      <c r="A295" s="2">
        <v>293</v>
      </c>
      <c r="B295" s="3" t="s">
        <v>53</v>
      </c>
      <c r="C295" s="3" t="s">
        <v>141</v>
      </c>
      <c r="D295" s="3" t="s">
        <v>14</v>
      </c>
      <c r="E295" s="3" t="s">
        <v>23</v>
      </c>
      <c r="F295" s="3">
        <f t="shared" si="4"/>
        <v>0</v>
      </c>
      <c r="G295" s="3">
        <v>18287</v>
      </c>
      <c r="H295" s="3">
        <v>0</v>
      </c>
      <c r="I295" s="3">
        <v>63091</v>
      </c>
      <c r="J295" s="3">
        <f>IF(E295="Cold",1,0)</f>
        <v>0</v>
      </c>
      <c r="K295" s="3">
        <f>IF(E295="Hot",1,0)</f>
        <v>0</v>
      </c>
      <c r="L295" s="3">
        <v>1498</v>
      </c>
      <c r="M295" s="3">
        <v>93</v>
      </c>
      <c r="N295" s="4">
        <v>44348</v>
      </c>
      <c r="O295" s="10">
        <v>360687.3089</v>
      </c>
    </row>
    <row r="296" spans="1:15" x14ac:dyDescent="0.3">
      <c r="A296" s="2">
        <v>294</v>
      </c>
      <c r="B296" s="3" t="s">
        <v>29</v>
      </c>
      <c r="C296" s="3" t="s">
        <v>135</v>
      </c>
      <c r="D296" s="3" t="s">
        <v>18</v>
      </c>
      <c r="E296" s="3" t="s">
        <v>21</v>
      </c>
      <c r="F296" s="3">
        <f t="shared" si="4"/>
        <v>1</v>
      </c>
      <c r="G296" s="3">
        <v>26788</v>
      </c>
      <c r="H296" s="3">
        <v>2</v>
      </c>
      <c r="I296" s="3">
        <v>86995</v>
      </c>
      <c r="J296" s="3">
        <f>IF(E296="Cold",1,0)</f>
        <v>0</v>
      </c>
      <c r="K296" s="3">
        <f>IF(E296="Hot",1,0)</f>
        <v>1</v>
      </c>
      <c r="L296" s="3">
        <v>1961</v>
      </c>
      <c r="M296" s="3">
        <v>90</v>
      </c>
      <c r="N296" s="4">
        <v>44146</v>
      </c>
      <c r="O296" s="10">
        <v>407203.27919999999</v>
      </c>
    </row>
    <row r="297" spans="1:15" x14ac:dyDescent="0.3">
      <c r="A297" s="2">
        <v>295</v>
      </c>
      <c r="B297" s="3" t="s">
        <v>55</v>
      </c>
      <c r="C297" s="3" t="s">
        <v>98</v>
      </c>
      <c r="D297" s="3" t="s">
        <v>18</v>
      </c>
      <c r="E297" s="3" t="s">
        <v>23</v>
      </c>
      <c r="F297" s="3">
        <f t="shared" si="4"/>
        <v>1</v>
      </c>
      <c r="G297" s="3">
        <v>4093</v>
      </c>
      <c r="H297" s="3">
        <v>4</v>
      </c>
      <c r="I297" s="3">
        <v>54852</v>
      </c>
      <c r="J297" s="3">
        <f>IF(E297="Cold",1,0)</f>
        <v>0</v>
      </c>
      <c r="K297" s="3">
        <f>IF(E297="Hot",1,0)</f>
        <v>0</v>
      </c>
      <c r="L297" s="3">
        <v>2233</v>
      </c>
      <c r="M297" s="3">
        <v>82</v>
      </c>
      <c r="N297" s="4">
        <v>44028</v>
      </c>
      <c r="O297" s="10">
        <v>390029.76890000002</v>
      </c>
    </row>
    <row r="298" spans="1:15" x14ac:dyDescent="0.3">
      <c r="A298" s="2">
        <v>296</v>
      </c>
      <c r="B298" s="3" t="s">
        <v>72</v>
      </c>
      <c r="C298" s="3" t="s">
        <v>158</v>
      </c>
      <c r="D298" s="3" t="s">
        <v>18</v>
      </c>
      <c r="E298" s="3" t="s">
        <v>21</v>
      </c>
      <c r="F298" s="3">
        <f t="shared" si="4"/>
        <v>1</v>
      </c>
      <c r="G298" s="3">
        <v>21647</v>
      </c>
      <c r="H298" s="3">
        <v>9</v>
      </c>
      <c r="I298" s="3">
        <v>81248</v>
      </c>
      <c r="J298" s="3">
        <f>IF(E298="Cold",1,0)</f>
        <v>0</v>
      </c>
      <c r="K298" s="3">
        <f>IF(E298="Hot",1,0)</f>
        <v>1</v>
      </c>
      <c r="L298" s="3">
        <v>1860</v>
      </c>
      <c r="M298" s="3">
        <v>32</v>
      </c>
      <c r="N298" s="4">
        <v>43871</v>
      </c>
      <c r="O298" s="10">
        <v>359458.3138</v>
      </c>
    </row>
    <row r="299" spans="1:15" x14ac:dyDescent="0.3">
      <c r="A299" s="2">
        <v>297</v>
      </c>
      <c r="B299" s="3" t="s">
        <v>31</v>
      </c>
      <c r="C299" s="3" t="s">
        <v>185</v>
      </c>
      <c r="D299" s="3" t="s">
        <v>14</v>
      </c>
      <c r="E299" s="3" t="s">
        <v>15</v>
      </c>
      <c r="F299" s="3">
        <f t="shared" si="4"/>
        <v>0</v>
      </c>
      <c r="G299" s="3">
        <v>20238</v>
      </c>
      <c r="H299" s="3">
        <v>9</v>
      </c>
      <c r="I299" s="3">
        <v>68595</v>
      </c>
      <c r="J299" s="3">
        <f>IF(E299="Cold",1,0)</f>
        <v>1</v>
      </c>
      <c r="K299" s="3">
        <f>IF(E299="Hot",1,0)</f>
        <v>0</v>
      </c>
      <c r="L299" s="3">
        <v>1626</v>
      </c>
      <c r="M299" s="3">
        <v>88</v>
      </c>
      <c r="N299" s="4">
        <v>45454</v>
      </c>
      <c r="O299" s="10">
        <v>302229.31949999998</v>
      </c>
    </row>
    <row r="300" spans="1:15" x14ac:dyDescent="0.3">
      <c r="A300" s="2">
        <v>298</v>
      </c>
      <c r="B300" s="3" t="s">
        <v>55</v>
      </c>
      <c r="C300" s="3" t="s">
        <v>98</v>
      </c>
      <c r="D300" s="3" t="s">
        <v>14</v>
      </c>
      <c r="E300" s="3" t="s">
        <v>15</v>
      </c>
      <c r="F300" s="3">
        <f t="shared" si="4"/>
        <v>0</v>
      </c>
      <c r="G300" s="3">
        <v>10096</v>
      </c>
      <c r="H300" s="3">
        <v>6</v>
      </c>
      <c r="I300" s="3">
        <v>96584</v>
      </c>
      <c r="J300" s="3">
        <f>IF(E300="Cold",1,0)</f>
        <v>1</v>
      </c>
      <c r="K300" s="3">
        <f>IF(E300="Hot",1,0)</f>
        <v>0</v>
      </c>
      <c r="L300" s="3">
        <v>2501</v>
      </c>
      <c r="M300" s="3">
        <v>51</v>
      </c>
      <c r="N300" s="4">
        <v>44895</v>
      </c>
      <c r="O300" s="10">
        <v>315000.85330000002</v>
      </c>
    </row>
    <row r="301" spans="1:15" x14ac:dyDescent="0.3">
      <c r="A301" s="2">
        <v>299</v>
      </c>
      <c r="B301" s="3" t="s">
        <v>12</v>
      </c>
      <c r="C301" s="3" t="s">
        <v>47</v>
      </c>
      <c r="D301" s="3" t="s">
        <v>14</v>
      </c>
      <c r="E301" s="3" t="s">
        <v>21</v>
      </c>
      <c r="F301" s="3">
        <f t="shared" si="4"/>
        <v>0</v>
      </c>
      <c r="G301" s="3">
        <v>27284</v>
      </c>
      <c r="H301" s="3">
        <v>9</v>
      </c>
      <c r="I301" s="3">
        <v>95169</v>
      </c>
      <c r="J301" s="3">
        <f>IF(E301="Cold",1,0)</f>
        <v>0</v>
      </c>
      <c r="K301" s="3">
        <f>IF(E301="Hot",1,0)</f>
        <v>1</v>
      </c>
      <c r="L301" s="3">
        <v>2872</v>
      </c>
      <c r="M301" s="3">
        <v>70</v>
      </c>
      <c r="N301" s="4">
        <v>44349</v>
      </c>
      <c r="O301" s="10">
        <v>363843.14850000001</v>
      </c>
    </row>
    <row r="302" spans="1:15" x14ac:dyDescent="0.3">
      <c r="A302" s="2">
        <v>300</v>
      </c>
      <c r="B302" s="3" t="s">
        <v>31</v>
      </c>
      <c r="C302" s="3" t="s">
        <v>63</v>
      </c>
      <c r="D302" s="3" t="s">
        <v>14</v>
      </c>
      <c r="E302" s="3" t="s">
        <v>15</v>
      </c>
      <c r="F302" s="3">
        <f t="shared" si="4"/>
        <v>0</v>
      </c>
      <c r="G302" s="3">
        <v>6324</v>
      </c>
      <c r="H302" s="3">
        <v>1</v>
      </c>
      <c r="I302" s="3">
        <v>59741</v>
      </c>
      <c r="J302" s="3">
        <f>IF(E302="Cold",1,0)</f>
        <v>1</v>
      </c>
      <c r="K302" s="3">
        <f>IF(E302="Hot",1,0)</f>
        <v>0</v>
      </c>
      <c r="L302" s="3">
        <v>2415</v>
      </c>
      <c r="M302" s="3">
        <v>64</v>
      </c>
      <c r="N302" s="4">
        <v>44154</v>
      </c>
      <c r="O302" s="10">
        <v>318639.60830000002</v>
      </c>
    </row>
    <row r="303" spans="1:15" x14ac:dyDescent="0.3">
      <c r="A303" s="2">
        <v>301</v>
      </c>
      <c r="B303" s="3" t="s">
        <v>31</v>
      </c>
      <c r="C303" s="3" t="s">
        <v>186</v>
      </c>
      <c r="D303" s="3" t="s">
        <v>14</v>
      </c>
      <c r="E303" s="3" t="s">
        <v>15</v>
      </c>
      <c r="F303" s="3">
        <f t="shared" si="4"/>
        <v>0</v>
      </c>
      <c r="G303" s="3">
        <v>4234</v>
      </c>
      <c r="H303" s="3">
        <v>4</v>
      </c>
      <c r="I303" s="3">
        <v>71894</v>
      </c>
      <c r="J303" s="3">
        <f>IF(E303="Cold",1,0)</f>
        <v>1</v>
      </c>
      <c r="K303" s="3">
        <f>IF(E303="Hot",1,0)</f>
        <v>0</v>
      </c>
      <c r="L303" s="3">
        <v>1861</v>
      </c>
      <c r="M303" s="3">
        <v>46</v>
      </c>
      <c r="N303" s="4">
        <v>44470</v>
      </c>
      <c r="O303" s="10">
        <v>305354.21620000002</v>
      </c>
    </row>
    <row r="304" spans="1:15" x14ac:dyDescent="0.3">
      <c r="A304" s="2">
        <v>302</v>
      </c>
      <c r="B304" s="3" t="s">
        <v>57</v>
      </c>
      <c r="C304" s="3" t="s">
        <v>67</v>
      </c>
      <c r="D304" s="3" t="s">
        <v>18</v>
      </c>
      <c r="E304" s="3" t="s">
        <v>21</v>
      </c>
      <c r="F304" s="3">
        <f t="shared" si="4"/>
        <v>1</v>
      </c>
      <c r="G304" s="3">
        <v>26674</v>
      </c>
      <c r="H304" s="3">
        <v>0</v>
      </c>
      <c r="I304" s="3">
        <v>63952</v>
      </c>
      <c r="J304" s="3">
        <f>IF(E304="Cold",1,0)</f>
        <v>0</v>
      </c>
      <c r="K304" s="3">
        <f>IF(E304="Hot",1,0)</f>
        <v>1</v>
      </c>
      <c r="L304" s="3">
        <v>1294</v>
      </c>
      <c r="M304" s="3">
        <v>59</v>
      </c>
      <c r="N304" s="4">
        <v>44236</v>
      </c>
      <c r="O304" s="10">
        <v>391499.18609999999</v>
      </c>
    </row>
    <row r="305" spans="1:15" x14ac:dyDescent="0.3">
      <c r="A305" s="2">
        <v>303</v>
      </c>
      <c r="B305" s="3" t="s">
        <v>28</v>
      </c>
      <c r="C305" s="3" t="s">
        <v>115</v>
      </c>
      <c r="D305" s="3" t="s">
        <v>14</v>
      </c>
      <c r="E305" s="3" t="s">
        <v>23</v>
      </c>
      <c r="F305" s="3">
        <f t="shared" si="4"/>
        <v>0</v>
      </c>
      <c r="G305" s="3">
        <v>23438</v>
      </c>
      <c r="H305" s="3">
        <v>0</v>
      </c>
      <c r="I305" s="3">
        <v>70962</v>
      </c>
      <c r="J305" s="3">
        <f>IF(E305="Cold",1,0)</f>
        <v>0</v>
      </c>
      <c r="K305" s="3">
        <f>IF(E305="Hot",1,0)</f>
        <v>0</v>
      </c>
      <c r="L305" s="3">
        <v>2338</v>
      </c>
      <c r="M305" s="3">
        <v>94</v>
      </c>
      <c r="N305" s="4">
        <v>44784</v>
      </c>
      <c r="O305" s="10">
        <v>353933.74160000001</v>
      </c>
    </row>
    <row r="306" spans="1:15" x14ac:dyDescent="0.3">
      <c r="A306" s="2">
        <v>304</v>
      </c>
      <c r="B306" s="3" t="s">
        <v>26</v>
      </c>
      <c r="C306" s="3" t="s">
        <v>93</v>
      </c>
      <c r="D306" s="3" t="s">
        <v>14</v>
      </c>
      <c r="E306" s="3" t="s">
        <v>15</v>
      </c>
      <c r="F306" s="3">
        <f t="shared" si="4"/>
        <v>0</v>
      </c>
      <c r="G306" s="3">
        <v>19468</v>
      </c>
      <c r="H306" s="3">
        <v>6</v>
      </c>
      <c r="I306" s="3">
        <v>88059</v>
      </c>
      <c r="J306" s="3">
        <f>IF(E306="Cold",1,0)</f>
        <v>1</v>
      </c>
      <c r="K306" s="3">
        <f>IF(E306="Hot",1,0)</f>
        <v>0</v>
      </c>
      <c r="L306" s="3">
        <v>2450</v>
      </c>
      <c r="M306" s="3">
        <v>76</v>
      </c>
      <c r="N306" s="4">
        <v>44591</v>
      </c>
      <c r="O306" s="10">
        <v>328519.43770000001</v>
      </c>
    </row>
    <row r="307" spans="1:15" x14ac:dyDescent="0.3">
      <c r="A307" s="2">
        <v>305</v>
      </c>
      <c r="B307" s="3" t="s">
        <v>35</v>
      </c>
      <c r="C307" s="3" t="s">
        <v>62</v>
      </c>
      <c r="D307" s="3" t="s">
        <v>18</v>
      </c>
      <c r="E307" s="3" t="s">
        <v>15</v>
      </c>
      <c r="F307" s="3">
        <f t="shared" si="4"/>
        <v>1</v>
      </c>
      <c r="G307" s="3">
        <v>11246</v>
      </c>
      <c r="H307" s="3">
        <v>8</v>
      </c>
      <c r="I307" s="3">
        <v>59979</v>
      </c>
      <c r="J307" s="3">
        <f>IF(E307="Cold",1,0)</f>
        <v>1</v>
      </c>
      <c r="K307" s="3">
        <f>IF(E307="Hot",1,0)</f>
        <v>0</v>
      </c>
      <c r="L307" s="3">
        <v>1414</v>
      </c>
      <c r="M307" s="3">
        <v>57</v>
      </c>
      <c r="N307" s="4">
        <v>45083</v>
      </c>
      <c r="O307" s="10">
        <v>353612.89279999997</v>
      </c>
    </row>
    <row r="308" spans="1:15" x14ac:dyDescent="0.3">
      <c r="A308" s="2">
        <v>306</v>
      </c>
      <c r="B308" s="3" t="s">
        <v>31</v>
      </c>
      <c r="C308" s="3" t="s">
        <v>81</v>
      </c>
      <c r="D308" s="3" t="s">
        <v>14</v>
      </c>
      <c r="E308" s="3" t="s">
        <v>21</v>
      </c>
      <c r="F308" s="3">
        <f t="shared" si="4"/>
        <v>0</v>
      </c>
      <c r="G308" s="3">
        <v>9869</v>
      </c>
      <c r="H308" s="3">
        <v>6</v>
      </c>
      <c r="I308" s="3">
        <v>65250</v>
      </c>
      <c r="J308" s="3">
        <f>IF(E308="Cold",1,0)</f>
        <v>0</v>
      </c>
      <c r="K308" s="3">
        <f>IF(E308="Hot",1,0)</f>
        <v>1</v>
      </c>
      <c r="L308" s="3">
        <v>1395</v>
      </c>
      <c r="M308" s="3">
        <v>65</v>
      </c>
      <c r="N308" s="4">
        <v>45161</v>
      </c>
      <c r="O308" s="10">
        <v>333055.55300000001</v>
      </c>
    </row>
    <row r="309" spans="1:15" x14ac:dyDescent="0.3">
      <c r="A309" s="2">
        <v>307</v>
      </c>
      <c r="B309" s="3" t="s">
        <v>53</v>
      </c>
      <c r="C309" s="3" t="s">
        <v>131</v>
      </c>
      <c r="D309" s="3" t="s">
        <v>18</v>
      </c>
      <c r="E309" s="3" t="s">
        <v>15</v>
      </c>
      <c r="F309" s="3">
        <f t="shared" si="4"/>
        <v>1</v>
      </c>
      <c r="G309" s="3">
        <v>23981</v>
      </c>
      <c r="H309" s="3">
        <v>1</v>
      </c>
      <c r="I309" s="3">
        <v>83378</v>
      </c>
      <c r="J309" s="3">
        <f>IF(E309="Cold",1,0)</f>
        <v>1</v>
      </c>
      <c r="K309" s="3">
        <f>IF(E309="Hot",1,0)</f>
        <v>0</v>
      </c>
      <c r="L309" s="3">
        <v>2104</v>
      </c>
      <c r="M309" s="3">
        <v>38</v>
      </c>
      <c r="N309" s="4">
        <v>43892</v>
      </c>
      <c r="O309" s="10">
        <v>355928.42389999999</v>
      </c>
    </row>
    <row r="310" spans="1:15" x14ac:dyDescent="0.3">
      <c r="A310" s="2">
        <v>308</v>
      </c>
      <c r="B310" s="3" t="s">
        <v>53</v>
      </c>
      <c r="C310" s="3" t="s">
        <v>178</v>
      </c>
      <c r="D310" s="3" t="s">
        <v>14</v>
      </c>
      <c r="E310" s="3" t="s">
        <v>15</v>
      </c>
      <c r="F310" s="3">
        <f t="shared" si="4"/>
        <v>0</v>
      </c>
      <c r="G310" s="3">
        <v>16242</v>
      </c>
      <c r="H310" s="3">
        <v>5</v>
      </c>
      <c r="I310" s="3">
        <v>81727</v>
      </c>
      <c r="J310" s="3">
        <f>IF(E310="Cold",1,0)</f>
        <v>1</v>
      </c>
      <c r="K310" s="3">
        <f>IF(E310="Hot",1,0)</f>
        <v>0</v>
      </c>
      <c r="L310" s="3">
        <v>1653</v>
      </c>
      <c r="M310" s="3">
        <v>96</v>
      </c>
      <c r="N310" s="4">
        <v>43997</v>
      </c>
      <c r="O310" s="10">
        <v>300929.9314</v>
      </c>
    </row>
    <row r="311" spans="1:15" x14ac:dyDescent="0.3">
      <c r="A311" s="2">
        <v>309</v>
      </c>
      <c r="B311" s="3" t="s">
        <v>72</v>
      </c>
      <c r="C311" s="3" t="s">
        <v>167</v>
      </c>
      <c r="D311" s="3" t="s">
        <v>18</v>
      </c>
      <c r="E311" s="3" t="s">
        <v>21</v>
      </c>
      <c r="F311" s="3">
        <f t="shared" si="4"/>
        <v>1</v>
      </c>
      <c r="G311" s="3">
        <v>7934</v>
      </c>
      <c r="H311" s="3">
        <v>9</v>
      </c>
      <c r="I311" s="3">
        <v>89135</v>
      </c>
      <c r="J311" s="3">
        <f>IF(E311="Cold",1,0)</f>
        <v>0</v>
      </c>
      <c r="K311" s="3">
        <f>IF(E311="Hot",1,0)</f>
        <v>1</v>
      </c>
      <c r="L311" s="3">
        <v>2900</v>
      </c>
      <c r="M311" s="3">
        <v>54</v>
      </c>
      <c r="N311" s="4">
        <v>45072</v>
      </c>
      <c r="O311" s="10">
        <v>404040.7072</v>
      </c>
    </row>
    <row r="312" spans="1:15" x14ac:dyDescent="0.3">
      <c r="A312" s="2">
        <v>310</v>
      </c>
      <c r="B312" s="3" t="s">
        <v>53</v>
      </c>
      <c r="C312" s="3" t="s">
        <v>152</v>
      </c>
      <c r="D312" s="3" t="s">
        <v>14</v>
      </c>
      <c r="E312" s="3" t="s">
        <v>21</v>
      </c>
      <c r="F312" s="3">
        <f t="shared" si="4"/>
        <v>0</v>
      </c>
      <c r="G312" s="3">
        <v>24084</v>
      </c>
      <c r="H312" s="3">
        <v>8</v>
      </c>
      <c r="I312" s="3">
        <v>86072</v>
      </c>
      <c r="J312" s="3">
        <f>IF(E312="Cold",1,0)</f>
        <v>0</v>
      </c>
      <c r="K312" s="3">
        <f>IF(E312="Hot",1,0)</f>
        <v>1</v>
      </c>
      <c r="L312" s="3">
        <v>1210</v>
      </c>
      <c r="M312" s="3">
        <v>66</v>
      </c>
      <c r="N312" s="4">
        <v>43909</v>
      </c>
      <c r="O312" s="10">
        <v>344422.1961</v>
      </c>
    </row>
    <row r="313" spans="1:15" x14ac:dyDescent="0.3">
      <c r="A313" s="2">
        <v>311</v>
      </c>
      <c r="B313" s="3" t="s">
        <v>33</v>
      </c>
      <c r="C313" s="3" t="s">
        <v>92</v>
      </c>
      <c r="D313" s="3" t="s">
        <v>18</v>
      </c>
      <c r="E313" s="3" t="s">
        <v>21</v>
      </c>
      <c r="F313" s="3">
        <f t="shared" si="4"/>
        <v>1</v>
      </c>
      <c r="G313" s="3">
        <v>738</v>
      </c>
      <c r="H313" s="3">
        <v>7</v>
      </c>
      <c r="I313" s="3">
        <v>58012</v>
      </c>
      <c r="J313" s="3">
        <f>IF(E313="Cold",1,0)</f>
        <v>0</v>
      </c>
      <c r="K313" s="3">
        <f>IF(E313="Hot",1,0)</f>
        <v>1</v>
      </c>
      <c r="L313" s="3">
        <v>2787</v>
      </c>
      <c r="M313" s="3">
        <v>77</v>
      </c>
      <c r="N313" s="4">
        <v>45340</v>
      </c>
      <c r="O313" s="10">
        <v>392204.97960000002</v>
      </c>
    </row>
    <row r="314" spans="1:15" x14ac:dyDescent="0.3">
      <c r="A314" s="2">
        <v>312</v>
      </c>
      <c r="B314" s="3" t="s">
        <v>40</v>
      </c>
      <c r="C314" s="3" t="s">
        <v>121</v>
      </c>
      <c r="D314" s="3" t="s">
        <v>14</v>
      </c>
      <c r="E314" s="3" t="s">
        <v>15</v>
      </c>
      <c r="F314" s="3">
        <f t="shared" si="4"/>
        <v>0</v>
      </c>
      <c r="G314" s="3">
        <v>26372</v>
      </c>
      <c r="H314" s="3">
        <v>0</v>
      </c>
      <c r="I314" s="3">
        <v>51156</v>
      </c>
      <c r="J314" s="3">
        <f>IF(E314="Cold",1,0)</f>
        <v>1</v>
      </c>
      <c r="K314" s="3">
        <f>IF(E314="Hot",1,0)</f>
        <v>0</v>
      </c>
      <c r="L314" s="3">
        <v>1881</v>
      </c>
      <c r="M314" s="3">
        <v>29</v>
      </c>
      <c r="N314" s="4">
        <v>44107</v>
      </c>
      <c r="O314" s="10">
        <v>324309.38160000002</v>
      </c>
    </row>
    <row r="315" spans="1:15" x14ac:dyDescent="0.3">
      <c r="A315" s="2">
        <v>313</v>
      </c>
      <c r="B315" s="3" t="s">
        <v>28</v>
      </c>
      <c r="C315" s="3" t="s">
        <v>115</v>
      </c>
      <c r="D315" s="3" t="s">
        <v>18</v>
      </c>
      <c r="E315" s="3" t="s">
        <v>23</v>
      </c>
      <c r="F315" s="3">
        <f t="shared" si="4"/>
        <v>1</v>
      </c>
      <c r="G315" s="3">
        <v>17824</v>
      </c>
      <c r="H315" s="3">
        <v>2</v>
      </c>
      <c r="I315" s="3">
        <v>56855</v>
      </c>
      <c r="J315" s="3">
        <f>IF(E315="Cold",1,0)</f>
        <v>0</v>
      </c>
      <c r="K315" s="3">
        <f>IF(E315="Hot",1,0)</f>
        <v>0</v>
      </c>
      <c r="L315" s="3">
        <v>1680</v>
      </c>
      <c r="M315" s="3">
        <v>71</v>
      </c>
      <c r="N315" s="4">
        <v>44407</v>
      </c>
      <c r="O315" s="10">
        <v>375509.72039999999</v>
      </c>
    </row>
    <row r="316" spans="1:15" x14ac:dyDescent="0.3">
      <c r="A316" s="2">
        <v>314</v>
      </c>
      <c r="B316" s="3" t="s">
        <v>35</v>
      </c>
      <c r="C316" s="3" t="s">
        <v>139</v>
      </c>
      <c r="D316" s="3" t="s">
        <v>18</v>
      </c>
      <c r="E316" s="3" t="s">
        <v>23</v>
      </c>
      <c r="F316" s="3">
        <f t="shared" si="4"/>
        <v>1</v>
      </c>
      <c r="G316" s="3">
        <v>15861</v>
      </c>
      <c r="H316" s="3">
        <v>8</v>
      </c>
      <c r="I316" s="3">
        <v>73030</v>
      </c>
      <c r="J316" s="3">
        <f>IF(E316="Cold",1,0)</f>
        <v>0</v>
      </c>
      <c r="K316" s="3">
        <f>IF(E316="Hot",1,0)</f>
        <v>0</v>
      </c>
      <c r="L316" s="3">
        <v>1672</v>
      </c>
      <c r="M316" s="3">
        <v>79</v>
      </c>
      <c r="N316" s="4">
        <v>45118</v>
      </c>
      <c r="O316" s="10">
        <v>410851.92320000002</v>
      </c>
    </row>
    <row r="317" spans="1:15" x14ac:dyDescent="0.3">
      <c r="A317" s="2">
        <v>315</v>
      </c>
      <c r="B317" s="3" t="s">
        <v>28</v>
      </c>
      <c r="C317" s="3" t="s">
        <v>187</v>
      </c>
      <c r="D317" s="3" t="s">
        <v>14</v>
      </c>
      <c r="E317" s="3" t="s">
        <v>15</v>
      </c>
      <c r="F317" s="3">
        <f t="shared" si="4"/>
        <v>0</v>
      </c>
      <c r="G317" s="3">
        <v>19866</v>
      </c>
      <c r="H317" s="3">
        <v>9</v>
      </c>
      <c r="I317" s="3">
        <v>83222</v>
      </c>
      <c r="J317" s="3">
        <f>IF(E317="Cold",1,0)</f>
        <v>1</v>
      </c>
      <c r="K317" s="3">
        <f>IF(E317="Hot",1,0)</f>
        <v>0</v>
      </c>
      <c r="L317" s="3">
        <v>2365</v>
      </c>
      <c r="M317" s="3">
        <v>89</v>
      </c>
      <c r="N317" s="4">
        <v>44670</v>
      </c>
      <c r="O317" s="10">
        <v>338019.02639999997</v>
      </c>
    </row>
    <row r="318" spans="1:15" x14ac:dyDescent="0.3">
      <c r="A318" s="2">
        <v>316</v>
      </c>
      <c r="B318" s="3" t="s">
        <v>108</v>
      </c>
      <c r="C318" s="3" t="s">
        <v>161</v>
      </c>
      <c r="D318" s="3" t="s">
        <v>18</v>
      </c>
      <c r="E318" s="3" t="s">
        <v>21</v>
      </c>
      <c r="F318" s="3">
        <f t="shared" si="4"/>
        <v>1</v>
      </c>
      <c r="G318" s="3">
        <v>3406</v>
      </c>
      <c r="H318" s="3">
        <v>4</v>
      </c>
      <c r="I318" s="3">
        <v>59520</v>
      </c>
      <c r="J318" s="3">
        <f>IF(E318="Cold",1,0)</f>
        <v>0</v>
      </c>
      <c r="K318" s="3">
        <f>IF(E318="Hot",1,0)</f>
        <v>1</v>
      </c>
      <c r="L318" s="3">
        <v>1670</v>
      </c>
      <c r="M318" s="3">
        <v>36</v>
      </c>
      <c r="N318" s="4">
        <v>45311</v>
      </c>
      <c r="O318" s="10">
        <v>336914.91350000002</v>
      </c>
    </row>
    <row r="319" spans="1:15" x14ac:dyDescent="0.3">
      <c r="A319" s="2">
        <v>317</v>
      </c>
      <c r="B319" s="3" t="s">
        <v>31</v>
      </c>
      <c r="C319" s="3" t="s">
        <v>63</v>
      </c>
      <c r="D319" s="3" t="s">
        <v>14</v>
      </c>
      <c r="E319" s="3" t="s">
        <v>15</v>
      </c>
      <c r="F319" s="3">
        <f t="shared" si="4"/>
        <v>0</v>
      </c>
      <c r="G319" s="3">
        <v>16081</v>
      </c>
      <c r="H319" s="3">
        <v>6</v>
      </c>
      <c r="I319" s="3">
        <v>71654</v>
      </c>
      <c r="J319" s="3">
        <f>IF(E319="Cold",1,0)</f>
        <v>1</v>
      </c>
      <c r="K319" s="3">
        <f>IF(E319="Hot",1,0)</f>
        <v>0</v>
      </c>
      <c r="L319" s="3">
        <v>1084</v>
      </c>
      <c r="M319" s="3">
        <v>62</v>
      </c>
      <c r="N319" s="4">
        <v>44421</v>
      </c>
      <c r="O319" s="10">
        <v>292926.94329999998</v>
      </c>
    </row>
    <row r="320" spans="1:15" x14ac:dyDescent="0.3">
      <c r="A320" s="2">
        <v>318</v>
      </c>
      <c r="B320" s="3" t="s">
        <v>37</v>
      </c>
      <c r="C320" s="3" t="s">
        <v>90</v>
      </c>
      <c r="D320" s="3" t="s">
        <v>18</v>
      </c>
      <c r="E320" s="3" t="s">
        <v>15</v>
      </c>
      <c r="F320" s="3">
        <f t="shared" si="4"/>
        <v>1</v>
      </c>
      <c r="G320" s="3">
        <v>29655</v>
      </c>
      <c r="H320" s="3">
        <v>0</v>
      </c>
      <c r="I320" s="3">
        <v>54765</v>
      </c>
      <c r="J320" s="3">
        <f>IF(E320="Cold",1,0)</f>
        <v>1</v>
      </c>
      <c r="K320" s="3">
        <f>IF(E320="Hot",1,0)</f>
        <v>0</v>
      </c>
      <c r="L320" s="3">
        <v>1447</v>
      </c>
      <c r="M320" s="3">
        <v>80</v>
      </c>
      <c r="N320" s="4">
        <v>44862</v>
      </c>
      <c r="O320" s="10">
        <v>354703.72009999998</v>
      </c>
    </row>
    <row r="321" spans="1:15" x14ac:dyDescent="0.3">
      <c r="A321" s="2">
        <v>319</v>
      </c>
      <c r="B321" s="3" t="s">
        <v>12</v>
      </c>
      <c r="C321" s="3" t="s">
        <v>85</v>
      </c>
      <c r="D321" s="3" t="s">
        <v>18</v>
      </c>
      <c r="E321" s="3" t="s">
        <v>15</v>
      </c>
      <c r="F321" s="3">
        <f t="shared" si="4"/>
        <v>1</v>
      </c>
      <c r="G321" s="3">
        <v>28661</v>
      </c>
      <c r="H321" s="3">
        <v>2</v>
      </c>
      <c r="I321" s="3">
        <v>90255</v>
      </c>
      <c r="J321" s="3">
        <f>IF(E321="Cold",1,0)</f>
        <v>1</v>
      </c>
      <c r="K321" s="3">
        <f>IF(E321="Hot",1,0)</f>
        <v>0</v>
      </c>
      <c r="L321" s="3">
        <v>2246</v>
      </c>
      <c r="M321" s="3">
        <v>99</v>
      </c>
      <c r="N321" s="4">
        <v>44393</v>
      </c>
      <c r="O321" s="10">
        <v>395184.00750000001</v>
      </c>
    </row>
    <row r="322" spans="1:15" x14ac:dyDescent="0.3">
      <c r="A322" s="2">
        <v>320</v>
      </c>
      <c r="B322" s="3" t="s">
        <v>40</v>
      </c>
      <c r="C322" s="3" t="s">
        <v>42</v>
      </c>
      <c r="D322" s="3" t="s">
        <v>18</v>
      </c>
      <c r="E322" s="3" t="s">
        <v>23</v>
      </c>
      <c r="F322" s="3">
        <f t="shared" si="4"/>
        <v>1</v>
      </c>
      <c r="G322" s="3">
        <v>9901</v>
      </c>
      <c r="H322" s="3">
        <v>4</v>
      </c>
      <c r="I322" s="3">
        <v>61402</v>
      </c>
      <c r="J322" s="3">
        <f>IF(E322="Cold",1,0)</f>
        <v>0</v>
      </c>
      <c r="K322" s="3">
        <f>IF(E322="Hot",1,0)</f>
        <v>0</v>
      </c>
      <c r="L322" s="3">
        <v>1211</v>
      </c>
      <c r="M322" s="3">
        <v>51</v>
      </c>
      <c r="N322" s="4">
        <v>45036</v>
      </c>
      <c r="O322" s="10">
        <v>389185.86489999999</v>
      </c>
    </row>
    <row r="323" spans="1:15" x14ac:dyDescent="0.3">
      <c r="A323" s="2">
        <v>321</v>
      </c>
      <c r="B323" s="3" t="s">
        <v>31</v>
      </c>
      <c r="C323" s="3" t="s">
        <v>32</v>
      </c>
      <c r="D323" s="3" t="s">
        <v>14</v>
      </c>
      <c r="E323" s="3" t="s">
        <v>21</v>
      </c>
      <c r="F323" s="3">
        <f t="shared" ref="F323:F386" si="5">IF(D323=$F$1,1,0)</f>
        <v>0</v>
      </c>
      <c r="G323" s="3">
        <v>18684</v>
      </c>
      <c r="H323" s="3">
        <v>5</v>
      </c>
      <c r="I323" s="3">
        <v>63376</v>
      </c>
      <c r="J323" s="3">
        <f>IF(E323="Cold",1,0)</f>
        <v>0</v>
      </c>
      <c r="K323" s="3">
        <f>IF(E323="Hot",1,0)</f>
        <v>1</v>
      </c>
      <c r="L323" s="3">
        <v>2926</v>
      </c>
      <c r="M323" s="3">
        <v>67</v>
      </c>
      <c r="N323" s="4">
        <v>43874</v>
      </c>
      <c r="O323" s="10">
        <v>348526.94010000001</v>
      </c>
    </row>
    <row r="324" spans="1:15" x14ac:dyDescent="0.3">
      <c r="A324" s="2">
        <v>322</v>
      </c>
      <c r="B324" s="3" t="s">
        <v>29</v>
      </c>
      <c r="C324" s="3" t="s">
        <v>107</v>
      </c>
      <c r="D324" s="3" t="s">
        <v>14</v>
      </c>
      <c r="E324" s="3" t="s">
        <v>15</v>
      </c>
      <c r="F324" s="3">
        <f t="shared" si="5"/>
        <v>0</v>
      </c>
      <c r="G324" s="3">
        <v>13118</v>
      </c>
      <c r="H324" s="3">
        <v>5</v>
      </c>
      <c r="I324" s="3">
        <v>86802</v>
      </c>
      <c r="J324" s="3">
        <f>IF(E324="Cold",1,0)</f>
        <v>1</v>
      </c>
      <c r="K324" s="3">
        <f>IF(E324="Hot",1,0)</f>
        <v>0</v>
      </c>
      <c r="L324" s="3">
        <v>1150</v>
      </c>
      <c r="M324" s="3">
        <v>57</v>
      </c>
      <c r="N324" s="4">
        <v>44869</v>
      </c>
      <c r="O324" s="10">
        <v>287433.24300000002</v>
      </c>
    </row>
    <row r="325" spans="1:15" x14ac:dyDescent="0.3">
      <c r="A325" s="2">
        <v>323</v>
      </c>
      <c r="B325" s="3" t="s">
        <v>26</v>
      </c>
      <c r="C325" s="3" t="s">
        <v>93</v>
      </c>
      <c r="D325" s="3" t="s">
        <v>14</v>
      </c>
      <c r="E325" s="3" t="s">
        <v>21</v>
      </c>
      <c r="F325" s="3">
        <f t="shared" si="5"/>
        <v>0</v>
      </c>
      <c r="G325" s="3">
        <v>21838</v>
      </c>
      <c r="H325" s="3">
        <v>9</v>
      </c>
      <c r="I325" s="3">
        <v>78540</v>
      </c>
      <c r="J325" s="3">
        <f>IF(E325="Cold",1,0)</f>
        <v>0</v>
      </c>
      <c r="K325" s="3">
        <f>IF(E325="Hot",1,0)</f>
        <v>1</v>
      </c>
      <c r="L325" s="3">
        <v>2702</v>
      </c>
      <c r="M325" s="3">
        <v>50</v>
      </c>
      <c r="N325" s="4">
        <v>44195</v>
      </c>
      <c r="O325" s="10">
        <v>338086.0281</v>
      </c>
    </row>
    <row r="326" spans="1:15" x14ac:dyDescent="0.3">
      <c r="A326" s="2">
        <v>324</v>
      </c>
      <c r="B326" s="3" t="s">
        <v>24</v>
      </c>
      <c r="C326" s="3" t="s">
        <v>39</v>
      </c>
      <c r="D326" s="3" t="s">
        <v>14</v>
      </c>
      <c r="E326" s="3" t="s">
        <v>15</v>
      </c>
      <c r="F326" s="3">
        <f t="shared" si="5"/>
        <v>0</v>
      </c>
      <c r="G326" s="3">
        <v>13757</v>
      </c>
      <c r="H326" s="3">
        <v>2</v>
      </c>
      <c r="I326" s="3">
        <v>58709</v>
      </c>
      <c r="J326" s="3">
        <f>IF(E326="Cold",1,0)</f>
        <v>1</v>
      </c>
      <c r="K326" s="3">
        <f>IF(E326="Hot",1,0)</f>
        <v>0</v>
      </c>
      <c r="L326" s="3">
        <v>2856</v>
      </c>
      <c r="M326" s="3">
        <v>78</v>
      </c>
      <c r="N326" s="4">
        <v>45397</v>
      </c>
      <c r="O326" s="10">
        <v>310672.82669999998</v>
      </c>
    </row>
    <row r="327" spans="1:15" x14ac:dyDescent="0.3">
      <c r="A327" s="2">
        <v>325</v>
      </c>
      <c r="B327" s="3" t="s">
        <v>35</v>
      </c>
      <c r="C327" s="3" t="s">
        <v>150</v>
      </c>
      <c r="D327" s="3" t="s">
        <v>14</v>
      </c>
      <c r="E327" s="3" t="s">
        <v>15</v>
      </c>
      <c r="F327" s="3">
        <f t="shared" si="5"/>
        <v>0</v>
      </c>
      <c r="G327" s="3">
        <v>7912</v>
      </c>
      <c r="H327" s="3">
        <v>7</v>
      </c>
      <c r="I327" s="3">
        <v>98654</v>
      </c>
      <c r="J327" s="3">
        <f>IF(E327="Cold",1,0)</f>
        <v>1</v>
      </c>
      <c r="K327" s="3">
        <f>IF(E327="Hot",1,0)</f>
        <v>0</v>
      </c>
      <c r="L327" s="3">
        <v>2540</v>
      </c>
      <c r="M327" s="3">
        <v>48</v>
      </c>
      <c r="N327" s="4">
        <v>43834</v>
      </c>
      <c r="O327" s="10">
        <v>317238.72950000002</v>
      </c>
    </row>
    <row r="328" spans="1:15" x14ac:dyDescent="0.3">
      <c r="A328" s="2">
        <v>326</v>
      </c>
      <c r="B328" s="3" t="s">
        <v>29</v>
      </c>
      <c r="C328" s="3" t="s">
        <v>188</v>
      </c>
      <c r="D328" s="3" t="s">
        <v>18</v>
      </c>
      <c r="E328" s="3" t="s">
        <v>21</v>
      </c>
      <c r="F328" s="3">
        <f t="shared" si="5"/>
        <v>1</v>
      </c>
      <c r="G328" s="3">
        <v>27331</v>
      </c>
      <c r="H328" s="3">
        <v>2</v>
      </c>
      <c r="I328" s="3">
        <v>99141</v>
      </c>
      <c r="J328" s="3">
        <f>IF(E328="Cold",1,0)</f>
        <v>0</v>
      </c>
      <c r="K328" s="3">
        <f>IF(E328="Hot",1,0)</f>
        <v>1</v>
      </c>
      <c r="L328" s="3">
        <v>2364</v>
      </c>
      <c r="M328" s="3">
        <v>96</v>
      </c>
      <c r="N328" s="4">
        <v>44027</v>
      </c>
      <c r="O328" s="10">
        <v>422234.7954</v>
      </c>
    </row>
    <row r="329" spans="1:15" x14ac:dyDescent="0.3">
      <c r="A329" s="2">
        <v>327</v>
      </c>
      <c r="B329" s="3" t="s">
        <v>24</v>
      </c>
      <c r="C329" s="3" t="s">
        <v>101</v>
      </c>
      <c r="D329" s="3" t="s">
        <v>18</v>
      </c>
      <c r="E329" s="3" t="s">
        <v>23</v>
      </c>
      <c r="F329" s="3">
        <f t="shared" si="5"/>
        <v>1</v>
      </c>
      <c r="G329" s="3">
        <v>19402</v>
      </c>
      <c r="H329" s="3">
        <v>8</v>
      </c>
      <c r="I329" s="3">
        <v>74743</v>
      </c>
      <c r="J329" s="3">
        <f>IF(E329="Cold",1,0)</f>
        <v>0</v>
      </c>
      <c r="K329" s="3">
        <f>IF(E329="Hot",1,0)</f>
        <v>0</v>
      </c>
      <c r="L329" s="3">
        <v>1501</v>
      </c>
      <c r="M329" s="3">
        <v>22</v>
      </c>
      <c r="N329" s="4">
        <v>44892</v>
      </c>
      <c r="O329" s="10">
        <v>368181.20199999999</v>
      </c>
    </row>
    <row r="330" spans="1:15" x14ac:dyDescent="0.3">
      <c r="A330" s="2">
        <v>328</v>
      </c>
      <c r="B330" s="3" t="s">
        <v>122</v>
      </c>
      <c r="C330" s="3" t="s">
        <v>189</v>
      </c>
      <c r="D330" s="3" t="s">
        <v>18</v>
      </c>
      <c r="E330" s="3" t="s">
        <v>23</v>
      </c>
      <c r="F330" s="3">
        <f t="shared" si="5"/>
        <v>1</v>
      </c>
      <c r="G330" s="3">
        <v>5686</v>
      </c>
      <c r="H330" s="3">
        <v>4</v>
      </c>
      <c r="I330" s="3">
        <v>66567</v>
      </c>
      <c r="J330" s="3">
        <f>IF(E330="Cold",1,0)</f>
        <v>0</v>
      </c>
      <c r="K330" s="3">
        <f>IF(E330="Hot",1,0)</f>
        <v>0</v>
      </c>
      <c r="L330" s="3">
        <v>2459</v>
      </c>
      <c r="M330" s="3">
        <v>55</v>
      </c>
      <c r="N330" s="4">
        <v>44640</v>
      </c>
      <c r="O330" s="10">
        <v>376808.01689999999</v>
      </c>
    </row>
    <row r="331" spans="1:15" x14ac:dyDescent="0.3">
      <c r="A331" s="2">
        <v>329</v>
      </c>
      <c r="B331" s="3" t="s">
        <v>55</v>
      </c>
      <c r="C331" s="3" t="s">
        <v>148</v>
      </c>
      <c r="D331" s="3" t="s">
        <v>18</v>
      </c>
      <c r="E331" s="3" t="s">
        <v>21</v>
      </c>
      <c r="F331" s="3">
        <f t="shared" si="5"/>
        <v>1</v>
      </c>
      <c r="G331" s="3">
        <v>14354</v>
      </c>
      <c r="H331" s="3">
        <v>8</v>
      </c>
      <c r="I331" s="3">
        <v>70351</v>
      </c>
      <c r="J331" s="3">
        <f>IF(E331="Cold",1,0)</f>
        <v>0</v>
      </c>
      <c r="K331" s="3">
        <f>IF(E331="Hot",1,0)</f>
        <v>1</v>
      </c>
      <c r="L331" s="3">
        <v>1759</v>
      </c>
      <c r="M331" s="3">
        <v>71</v>
      </c>
      <c r="N331" s="4">
        <v>45149</v>
      </c>
      <c r="O331" s="10">
        <v>373051.50900000002</v>
      </c>
    </row>
    <row r="332" spans="1:15" x14ac:dyDescent="0.3">
      <c r="A332" s="2">
        <v>330</v>
      </c>
      <c r="B332" s="3" t="s">
        <v>16</v>
      </c>
      <c r="C332" s="3" t="s">
        <v>87</v>
      </c>
      <c r="D332" s="3" t="s">
        <v>18</v>
      </c>
      <c r="E332" s="3" t="s">
        <v>15</v>
      </c>
      <c r="F332" s="3">
        <f t="shared" si="5"/>
        <v>1</v>
      </c>
      <c r="G332" s="3">
        <v>24321</v>
      </c>
      <c r="H332" s="3">
        <v>5</v>
      </c>
      <c r="I332" s="3">
        <v>82118</v>
      </c>
      <c r="J332" s="3">
        <f>IF(E332="Cold",1,0)</f>
        <v>1</v>
      </c>
      <c r="K332" s="3">
        <f>IF(E332="Hot",1,0)</f>
        <v>0</v>
      </c>
      <c r="L332" s="3">
        <v>1150</v>
      </c>
      <c r="M332" s="3">
        <v>51</v>
      </c>
      <c r="N332" s="4">
        <v>43832</v>
      </c>
      <c r="O332" s="10">
        <v>360385.864</v>
      </c>
    </row>
    <row r="333" spans="1:15" x14ac:dyDescent="0.3">
      <c r="A333" s="2">
        <v>331</v>
      </c>
      <c r="B333" s="3" t="s">
        <v>122</v>
      </c>
      <c r="C333" s="3" t="s">
        <v>133</v>
      </c>
      <c r="D333" s="3" t="s">
        <v>14</v>
      </c>
      <c r="E333" s="3" t="s">
        <v>23</v>
      </c>
      <c r="F333" s="3">
        <f t="shared" si="5"/>
        <v>0</v>
      </c>
      <c r="G333" s="3">
        <v>27810</v>
      </c>
      <c r="H333" s="3">
        <v>3</v>
      </c>
      <c r="I333" s="3">
        <v>98464</v>
      </c>
      <c r="J333" s="3">
        <f>IF(E333="Cold",1,0)</f>
        <v>0</v>
      </c>
      <c r="K333" s="3">
        <f>IF(E333="Hot",1,0)</f>
        <v>0</v>
      </c>
      <c r="L333" s="3">
        <v>2129</v>
      </c>
      <c r="M333" s="3">
        <v>27</v>
      </c>
      <c r="N333" s="4">
        <v>44301</v>
      </c>
      <c r="O333" s="10">
        <v>337292.65100000001</v>
      </c>
    </row>
    <row r="334" spans="1:15" x14ac:dyDescent="0.3">
      <c r="A334" s="2">
        <v>332</v>
      </c>
      <c r="B334" s="3" t="s">
        <v>28</v>
      </c>
      <c r="C334" s="3" t="s">
        <v>187</v>
      </c>
      <c r="D334" s="3" t="s">
        <v>18</v>
      </c>
      <c r="E334" s="3" t="s">
        <v>23</v>
      </c>
      <c r="F334" s="3">
        <f t="shared" si="5"/>
        <v>1</v>
      </c>
      <c r="G334" s="3">
        <v>8339</v>
      </c>
      <c r="H334" s="3">
        <v>1</v>
      </c>
      <c r="I334" s="3">
        <v>81313</v>
      </c>
      <c r="J334" s="3">
        <f>IF(E334="Cold",1,0)</f>
        <v>0</v>
      </c>
      <c r="K334" s="3">
        <f>IF(E334="Hot",1,0)</f>
        <v>0</v>
      </c>
      <c r="L334" s="3">
        <v>1977</v>
      </c>
      <c r="M334" s="3">
        <v>20</v>
      </c>
      <c r="N334" s="4">
        <v>45473</v>
      </c>
      <c r="O334" s="10">
        <v>363169.74739999999</v>
      </c>
    </row>
    <row r="335" spans="1:15" x14ac:dyDescent="0.3">
      <c r="A335" s="2">
        <v>333</v>
      </c>
      <c r="B335" s="3" t="s">
        <v>57</v>
      </c>
      <c r="C335" s="3" t="s">
        <v>78</v>
      </c>
      <c r="D335" s="3" t="s">
        <v>14</v>
      </c>
      <c r="E335" s="3" t="s">
        <v>21</v>
      </c>
      <c r="F335" s="3">
        <f t="shared" si="5"/>
        <v>0</v>
      </c>
      <c r="G335" s="3">
        <v>22752</v>
      </c>
      <c r="H335" s="3">
        <v>7</v>
      </c>
      <c r="I335" s="3">
        <v>57045</v>
      </c>
      <c r="J335" s="3">
        <f>IF(E335="Cold",1,0)</f>
        <v>0</v>
      </c>
      <c r="K335" s="3">
        <f>IF(E335="Hot",1,0)</f>
        <v>1</v>
      </c>
      <c r="L335" s="3">
        <v>2264</v>
      </c>
      <c r="M335" s="3">
        <v>51</v>
      </c>
      <c r="N335" s="4">
        <v>44888</v>
      </c>
      <c r="O335" s="10">
        <v>330018.62579999998</v>
      </c>
    </row>
    <row r="336" spans="1:15" x14ac:dyDescent="0.3">
      <c r="A336" s="2">
        <v>334</v>
      </c>
      <c r="B336" s="3" t="s">
        <v>33</v>
      </c>
      <c r="C336" s="3" t="s">
        <v>92</v>
      </c>
      <c r="D336" s="3" t="s">
        <v>18</v>
      </c>
      <c r="E336" s="3" t="s">
        <v>23</v>
      </c>
      <c r="F336" s="3">
        <f t="shared" si="5"/>
        <v>1</v>
      </c>
      <c r="G336" s="3">
        <v>6062</v>
      </c>
      <c r="H336" s="3">
        <v>1</v>
      </c>
      <c r="I336" s="3">
        <v>61421</v>
      </c>
      <c r="J336" s="3">
        <f>IF(E336="Cold",1,0)</f>
        <v>0</v>
      </c>
      <c r="K336" s="3">
        <f>IF(E336="Hot",1,0)</f>
        <v>0</v>
      </c>
      <c r="L336" s="3">
        <v>1142</v>
      </c>
      <c r="M336" s="3">
        <v>76</v>
      </c>
      <c r="N336" s="4">
        <v>44959</v>
      </c>
      <c r="O336" s="10">
        <v>399878.07449999999</v>
      </c>
    </row>
    <row r="337" spans="1:15" x14ac:dyDescent="0.3">
      <c r="A337" s="2">
        <v>335</v>
      </c>
      <c r="B337" s="3" t="s">
        <v>35</v>
      </c>
      <c r="C337" s="3" t="s">
        <v>150</v>
      </c>
      <c r="D337" s="3" t="s">
        <v>14</v>
      </c>
      <c r="E337" s="3" t="s">
        <v>15</v>
      </c>
      <c r="F337" s="3">
        <f t="shared" si="5"/>
        <v>0</v>
      </c>
      <c r="G337" s="3">
        <v>23654</v>
      </c>
      <c r="H337" s="3">
        <v>5</v>
      </c>
      <c r="I337" s="3">
        <v>53052</v>
      </c>
      <c r="J337" s="3">
        <f>IF(E337="Cold",1,0)</f>
        <v>1</v>
      </c>
      <c r="K337" s="3">
        <f>IF(E337="Hot",1,0)</f>
        <v>0</v>
      </c>
      <c r="L337" s="3">
        <v>1079</v>
      </c>
      <c r="M337" s="3">
        <v>40</v>
      </c>
      <c r="N337" s="4">
        <v>44002</v>
      </c>
      <c r="O337" s="10">
        <v>321729.22070000001</v>
      </c>
    </row>
    <row r="338" spans="1:15" x14ac:dyDescent="0.3">
      <c r="A338" s="2">
        <v>336</v>
      </c>
      <c r="B338" s="3" t="s">
        <v>44</v>
      </c>
      <c r="C338" s="3" t="s">
        <v>190</v>
      </c>
      <c r="D338" s="3" t="s">
        <v>14</v>
      </c>
      <c r="E338" s="3" t="s">
        <v>21</v>
      </c>
      <c r="F338" s="3">
        <f t="shared" si="5"/>
        <v>0</v>
      </c>
      <c r="G338" s="3">
        <v>20977</v>
      </c>
      <c r="H338" s="3">
        <v>3</v>
      </c>
      <c r="I338" s="3">
        <v>91170</v>
      </c>
      <c r="J338" s="3">
        <f>IF(E338="Cold",1,0)</f>
        <v>0</v>
      </c>
      <c r="K338" s="3">
        <f>IF(E338="Hot",1,0)</f>
        <v>1</v>
      </c>
      <c r="L338" s="3">
        <v>1728</v>
      </c>
      <c r="M338" s="3">
        <v>20</v>
      </c>
      <c r="N338" s="4">
        <v>44183</v>
      </c>
      <c r="O338" s="10">
        <v>321464.28389999998</v>
      </c>
    </row>
    <row r="339" spans="1:15" x14ac:dyDescent="0.3">
      <c r="A339" s="2">
        <v>337</v>
      </c>
      <c r="B339" s="3" t="s">
        <v>55</v>
      </c>
      <c r="C339" s="3" t="s">
        <v>98</v>
      </c>
      <c r="D339" s="3" t="s">
        <v>18</v>
      </c>
      <c r="E339" s="3" t="s">
        <v>21</v>
      </c>
      <c r="F339" s="3">
        <f t="shared" si="5"/>
        <v>1</v>
      </c>
      <c r="G339" s="3">
        <v>10146</v>
      </c>
      <c r="H339" s="3">
        <v>3</v>
      </c>
      <c r="I339" s="3">
        <v>82469</v>
      </c>
      <c r="J339" s="3">
        <f>IF(E339="Cold",1,0)</f>
        <v>0</v>
      </c>
      <c r="K339" s="3">
        <f>IF(E339="Hot",1,0)</f>
        <v>1</v>
      </c>
      <c r="L339" s="3">
        <v>2658</v>
      </c>
      <c r="M339" s="3">
        <v>40</v>
      </c>
      <c r="N339" s="4">
        <v>44576</v>
      </c>
      <c r="O339" s="10">
        <v>395560.0024</v>
      </c>
    </row>
    <row r="340" spans="1:15" x14ac:dyDescent="0.3">
      <c r="A340" s="2">
        <v>338</v>
      </c>
      <c r="B340" s="3" t="s">
        <v>19</v>
      </c>
      <c r="C340" s="3" t="s">
        <v>52</v>
      </c>
      <c r="D340" s="3" t="s">
        <v>14</v>
      </c>
      <c r="E340" s="3" t="s">
        <v>21</v>
      </c>
      <c r="F340" s="3">
        <f t="shared" si="5"/>
        <v>0</v>
      </c>
      <c r="G340" s="3">
        <v>7936</v>
      </c>
      <c r="H340" s="3">
        <v>8</v>
      </c>
      <c r="I340" s="3">
        <v>54824</v>
      </c>
      <c r="J340" s="3">
        <f>IF(E340="Cold",1,0)</f>
        <v>0</v>
      </c>
      <c r="K340" s="3">
        <f>IF(E340="Hot",1,0)</f>
        <v>1</v>
      </c>
      <c r="L340" s="3">
        <v>2484</v>
      </c>
      <c r="M340" s="3">
        <v>90</v>
      </c>
      <c r="N340" s="4">
        <v>44347</v>
      </c>
      <c r="O340" s="10">
        <v>340678.60350000003</v>
      </c>
    </row>
    <row r="341" spans="1:15" x14ac:dyDescent="0.3">
      <c r="A341" s="2">
        <v>339</v>
      </c>
      <c r="B341" s="3" t="s">
        <v>53</v>
      </c>
      <c r="C341" s="3" t="s">
        <v>131</v>
      </c>
      <c r="D341" s="3" t="s">
        <v>18</v>
      </c>
      <c r="E341" s="3" t="s">
        <v>21</v>
      </c>
      <c r="F341" s="3">
        <f t="shared" si="5"/>
        <v>1</v>
      </c>
      <c r="G341" s="3">
        <v>14571</v>
      </c>
      <c r="H341" s="3">
        <v>1</v>
      </c>
      <c r="I341" s="3">
        <v>83608</v>
      </c>
      <c r="J341" s="3">
        <f>IF(E341="Cold",1,0)</f>
        <v>0</v>
      </c>
      <c r="K341" s="3">
        <f>IF(E341="Hot",1,0)</f>
        <v>1</v>
      </c>
      <c r="L341" s="3">
        <v>1303</v>
      </c>
      <c r="M341" s="3">
        <v>31</v>
      </c>
      <c r="N341" s="4">
        <v>44901</v>
      </c>
      <c r="O341" s="10">
        <v>363848.52519999997</v>
      </c>
    </row>
    <row r="342" spans="1:15" x14ac:dyDescent="0.3">
      <c r="A342" s="2">
        <v>340</v>
      </c>
      <c r="B342" s="3" t="s">
        <v>37</v>
      </c>
      <c r="C342" s="3" t="s">
        <v>128</v>
      </c>
      <c r="D342" s="3" t="s">
        <v>18</v>
      </c>
      <c r="E342" s="3" t="s">
        <v>15</v>
      </c>
      <c r="F342" s="3">
        <f t="shared" si="5"/>
        <v>1</v>
      </c>
      <c r="G342" s="3">
        <v>20668</v>
      </c>
      <c r="H342" s="3">
        <v>7</v>
      </c>
      <c r="I342" s="3">
        <v>53268</v>
      </c>
      <c r="J342" s="3">
        <f>IF(E342="Cold",1,0)</f>
        <v>1</v>
      </c>
      <c r="K342" s="3">
        <f>IF(E342="Hot",1,0)</f>
        <v>0</v>
      </c>
      <c r="L342" s="3">
        <v>1422</v>
      </c>
      <c r="M342" s="3">
        <v>48</v>
      </c>
      <c r="N342" s="4">
        <v>44923</v>
      </c>
      <c r="O342" s="10">
        <v>345573.815</v>
      </c>
    </row>
    <row r="343" spans="1:15" x14ac:dyDescent="0.3">
      <c r="A343" s="2">
        <v>341</v>
      </c>
      <c r="B343" s="3" t="s">
        <v>55</v>
      </c>
      <c r="C343" s="3" t="s">
        <v>67</v>
      </c>
      <c r="D343" s="3" t="s">
        <v>18</v>
      </c>
      <c r="E343" s="3" t="s">
        <v>21</v>
      </c>
      <c r="F343" s="3">
        <f t="shared" si="5"/>
        <v>1</v>
      </c>
      <c r="G343" s="3">
        <v>11819</v>
      </c>
      <c r="H343" s="3">
        <v>5</v>
      </c>
      <c r="I343" s="3">
        <v>50806</v>
      </c>
      <c r="J343" s="3">
        <f>IF(E343="Cold",1,0)</f>
        <v>0</v>
      </c>
      <c r="K343" s="3">
        <f>IF(E343="Hot",1,0)</f>
        <v>1</v>
      </c>
      <c r="L343" s="3">
        <v>1189</v>
      </c>
      <c r="M343" s="3">
        <v>27</v>
      </c>
      <c r="N343" s="4">
        <v>44072</v>
      </c>
      <c r="O343" s="10">
        <v>335635.38130000001</v>
      </c>
    </row>
    <row r="344" spans="1:15" x14ac:dyDescent="0.3">
      <c r="A344" s="2">
        <v>342</v>
      </c>
      <c r="B344" s="3" t="s">
        <v>19</v>
      </c>
      <c r="C344" s="3" t="s">
        <v>129</v>
      </c>
      <c r="D344" s="3" t="s">
        <v>14</v>
      </c>
      <c r="E344" s="3" t="s">
        <v>15</v>
      </c>
      <c r="F344" s="3">
        <f t="shared" si="5"/>
        <v>0</v>
      </c>
      <c r="G344" s="3">
        <v>7175</v>
      </c>
      <c r="H344" s="3">
        <v>3</v>
      </c>
      <c r="I344" s="3">
        <v>95343</v>
      </c>
      <c r="J344" s="3">
        <f>IF(E344="Cold",1,0)</f>
        <v>1</v>
      </c>
      <c r="K344" s="3">
        <f>IF(E344="Hot",1,0)</f>
        <v>0</v>
      </c>
      <c r="L344" s="3">
        <v>1937</v>
      </c>
      <c r="M344" s="3">
        <v>38</v>
      </c>
      <c r="N344" s="4">
        <v>44965</v>
      </c>
      <c r="O344" s="10">
        <v>311169.81439999997</v>
      </c>
    </row>
    <row r="345" spans="1:15" x14ac:dyDescent="0.3">
      <c r="A345" s="2">
        <v>343</v>
      </c>
      <c r="B345" s="3" t="s">
        <v>44</v>
      </c>
      <c r="C345" s="3" t="s">
        <v>82</v>
      </c>
      <c r="D345" s="3" t="s">
        <v>14</v>
      </c>
      <c r="E345" s="3" t="s">
        <v>23</v>
      </c>
      <c r="F345" s="3">
        <f t="shared" si="5"/>
        <v>0</v>
      </c>
      <c r="G345" s="3">
        <v>8516</v>
      </c>
      <c r="H345" s="3">
        <v>7</v>
      </c>
      <c r="I345" s="3">
        <v>68383</v>
      </c>
      <c r="J345" s="3">
        <f>IF(E345="Cold",1,0)</f>
        <v>0</v>
      </c>
      <c r="K345" s="3">
        <f>IF(E345="Hot",1,0)</f>
        <v>0</v>
      </c>
      <c r="L345" s="3">
        <v>1446</v>
      </c>
      <c r="M345" s="3">
        <v>32</v>
      </c>
      <c r="N345" s="4">
        <v>45144</v>
      </c>
      <c r="O345" s="10">
        <v>307728.27710000001</v>
      </c>
    </row>
    <row r="346" spans="1:15" x14ac:dyDescent="0.3">
      <c r="A346" s="2">
        <v>344</v>
      </c>
      <c r="B346" s="3" t="s">
        <v>24</v>
      </c>
      <c r="C346" s="3" t="s">
        <v>100</v>
      </c>
      <c r="D346" s="3" t="s">
        <v>14</v>
      </c>
      <c r="E346" s="3" t="s">
        <v>15</v>
      </c>
      <c r="F346" s="3">
        <f t="shared" si="5"/>
        <v>0</v>
      </c>
      <c r="G346" s="3">
        <v>4970</v>
      </c>
      <c r="H346" s="3">
        <v>8</v>
      </c>
      <c r="I346" s="3">
        <v>66063</v>
      </c>
      <c r="J346" s="3">
        <f>IF(E346="Cold",1,0)</f>
        <v>1</v>
      </c>
      <c r="K346" s="3">
        <f>IF(E346="Hot",1,0)</f>
        <v>0</v>
      </c>
      <c r="L346" s="3">
        <v>2849</v>
      </c>
      <c r="M346" s="3">
        <v>80</v>
      </c>
      <c r="N346" s="4">
        <v>44628</v>
      </c>
      <c r="O346" s="10">
        <v>336251.57179999998</v>
      </c>
    </row>
    <row r="347" spans="1:15" x14ac:dyDescent="0.3">
      <c r="A347" s="2">
        <v>345</v>
      </c>
      <c r="B347" s="3" t="s">
        <v>35</v>
      </c>
      <c r="C347" s="3" t="s">
        <v>191</v>
      </c>
      <c r="D347" s="3" t="s">
        <v>18</v>
      </c>
      <c r="E347" s="3" t="s">
        <v>21</v>
      </c>
      <c r="F347" s="3">
        <f t="shared" si="5"/>
        <v>1</v>
      </c>
      <c r="G347" s="3">
        <v>27741</v>
      </c>
      <c r="H347" s="3">
        <v>6</v>
      </c>
      <c r="I347" s="3">
        <v>70760</v>
      </c>
      <c r="J347" s="3">
        <f>IF(E347="Cold",1,0)</f>
        <v>0</v>
      </c>
      <c r="K347" s="3">
        <f>IF(E347="Hot",1,0)</f>
        <v>1</v>
      </c>
      <c r="L347" s="3">
        <v>1535</v>
      </c>
      <c r="M347" s="3">
        <v>63</v>
      </c>
      <c r="N347" s="4">
        <v>44711</v>
      </c>
      <c r="O347" s="10">
        <v>368316.42509999999</v>
      </c>
    </row>
    <row r="348" spans="1:15" x14ac:dyDescent="0.3">
      <c r="A348" s="2">
        <v>346</v>
      </c>
      <c r="B348" s="3" t="s">
        <v>33</v>
      </c>
      <c r="C348" s="3" t="s">
        <v>184</v>
      </c>
      <c r="D348" s="3" t="s">
        <v>18</v>
      </c>
      <c r="E348" s="3" t="s">
        <v>23</v>
      </c>
      <c r="F348" s="3">
        <f t="shared" si="5"/>
        <v>1</v>
      </c>
      <c r="G348" s="3">
        <v>10909</v>
      </c>
      <c r="H348" s="3">
        <v>8</v>
      </c>
      <c r="I348" s="3">
        <v>51282</v>
      </c>
      <c r="J348" s="3">
        <f>IF(E348="Cold",1,0)</f>
        <v>0</v>
      </c>
      <c r="K348" s="3">
        <f>IF(E348="Hot",1,0)</f>
        <v>0</v>
      </c>
      <c r="L348" s="3">
        <v>1694</v>
      </c>
      <c r="M348" s="3">
        <v>77</v>
      </c>
      <c r="N348" s="4">
        <v>44394</v>
      </c>
      <c r="O348" s="10">
        <v>359313.92599999998</v>
      </c>
    </row>
    <row r="349" spans="1:15" x14ac:dyDescent="0.3">
      <c r="A349" s="2">
        <v>347</v>
      </c>
      <c r="B349" s="3" t="s">
        <v>53</v>
      </c>
      <c r="C349" s="3" t="s">
        <v>157</v>
      </c>
      <c r="D349" s="3" t="s">
        <v>14</v>
      </c>
      <c r="E349" s="3" t="s">
        <v>15</v>
      </c>
      <c r="F349" s="3">
        <f t="shared" si="5"/>
        <v>0</v>
      </c>
      <c r="G349" s="3">
        <v>3077</v>
      </c>
      <c r="H349" s="3">
        <v>3</v>
      </c>
      <c r="I349" s="3">
        <v>52050</v>
      </c>
      <c r="J349" s="3">
        <f>IF(E349="Cold",1,0)</f>
        <v>1</v>
      </c>
      <c r="K349" s="3">
        <f>IF(E349="Hot",1,0)</f>
        <v>0</v>
      </c>
      <c r="L349" s="3">
        <v>2803</v>
      </c>
      <c r="M349" s="3">
        <v>21</v>
      </c>
      <c r="N349" s="4">
        <v>45306</v>
      </c>
      <c r="O349" s="10">
        <v>308945.02960000001</v>
      </c>
    </row>
    <row r="350" spans="1:15" x14ac:dyDescent="0.3">
      <c r="A350" s="2">
        <v>348</v>
      </c>
      <c r="B350" s="3" t="s">
        <v>19</v>
      </c>
      <c r="C350" s="3" t="s">
        <v>130</v>
      </c>
      <c r="D350" s="3" t="s">
        <v>14</v>
      </c>
      <c r="E350" s="3" t="s">
        <v>21</v>
      </c>
      <c r="F350" s="3">
        <f t="shared" si="5"/>
        <v>0</v>
      </c>
      <c r="G350" s="3">
        <v>12105</v>
      </c>
      <c r="H350" s="3">
        <v>1</v>
      </c>
      <c r="I350" s="3">
        <v>93337</v>
      </c>
      <c r="J350" s="3">
        <f>IF(E350="Cold",1,0)</f>
        <v>0</v>
      </c>
      <c r="K350" s="3">
        <f>IF(E350="Hot",1,0)</f>
        <v>1</v>
      </c>
      <c r="L350" s="3">
        <v>2193</v>
      </c>
      <c r="M350" s="3">
        <v>20</v>
      </c>
      <c r="N350" s="4">
        <v>45200</v>
      </c>
      <c r="O350" s="10">
        <v>339720.93890000001</v>
      </c>
    </row>
    <row r="351" spans="1:15" x14ac:dyDescent="0.3">
      <c r="A351" s="2">
        <v>349</v>
      </c>
      <c r="B351" s="3" t="s">
        <v>26</v>
      </c>
      <c r="C351" s="3" t="s">
        <v>93</v>
      </c>
      <c r="D351" s="3" t="s">
        <v>18</v>
      </c>
      <c r="E351" s="3" t="s">
        <v>23</v>
      </c>
      <c r="F351" s="3">
        <f t="shared" si="5"/>
        <v>1</v>
      </c>
      <c r="G351" s="3">
        <v>27193</v>
      </c>
      <c r="H351" s="3">
        <v>4</v>
      </c>
      <c r="I351" s="3">
        <v>78031</v>
      </c>
      <c r="J351" s="3">
        <f>IF(E351="Cold",1,0)</f>
        <v>0</v>
      </c>
      <c r="K351" s="3">
        <f>IF(E351="Hot",1,0)</f>
        <v>0</v>
      </c>
      <c r="L351" s="3">
        <v>1801</v>
      </c>
      <c r="M351" s="3">
        <v>21</v>
      </c>
      <c r="N351" s="4">
        <v>44872</v>
      </c>
      <c r="O351" s="10">
        <v>355066.08789999998</v>
      </c>
    </row>
    <row r="352" spans="1:15" x14ac:dyDescent="0.3">
      <c r="A352" s="2">
        <v>350</v>
      </c>
      <c r="B352" s="3" t="s">
        <v>31</v>
      </c>
      <c r="C352" s="3" t="s">
        <v>125</v>
      </c>
      <c r="D352" s="3" t="s">
        <v>18</v>
      </c>
      <c r="E352" s="3" t="s">
        <v>23</v>
      </c>
      <c r="F352" s="3">
        <f t="shared" si="5"/>
        <v>1</v>
      </c>
      <c r="G352" s="3">
        <v>11362</v>
      </c>
      <c r="H352" s="3">
        <v>0</v>
      </c>
      <c r="I352" s="3">
        <v>66640</v>
      </c>
      <c r="J352" s="3">
        <f>IF(E352="Cold",1,0)</f>
        <v>0</v>
      </c>
      <c r="K352" s="3">
        <f>IF(E352="Hot",1,0)</f>
        <v>0</v>
      </c>
      <c r="L352" s="3">
        <v>2826</v>
      </c>
      <c r="M352" s="3">
        <v>85</v>
      </c>
      <c r="N352" s="4">
        <v>45457</v>
      </c>
      <c r="O352" s="10">
        <v>405864.65480000002</v>
      </c>
    </row>
    <row r="353" spans="1:15" x14ac:dyDescent="0.3">
      <c r="A353" s="2">
        <v>351</v>
      </c>
      <c r="B353" s="3" t="s">
        <v>44</v>
      </c>
      <c r="C353" s="3" t="s">
        <v>111</v>
      </c>
      <c r="D353" s="3" t="s">
        <v>14</v>
      </c>
      <c r="E353" s="3" t="s">
        <v>21</v>
      </c>
      <c r="F353" s="3">
        <f t="shared" si="5"/>
        <v>0</v>
      </c>
      <c r="G353" s="3">
        <v>23189</v>
      </c>
      <c r="H353" s="3">
        <v>0</v>
      </c>
      <c r="I353" s="3">
        <v>62261</v>
      </c>
      <c r="J353" s="3">
        <f>IF(E353="Cold",1,0)</f>
        <v>0</v>
      </c>
      <c r="K353" s="3">
        <f>IF(E353="Hot",1,0)</f>
        <v>1</v>
      </c>
      <c r="L353" s="3">
        <v>1481</v>
      </c>
      <c r="M353" s="3">
        <v>46</v>
      </c>
      <c r="N353" s="4">
        <v>44253</v>
      </c>
      <c r="O353" s="10">
        <v>342161.8933</v>
      </c>
    </row>
    <row r="354" spans="1:15" x14ac:dyDescent="0.3">
      <c r="A354" s="2">
        <v>352</v>
      </c>
      <c r="B354" s="3" t="s">
        <v>57</v>
      </c>
      <c r="C354" s="3" t="s">
        <v>78</v>
      </c>
      <c r="D354" s="3" t="s">
        <v>14</v>
      </c>
      <c r="E354" s="3" t="s">
        <v>15</v>
      </c>
      <c r="F354" s="3">
        <f t="shared" si="5"/>
        <v>0</v>
      </c>
      <c r="G354" s="3">
        <v>3694</v>
      </c>
      <c r="H354" s="3">
        <v>3</v>
      </c>
      <c r="I354" s="3">
        <v>75256</v>
      </c>
      <c r="J354" s="3">
        <f>IF(E354="Cold",1,0)</f>
        <v>1</v>
      </c>
      <c r="K354" s="3">
        <f>IF(E354="Hot",1,0)</f>
        <v>0</v>
      </c>
      <c r="L354" s="3">
        <v>1295</v>
      </c>
      <c r="M354" s="3">
        <v>79</v>
      </c>
      <c r="N354" s="4">
        <v>45531</v>
      </c>
      <c r="O354" s="10">
        <v>295112.06809999997</v>
      </c>
    </row>
    <row r="355" spans="1:15" x14ac:dyDescent="0.3">
      <c r="A355" s="2">
        <v>353</v>
      </c>
      <c r="B355" s="3" t="s">
        <v>31</v>
      </c>
      <c r="C355" s="3" t="s">
        <v>81</v>
      </c>
      <c r="D355" s="3" t="s">
        <v>18</v>
      </c>
      <c r="E355" s="3" t="s">
        <v>21</v>
      </c>
      <c r="F355" s="3">
        <f t="shared" si="5"/>
        <v>1</v>
      </c>
      <c r="G355" s="3">
        <v>29027</v>
      </c>
      <c r="H355" s="3">
        <v>9</v>
      </c>
      <c r="I355" s="3">
        <v>67973</v>
      </c>
      <c r="J355" s="3">
        <f>IF(E355="Cold",1,0)</f>
        <v>0</v>
      </c>
      <c r="K355" s="3">
        <f>IF(E355="Hot",1,0)</f>
        <v>1</v>
      </c>
      <c r="L355" s="3">
        <v>1515</v>
      </c>
      <c r="M355" s="3">
        <v>56</v>
      </c>
      <c r="N355" s="4">
        <v>44940</v>
      </c>
      <c r="O355" s="10">
        <v>364326.04849999998</v>
      </c>
    </row>
    <row r="356" spans="1:15" x14ac:dyDescent="0.3">
      <c r="A356" s="2">
        <v>354</v>
      </c>
      <c r="B356" s="3" t="s">
        <v>28</v>
      </c>
      <c r="C356" s="3" t="s">
        <v>46</v>
      </c>
      <c r="D356" s="3" t="s">
        <v>18</v>
      </c>
      <c r="E356" s="3" t="s">
        <v>15</v>
      </c>
      <c r="F356" s="3">
        <f t="shared" si="5"/>
        <v>1</v>
      </c>
      <c r="G356" s="3">
        <v>3516</v>
      </c>
      <c r="H356" s="3">
        <v>1</v>
      </c>
      <c r="I356" s="3">
        <v>66105</v>
      </c>
      <c r="J356" s="3">
        <f>IF(E356="Cold",1,0)</f>
        <v>1</v>
      </c>
      <c r="K356" s="3">
        <f>IF(E356="Hot",1,0)</f>
        <v>0</v>
      </c>
      <c r="L356" s="3">
        <v>1359</v>
      </c>
      <c r="M356" s="3">
        <v>20</v>
      </c>
      <c r="N356" s="4">
        <v>45039</v>
      </c>
      <c r="O356" s="10">
        <v>363692.25809999998</v>
      </c>
    </row>
    <row r="357" spans="1:15" x14ac:dyDescent="0.3">
      <c r="A357" s="2">
        <v>355</v>
      </c>
      <c r="B357" s="3" t="s">
        <v>53</v>
      </c>
      <c r="C357" s="3" t="s">
        <v>178</v>
      </c>
      <c r="D357" s="3" t="s">
        <v>18</v>
      </c>
      <c r="E357" s="3" t="s">
        <v>23</v>
      </c>
      <c r="F357" s="3">
        <f t="shared" si="5"/>
        <v>1</v>
      </c>
      <c r="G357" s="3">
        <v>15278</v>
      </c>
      <c r="H357" s="3">
        <v>8</v>
      </c>
      <c r="I357" s="3">
        <v>73705</v>
      </c>
      <c r="J357" s="3">
        <f>IF(E357="Cold",1,0)</f>
        <v>0</v>
      </c>
      <c r="K357" s="3">
        <f>IF(E357="Hot",1,0)</f>
        <v>0</v>
      </c>
      <c r="L357" s="3">
        <v>1041</v>
      </c>
      <c r="M357" s="3">
        <v>34</v>
      </c>
      <c r="N357" s="4">
        <v>44756</v>
      </c>
      <c r="O357" s="10">
        <v>353117.72610000003</v>
      </c>
    </row>
    <row r="358" spans="1:15" x14ac:dyDescent="0.3">
      <c r="A358" s="2">
        <v>356</v>
      </c>
      <c r="B358" s="3" t="s">
        <v>28</v>
      </c>
      <c r="C358" s="3" t="s">
        <v>43</v>
      </c>
      <c r="D358" s="3" t="s">
        <v>18</v>
      </c>
      <c r="E358" s="3" t="s">
        <v>15</v>
      </c>
      <c r="F358" s="3">
        <f t="shared" si="5"/>
        <v>1</v>
      </c>
      <c r="G358" s="3">
        <v>13581</v>
      </c>
      <c r="H358" s="3">
        <v>3</v>
      </c>
      <c r="I358" s="3">
        <v>76060</v>
      </c>
      <c r="J358" s="3">
        <f>IF(E358="Cold",1,0)</f>
        <v>1</v>
      </c>
      <c r="K358" s="3">
        <f>IF(E358="Hot",1,0)</f>
        <v>0</v>
      </c>
      <c r="L358" s="3">
        <v>2165</v>
      </c>
      <c r="M358" s="3">
        <v>92</v>
      </c>
      <c r="N358" s="4">
        <v>44187</v>
      </c>
      <c r="O358" s="10">
        <v>361066.11180000001</v>
      </c>
    </row>
    <row r="359" spans="1:15" x14ac:dyDescent="0.3">
      <c r="A359" s="2">
        <v>357</v>
      </c>
      <c r="B359" s="3" t="s">
        <v>35</v>
      </c>
      <c r="C359" s="3" t="s">
        <v>192</v>
      </c>
      <c r="D359" s="3" t="s">
        <v>18</v>
      </c>
      <c r="E359" s="3" t="s">
        <v>21</v>
      </c>
      <c r="F359" s="3">
        <f t="shared" si="5"/>
        <v>1</v>
      </c>
      <c r="G359" s="3">
        <v>8958</v>
      </c>
      <c r="H359" s="3">
        <v>7</v>
      </c>
      <c r="I359" s="3">
        <v>88868</v>
      </c>
      <c r="J359" s="3">
        <f>IF(E359="Cold",1,0)</f>
        <v>0</v>
      </c>
      <c r="K359" s="3">
        <f>IF(E359="Hot",1,0)</f>
        <v>1</v>
      </c>
      <c r="L359" s="3">
        <v>2234</v>
      </c>
      <c r="M359" s="3">
        <v>64</v>
      </c>
      <c r="N359" s="4">
        <v>44930</v>
      </c>
      <c r="O359" s="10">
        <v>390713.94010000001</v>
      </c>
    </row>
    <row r="360" spans="1:15" x14ac:dyDescent="0.3">
      <c r="A360" s="2">
        <v>358</v>
      </c>
      <c r="B360" s="3" t="s">
        <v>19</v>
      </c>
      <c r="C360" s="3" t="s">
        <v>60</v>
      </c>
      <c r="D360" s="3" t="s">
        <v>18</v>
      </c>
      <c r="E360" s="3" t="s">
        <v>15</v>
      </c>
      <c r="F360" s="3">
        <f t="shared" si="5"/>
        <v>1</v>
      </c>
      <c r="G360" s="3">
        <v>3629</v>
      </c>
      <c r="H360" s="3">
        <v>1</v>
      </c>
      <c r="I360" s="3">
        <v>82908</v>
      </c>
      <c r="J360" s="3">
        <f>IF(E360="Cold",1,0)</f>
        <v>1</v>
      </c>
      <c r="K360" s="3">
        <f>IF(E360="Hot",1,0)</f>
        <v>0</v>
      </c>
      <c r="L360" s="3">
        <v>2593</v>
      </c>
      <c r="M360" s="3">
        <v>71</v>
      </c>
      <c r="N360" s="4">
        <v>44343</v>
      </c>
      <c r="O360" s="10">
        <v>370280.76909999998</v>
      </c>
    </row>
    <row r="361" spans="1:15" x14ac:dyDescent="0.3">
      <c r="A361" s="2">
        <v>359</v>
      </c>
      <c r="B361" s="3" t="s">
        <v>108</v>
      </c>
      <c r="C361" s="3" t="s">
        <v>142</v>
      </c>
      <c r="D361" s="3" t="s">
        <v>18</v>
      </c>
      <c r="E361" s="3" t="s">
        <v>23</v>
      </c>
      <c r="F361" s="3">
        <f t="shared" si="5"/>
        <v>1</v>
      </c>
      <c r="G361" s="3">
        <v>2735</v>
      </c>
      <c r="H361" s="3">
        <v>9</v>
      </c>
      <c r="I361" s="3">
        <v>70063</v>
      </c>
      <c r="J361" s="3">
        <f>IF(E361="Cold",1,0)</f>
        <v>0</v>
      </c>
      <c r="K361" s="3">
        <f>IF(E361="Hot",1,0)</f>
        <v>0</v>
      </c>
      <c r="L361" s="3">
        <v>1342</v>
      </c>
      <c r="M361" s="3">
        <v>84</v>
      </c>
      <c r="N361" s="4">
        <v>44052</v>
      </c>
      <c r="O361" s="10">
        <v>363900.41080000001</v>
      </c>
    </row>
    <row r="362" spans="1:15" x14ac:dyDescent="0.3">
      <c r="A362" s="2">
        <v>360</v>
      </c>
      <c r="B362" s="3" t="s">
        <v>55</v>
      </c>
      <c r="C362" s="3" t="s">
        <v>193</v>
      </c>
      <c r="D362" s="3" t="s">
        <v>18</v>
      </c>
      <c r="E362" s="3" t="s">
        <v>15</v>
      </c>
      <c r="F362" s="3">
        <f t="shared" si="5"/>
        <v>1</v>
      </c>
      <c r="G362" s="3">
        <v>18022</v>
      </c>
      <c r="H362" s="3">
        <v>8</v>
      </c>
      <c r="I362" s="3">
        <v>77706</v>
      </c>
      <c r="J362" s="3">
        <f>IF(E362="Cold",1,0)</f>
        <v>1</v>
      </c>
      <c r="K362" s="3">
        <f>IF(E362="Hot",1,0)</f>
        <v>0</v>
      </c>
      <c r="L362" s="3">
        <v>1777</v>
      </c>
      <c r="M362" s="3">
        <v>36</v>
      </c>
      <c r="N362" s="4">
        <v>44831</v>
      </c>
      <c r="O362" s="10">
        <v>346411.07549999998</v>
      </c>
    </row>
    <row r="363" spans="1:15" x14ac:dyDescent="0.3">
      <c r="A363" s="2">
        <v>361</v>
      </c>
      <c r="B363" s="3" t="s">
        <v>122</v>
      </c>
      <c r="C363" s="3" t="s">
        <v>194</v>
      </c>
      <c r="D363" s="3" t="s">
        <v>18</v>
      </c>
      <c r="E363" s="3" t="s">
        <v>23</v>
      </c>
      <c r="F363" s="3">
        <f t="shared" si="5"/>
        <v>1</v>
      </c>
      <c r="G363" s="3">
        <v>19331</v>
      </c>
      <c r="H363" s="3">
        <v>7</v>
      </c>
      <c r="I363" s="3">
        <v>70062</v>
      </c>
      <c r="J363" s="3">
        <f>IF(E363="Cold",1,0)</f>
        <v>0</v>
      </c>
      <c r="K363" s="3">
        <f>IF(E363="Hot",1,0)</f>
        <v>0</v>
      </c>
      <c r="L363" s="3">
        <v>2086</v>
      </c>
      <c r="M363" s="3">
        <v>73</v>
      </c>
      <c r="N363" s="4">
        <v>44837</v>
      </c>
      <c r="O363" s="10">
        <v>407125.41489999997</v>
      </c>
    </row>
    <row r="364" spans="1:15" x14ac:dyDescent="0.3">
      <c r="A364" s="2">
        <v>362</v>
      </c>
      <c r="B364" s="3" t="s">
        <v>16</v>
      </c>
      <c r="C364" s="3" t="s">
        <v>84</v>
      </c>
      <c r="D364" s="3" t="s">
        <v>18</v>
      </c>
      <c r="E364" s="3" t="s">
        <v>21</v>
      </c>
      <c r="F364" s="3">
        <f t="shared" si="5"/>
        <v>1</v>
      </c>
      <c r="G364" s="3">
        <v>17596</v>
      </c>
      <c r="H364" s="3">
        <v>4</v>
      </c>
      <c r="I364" s="3">
        <v>76704</v>
      </c>
      <c r="J364" s="3">
        <f>IF(E364="Cold",1,0)</f>
        <v>0</v>
      </c>
      <c r="K364" s="3">
        <f>IF(E364="Hot",1,0)</f>
        <v>1</v>
      </c>
      <c r="L364" s="3">
        <v>1681</v>
      </c>
      <c r="M364" s="3">
        <v>69</v>
      </c>
      <c r="N364" s="4">
        <v>44553</v>
      </c>
      <c r="O364" s="10">
        <v>368047.35440000001</v>
      </c>
    </row>
    <row r="365" spans="1:15" x14ac:dyDescent="0.3">
      <c r="A365" s="2">
        <v>363</v>
      </c>
      <c r="B365" s="3" t="s">
        <v>19</v>
      </c>
      <c r="C365" s="3" t="s">
        <v>179</v>
      </c>
      <c r="D365" s="3" t="s">
        <v>18</v>
      </c>
      <c r="E365" s="3" t="s">
        <v>21</v>
      </c>
      <c r="F365" s="3">
        <f t="shared" si="5"/>
        <v>1</v>
      </c>
      <c r="G365" s="3">
        <v>19979</v>
      </c>
      <c r="H365" s="3">
        <v>0</v>
      </c>
      <c r="I365" s="3">
        <v>79593</v>
      </c>
      <c r="J365" s="3">
        <f>IF(E365="Cold",1,0)</f>
        <v>0</v>
      </c>
      <c r="K365" s="3">
        <f>IF(E365="Hot",1,0)</f>
        <v>1</v>
      </c>
      <c r="L365" s="3">
        <v>2818</v>
      </c>
      <c r="M365" s="3">
        <v>32</v>
      </c>
      <c r="N365" s="4">
        <v>44097</v>
      </c>
      <c r="O365" s="10">
        <v>371150.75069999998</v>
      </c>
    </row>
    <row r="366" spans="1:15" x14ac:dyDescent="0.3">
      <c r="A366" s="2">
        <v>364</v>
      </c>
      <c r="B366" s="3" t="s">
        <v>33</v>
      </c>
      <c r="C366" s="3" t="s">
        <v>92</v>
      </c>
      <c r="D366" s="3" t="s">
        <v>18</v>
      </c>
      <c r="E366" s="3" t="s">
        <v>21</v>
      </c>
      <c r="F366" s="3">
        <f t="shared" si="5"/>
        <v>1</v>
      </c>
      <c r="G366" s="3">
        <v>17563</v>
      </c>
      <c r="H366" s="3">
        <v>6</v>
      </c>
      <c r="I366" s="3">
        <v>74343</v>
      </c>
      <c r="J366" s="3">
        <f>IF(E366="Cold",1,0)</f>
        <v>0</v>
      </c>
      <c r="K366" s="3">
        <f>IF(E366="Hot",1,0)</f>
        <v>1</v>
      </c>
      <c r="L366" s="3">
        <v>2665</v>
      </c>
      <c r="M366" s="3">
        <v>34</v>
      </c>
      <c r="N366" s="4">
        <v>44562</v>
      </c>
      <c r="O366" s="10">
        <v>391932.61619999999</v>
      </c>
    </row>
    <row r="367" spans="1:15" x14ac:dyDescent="0.3">
      <c r="A367" s="2">
        <v>365</v>
      </c>
      <c r="B367" s="3" t="s">
        <v>26</v>
      </c>
      <c r="C367" s="3" t="s">
        <v>156</v>
      </c>
      <c r="D367" s="3" t="s">
        <v>14</v>
      </c>
      <c r="E367" s="3" t="s">
        <v>23</v>
      </c>
      <c r="F367" s="3">
        <f t="shared" si="5"/>
        <v>0</v>
      </c>
      <c r="G367" s="3">
        <v>13324</v>
      </c>
      <c r="H367" s="3">
        <v>2</v>
      </c>
      <c r="I367" s="3">
        <v>85762</v>
      </c>
      <c r="J367" s="3">
        <f>IF(E367="Cold",1,0)</f>
        <v>0</v>
      </c>
      <c r="K367" s="3">
        <f>IF(E367="Hot",1,0)</f>
        <v>0</v>
      </c>
      <c r="L367" s="3">
        <v>2001</v>
      </c>
      <c r="M367" s="3">
        <v>85</v>
      </c>
      <c r="N367" s="4">
        <v>44090</v>
      </c>
      <c r="O367" s="10">
        <v>355808.59269999998</v>
      </c>
    </row>
    <row r="368" spans="1:15" x14ac:dyDescent="0.3">
      <c r="A368" s="2">
        <v>366</v>
      </c>
      <c r="B368" s="3" t="s">
        <v>72</v>
      </c>
      <c r="C368" s="3" t="s">
        <v>96</v>
      </c>
      <c r="D368" s="3" t="s">
        <v>14</v>
      </c>
      <c r="E368" s="3" t="s">
        <v>23</v>
      </c>
      <c r="F368" s="3">
        <f t="shared" si="5"/>
        <v>0</v>
      </c>
      <c r="G368" s="3">
        <v>1922</v>
      </c>
      <c r="H368" s="3">
        <v>9</v>
      </c>
      <c r="I368" s="3">
        <v>97099</v>
      </c>
      <c r="J368" s="3">
        <f>IF(E368="Cold",1,0)</f>
        <v>0</v>
      </c>
      <c r="K368" s="3">
        <f>IF(E368="Hot",1,0)</f>
        <v>0</v>
      </c>
      <c r="L368" s="3">
        <v>1510</v>
      </c>
      <c r="M368" s="3">
        <v>36</v>
      </c>
      <c r="N368" s="4">
        <v>44058</v>
      </c>
      <c r="O368" s="10">
        <v>292459.39539999998</v>
      </c>
    </row>
    <row r="369" spans="1:15" x14ac:dyDescent="0.3">
      <c r="A369" s="2">
        <v>367</v>
      </c>
      <c r="B369" s="3" t="s">
        <v>16</v>
      </c>
      <c r="C369" s="3" t="s">
        <v>87</v>
      </c>
      <c r="D369" s="3" t="s">
        <v>14</v>
      </c>
      <c r="E369" s="3" t="s">
        <v>21</v>
      </c>
      <c r="F369" s="3">
        <f t="shared" si="5"/>
        <v>0</v>
      </c>
      <c r="G369" s="3">
        <v>5438</v>
      </c>
      <c r="H369" s="3">
        <v>7</v>
      </c>
      <c r="I369" s="3">
        <v>84562</v>
      </c>
      <c r="J369" s="3">
        <f>IF(E369="Cold",1,0)</f>
        <v>0</v>
      </c>
      <c r="K369" s="3">
        <f>IF(E369="Hot",1,0)</f>
        <v>1</v>
      </c>
      <c r="L369" s="3">
        <v>2037</v>
      </c>
      <c r="M369" s="3">
        <v>60</v>
      </c>
      <c r="N369" s="4">
        <v>45084</v>
      </c>
      <c r="O369" s="10">
        <v>292986.15830000001</v>
      </c>
    </row>
    <row r="370" spans="1:15" x14ac:dyDescent="0.3">
      <c r="A370" s="2">
        <v>368</v>
      </c>
      <c r="B370" s="3" t="s">
        <v>44</v>
      </c>
      <c r="C370" s="3" t="s">
        <v>190</v>
      </c>
      <c r="D370" s="3" t="s">
        <v>18</v>
      </c>
      <c r="E370" s="3" t="s">
        <v>23</v>
      </c>
      <c r="F370" s="3">
        <f t="shared" si="5"/>
        <v>1</v>
      </c>
      <c r="G370" s="3">
        <v>9789</v>
      </c>
      <c r="H370" s="3">
        <v>2</v>
      </c>
      <c r="I370" s="3">
        <v>85250</v>
      </c>
      <c r="J370" s="3">
        <f>IF(E370="Cold",1,0)</f>
        <v>0</v>
      </c>
      <c r="K370" s="3">
        <f>IF(E370="Hot",1,0)</f>
        <v>0</v>
      </c>
      <c r="L370" s="3">
        <v>2375</v>
      </c>
      <c r="M370" s="3">
        <v>75</v>
      </c>
      <c r="N370" s="4">
        <v>45474</v>
      </c>
      <c r="O370" s="10">
        <v>419321.00699999998</v>
      </c>
    </row>
    <row r="371" spans="1:15" x14ac:dyDescent="0.3">
      <c r="A371" s="2">
        <v>369</v>
      </c>
      <c r="B371" s="3" t="s">
        <v>72</v>
      </c>
      <c r="C371" s="3" t="s">
        <v>167</v>
      </c>
      <c r="D371" s="3" t="s">
        <v>18</v>
      </c>
      <c r="E371" s="3" t="s">
        <v>15</v>
      </c>
      <c r="F371" s="3">
        <f t="shared" si="5"/>
        <v>1</v>
      </c>
      <c r="G371" s="3">
        <v>29687</v>
      </c>
      <c r="H371" s="3">
        <v>1</v>
      </c>
      <c r="I371" s="3">
        <v>64397</v>
      </c>
      <c r="J371" s="3">
        <f>IF(E371="Cold",1,0)</f>
        <v>1</v>
      </c>
      <c r="K371" s="3">
        <f>IF(E371="Hot",1,0)</f>
        <v>0</v>
      </c>
      <c r="L371" s="3">
        <v>1236</v>
      </c>
      <c r="M371" s="3">
        <v>61</v>
      </c>
      <c r="N371" s="4">
        <v>45225</v>
      </c>
      <c r="O371" s="10">
        <v>378473.74489999999</v>
      </c>
    </row>
    <row r="372" spans="1:15" x14ac:dyDescent="0.3">
      <c r="A372" s="2">
        <v>370</v>
      </c>
      <c r="B372" s="3" t="s">
        <v>53</v>
      </c>
      <c r="C372" s="3" t="s">
        <v>54</v>
      </c>
      <c r="D372" s="3" t="s">
        <v>18</v>
      </c>
      <c r="E372" s="3" t="s">
        <v>21</v>
      </c>
      <c r="F372" s="3">
        <f t="shared" si="5"/>
        <v>1</v>
      </c>
      <c r="G372" s="3">
        <v>4174</v>
      </c>
      <c r="H372" s="3">
        <v>9</v>
      </c>
      <c r="I372" s="3">
        <v>82035</v>
      </c>
      <c r="J372" s="3">
        <f>IF(E372="Cold",1,0)</f>
        <v>0</v>
      </c>
      <c r="K372" s="3">
        <f>IF(E372="Hot",1,0)</f>
        <v>1</v>
      </c>
      <c r="L372" s="3">
        <v>1903</v>
      </c>
      <c r="M372" s="3">
        <v>49</v>
      </c>
      <c r="N372" s="4">
        <v>44227</v>
      </c>
      <c r="O372" s="10">
        <v>366670.95120000001</v>
      </c>
    </row>
    <row r="373" spans="1:15" x14ac:dyDescent="0.3">
      <c r="A373" s="2">
        <v>371</v>
      </c>
      <c r="B373" s="3" t="s">
        <v>122</v>
      </c>
      <c r="C373" s="3" t="s">
        <v>133</v>
      </c>
      <c r="D373" s="3" t="s">
        <v>18</v>
      </c>
      <c r="E373" s="3" t="s">
        <v>23</v>
      </c>
      <c r="F373" s="3">
        <f t="shared" si="5"/>
        <v>1</v>
      </c>
      <c r="G373" s="3">
        <v>19156</v>
      </c>
      <c r="H373" s="3">
        <v>8</v>
      </c>
      <c r="I373" s="3">
        <v>96231</v>
      </c>
      <c r="J373" s="3">
        <f>IF(E373="Cold",1,0)</f>
        <v>0</v>
      </c>
      <c r="K373" s="3">
        <f>IF(E373="Hot",1,0)</f>
        <v>0</v>
      </c>
      <c r="L373" s="3">
        <v>1316</v>
      </c>
      <c r="M373" s="3">
        <v>78</v>
      </c>
      <c r="N373" s="4">
        <v>44846</v>
      </c>
      <c r="O373" s="10">
        <v>375347.29519999999</v>
      </c>
    </row>
    <row r="374" spans="1:15" x14ac:dyDescent="0.3">
      <c r="A374" s="2">
        <v>372</v>
      </c>
      <c r="B374" s="3" t="s">
        <v>26</v>
      </c>
      <c r="C374" s="3" t="s">
        <v>67</v>
      </c>
      <c r="D374" s="3" t="s">
        <v>14</v>
      </c>
      <c r="E374" s="3" t="s">
        <v>15</v>
      </c>
      <c r="F374" s="3">
        <f t="shared" si="5"/>
        <v>0</v>
      </c>
      <c r="G374" s="3">
        <v>8393</v>
      </c>
      <c r="H374" s="3">
        <v>3</v>
      </c>
      <c r="I374" s="3">
        <v>57648</v>
      </c>
      <c r="J374" s="3">
        <f>IF(E374="Cold",1,0)</f>
        <v>1</v>
      </c>
      <c r="K374" s="3">
        <f>IF(E374="Hot",1,0)</f>
        <v>0</v>
      </c>
      <c r="L374" s="3">
        <v>1206</v>
      </c>
      <c r="M374" s="3">
        <v>76</v>
      </c>
      <c r="N374" s="4">
        <v>45498</v>
      </c>
      <c r="O374" s="10">
        <v>300169.75760000001</v>
      </c>
    </row>
    <row r="375" spans="1:15" x14ac:dyDescent="0.3">
      <c r="A375" s="2">
        <v>373</v>
      </c>
      <c r="B375" s="3" t="s">
        <v>29</v>
      </c>
      <c r="C375" s="3" t="s">
        <v>132</v>
      </c>
      <c r="D375" s="3" t="s">
        <v>14</v>
      </c>
      <c r="E375" s="3" t="s">
        <v>23</v>
      </c>
      <c r="F375" s="3">
        <f t="shared" si="5"/>
        <v>0</v>
      </c>
      <c r="G375" s="3">
        <v>3029</v>
      </c>
      <c r="H375" s="3">
        <v>7</v>
      </c>
      <c r="I375" s="3">
        <v>84957</v>
      </c>
      <c r="J375" s="3">
        <f>IF(E375="Cold",1,0)</f>
        <v>0</v>
      </c>
      <c r="K375" s="3">
        <f>IF(E375="Hot",1,0)</f>
        <v>0</v>
      </c>
      <c r="L375" s="3">
        <v>1405</v>
      </c>
      <c r="M375" s="3">
        <v>87</v>
      </c>
      <c r="N375" s="4">
        <v>44741</v>
      </c>
      <c r="O375" s="10">
        <v>306973.92729999998</v>
      </c>
    </row>
    <row r="376" spans="1:15" x14ac:dyDescent="0.3">
      <c r="A376" s="2">
        <v>374</v>
      </c>
      <c r="B376" s="3" t="s">
        <v>53</v>
      </c>
      <c r="C376" s="3" t="s">
        <v>178</v>
      </c>
      <c r="D376" s="3" t="s">
        <v>14</v>
      </c>
      <c r="E376" s="3" t="s">
        <v>23</v>
      </c>
      <c r="F376" s="3">
        <f t="shared" si="5"/>
        <v>0</v>
      </c>
      <c r="G376" s="3">
        <v>1162</v>
      </c>
      <c r="H376" s="3">
        <v>5</v>
      </c>
      <c r="I376" s="3">
        <v>95490</v>
      </c>
      <c r="J376" s="3">
        <f>IF(E376="Cold",1,0)</f>
        <v>0</v>
      </c>
      <c r="K376" s="3">
        <f>IF(E376="Hot",1,0)</f>
        <v>0</v>
      </c>
      <c r="L376" s="3">
        <v>2906</v>
      </c>
      <c r="M376" s="3">
        <v>63</v>
      </c>
      <c r="N376" s="4">
        <v>44941</v>
      </c>
      <c r="O376" s="10">
        <v>374200.78389999998</v>
      </c>
    </row>
    <row r="377" spans="1:15" x14ac:dyDescent="0.3">
      <c r="A377" s="2">
        <v>375</v>
      </c>
      <c r="B377" s="3" t="s">
        <v>16</v>
      </c>
      <c r="C377" s="3" t="s">
        <v>87</v>
      </c>
      <c r="D377" s="3" t="s">
        <v>14</v>
      </c>
      <c r="E377" s="3" t="s">
        <v>23</v>
      </c>
      <c r="F377" s="3">
        <f t="shared" si="5"/>
        <v>0</v>
      </c>
      <c r="G377" s="3">
        <v>11889</v>
      </c>
      <c r="H377" s="3">
        <v>7</v>
      </c>
      <c r="I377" s="3">
        <v>84407</v>
      </c>
      <c r="J377" s="3">
        <f>IF(E377="Cold",1,0)</f>
        <v>0</v>
      </c>
      <c r="K377" s="3">
        <f>IF(E377="Hot",1,0)</f>
        <v>0</v>
      </c>
      <c r="L377" s="3">
        <v>2609</v>
      </c>
      <c r="M377" s="3">
        <v>95</v>
      </c>
      <c r="N377" s="4">
        <v>45505</v>
      </c>
      <c r="O377" s="10">
        <v>359657.16379999998</v>
      </c>
    </row>
    <row r="378" spans="1:15" x14ac:dyDescent="0.3">
      <c r="A378" s="2">
        <v>376</v>
      </c>
      <c r="B378" s="3" t="s">
        <v>16</v>
      </c>
      <c r="C378" s="3" t="s">
        <v>171</v>
      </c>
      <c r="D378" s="3" t="s">
        <v>18</v>
      </c>
      <c r="E378" s="3" t="s">
        <v>21</v>
      </c>
      <c r="F378" s="3">
        <f t="shared" si="5"/>
        <v>1</v>
      </c>
      <c r="G378" s="3">
        <v>16781</v>
      </c>
      <c r="H378" s="3">
        <v>8</v>
      </c>
      <c r="I378" s="3">
        <v>70782</v>
      </c>
      <c r="J378" s="3">
        <f>IF(E378="Cold",1,0)</f>
        <v>0</v>
      </c>
      <c r="K378" s="3">
        <f>IF(E378="Hot",1,0)</f>
        <v>1</v>
      </c>
      <c r="L378" s="3">
        <v>2595</v>
      </c>
      <c r="M378" s="3">
        <v>57</v>
      </c>
      <c r="N378" s="4">
        <v>44349</v>
      </c>
      <c r="O378" s="10">
        <v>392636.41759999999</v>
      </c>
    </row>
    <row r="379" spans="1:15" x14ac:dyDescent="0.3">
      <c r="A379" s="2">
        <v>377</v>
      </c>
      <c r="B379" s="3" t="s">
        <v>16</v>
      </c>
      <c r="C379" s="3" t="s">
        <v>51</v>
      </c>
      <c r="D379" s="3" t="s">
        <v>18</v>
      </c>
      <c r="E379" s="3" t="s">
        <v>23</v>
      </c>
      <c r="F379" s="3">
        <f t="shared" si="5"/>
        <v>1</v>
      </c>
      <c r="G379" s="3">
        <v>29572</v>
      </c>
      <c r="H379" s="3">
        <v>0</v>
      </c>
      <c r="I379" s="3">
        <v>99496</v>
      </c>
      <c r="J379" s="3">
        <f>IF(E379="Cold",1,0)</f>
        <v>0</v>
      </c>
      <c r="K379" s="3">
        <f>IF(E379="Hot",1,0)</f>
        <v>0</v>
      </c>
      <c r="L379" s="3">
        <v>1640</v>
      </c>
      <c r="M379" s="3">
        <v>20</v>
      </c>
      <c r="N379" s="4">
        <v>44413</v>
      </c>
      <c r="O379" s="10">
        <v>390134.41509999998</v>
      </c>
    </row>
    <row r="380" spans="1:15" x14ac:dyDescent="0.3">
      <c r="A380" s="2">
        <v>378</v>
      </c>
      <c r="B380" s="3" t="s">
        <v>29</v>
      </c>
      <c r="C380" s="3" t="s">
        <v>164</v>
      </c>
      <c r="D380" s="3" t="s">
        <v>14</v>
      </c>
      <c r="E380" s="3" t="s">
        <v>23</v>
      </c>
      <c r="F380" s="3">
        <f t="shared" si="5"/>
        <v>0</v>
      </c>
      <c r="G380" s="3">
        <v>1301</v>
      </c>
      <c r="H380" s="3">
        <v>2</v>
      </c>
      <c r="I380" s="3">
        <v>60336</v>
      </c>
      <c r="J380" s="3">
        <f>IF(E380="Cold",1,0)</f>
        <v>0</v>
      </c>
      <c r="K380" s="3">
        <f>IF(E380="Hot",1,0)</f>
        <v>0</v>
      </c>
      <c r="L380" s="3">
        <v>1271</v>
      </c>
      <c r="M380" s="3">
        <v>92</v>
      </c>
      <c r="N380" s="4">
        <v>43861</v>
      </c>
      <c r="O380" s="10">
        <v>348451.3653</v>
      </c>
    </row>
    <row r="381" spans="1:15" x14ac:dyDescent="0.3">
      <c r="A381" s="2">
        <v>379</v>
      </c>
      <c r="B381" s="3" t="s">
        <v>122</v>
      </c>
      <c r="C381" s="3" t="s">
        <v>195</v>
      </c>
      <c r="D381" s="3" t="s">
        <v>18</v>
      </c>
      <c r="E381" s="3" t="s">
        <v>21</v>
      </c>
      <c r="F381" s="3">
        <f t="shared" si="5"/>
        <v>1</v>
      </c>
      <c r="G381" s="3">
        <v>15634</v>
      </c>
      <c r="H381" s="3">
        <v>2</v>
      </c>
      <c r="I381" s="3">
        <v>93410</v>
      </c>
      <c r="J381" s="3">
        <f>IF(E381="Cold",1,0)</f>
        <v>0</v>
      </c>
      <c r="K381" s="3">
        <f>IF(E381="Hot",1,0)</f>
        <v>1</v>
      </c>
      <c r="L381" s="3">
        <v>2922</v>
      </c>
      <c r="M381" s="3">
        <v>56</v>
      </c>
      <c r="N381" s="4">
        <v>45091</v>
      </c>
      <c r="O381" s="10">
        <v>400913.8872</v>
      </c>
    </row>
    <row r="382" spans="1:15" x14ac:dyDescent="0.3">
      <c r="A382" s="2">
        <v>380</v>
      </c>
      <c r="B382" s="3" t="s">
        <v>12</v>
      </c>
      <c r="C382" s="3" t="s">
        <v>140</v>
      </c>
      <c r="D382" s="3" t="s">
        <v>18</v>
      </c>
      <c r="E382" s="3" t="s">
        <v>23</v>
      </c>
      <c r="F382" s="3">
        <f t="shared" si="5"/>
        <v>1</v>
      </c>
      <c r="G382" s="3">
        <v>2222</v>
      </c>
      <c r="H382" s="3">
        <v>3</v>
      </c>
      <c r="I382" s="3">
        <v>65446</v>
      </c>
      <c r="J382" s="3">
        <f>IF(E382="Cold",1,0)</f>
        <v>0</v>
      </c>
      <c r="K382" s="3">
        <f>IF(E382="Hot",1,0)</f>
        <v>0</v>
      </c>
      <c r="L382" s="3">
        <v>2900</v>
      </c>
      <c r="M382" s="3">
        <v>34</v>
      </c>
      <c r="N382" s="4">
        <v>44217</v>
      </c>
      <c r="O382" s="10">
        <v>373194.61369999999</v>
      </c>
    </row>
    <row r="383" spans="1:15" x14ac:dyDescent="0.3">
      <c r="A383" s="2">
        <v>381</v>
      </c>
      <c r="B383" s="3" t="s">
        <v>37</v>
      </c>
      <c r="C383" s="3" t="s">
        <v>90</v>
      </c>
      <c r="D383" s="3" t="s">
        <v>18</v>
      </c>
      <c r="E383" s="3" t="s">
        <v>15</v>
      </c>
      <c r="F383" s="3">
        <f t="shared" si="5"/>
        <v>1</v>
      </c>
      <c r="G383" s="3">
        <v>20587</v>
      </c>
      <c r="H383" s="3">
        <v>3</v>
      </c>
      <c r="I383" s="3">
        <v>76064</v>
      </c>
      <c r="J383" s="3">
        <f>IF(E383="Cold",1,0)</f>
        <v>1</v>
      </c>
      <c r="K383" s="3">
        <f>IF(E383="Hot",1,0)</f>
        <v>0</v>
      </c>
      <c r="L383" s="3">
        <v>2775</v>
      </c>
      <c r="M383" s="3">
        <v>20</v>
      </c>
      <c r="N383" s="4">
        <v>45404</v>
      </c>
      <c r="O383" s="10">
        <v>375356.8247</v>
      </c>
    </row>
    <row r="384" spans="1:15" x14ac:dyDescent="0.3">
      <c r="A384" s="2">
        <v>382</v>
      </c>
      <c r="B384" s="3" t="s">
        <v>33</v>
      </c>
      <c r="C384" s="3" t="s">
        <v>91</v>
      </c>
      <c r="D384" s="3" t="s">
        <v>18</v>
      </c>
      <c r="E384" s="3" t="s">
        <v>21</v>
      </c>
      <c r="F384" s="3">
        <f t="shared" si="5"/>
        <v>1</v>
      </c>
      <c r="G384" s="3">
        <v>3701</v>
      </c>
      <c r="H384" s="3">
        <v>0</v>
      </c>
      <c r="I384" s="3">
        <v>61593</v>
      </c>
      <c r="J384" s="3">
        <f>IF(E384="Cold",1,0)</f>
        <v>0</v>
      </c>
      <c r="K384" s="3">
        <f>IF(E384="Hot",1,0)</f>
        <v>1</v>
      </c>
      <c r="L384" s="3">
        <v>2848</v>
      </c>
      <c r="M384" s="3">
        <v>98</v>
      </c>
      <c r="N384" s="4">
        <v>44290</v>
      </c>
      <c r="O384" s="10">
        <v>433044.33669999999</v>
      </c>
    </row>
    <row r="385" spans="1:15" x14ac:dyDescent="0.3">
      <c r="A385" s="2">
        <v>383</v>
      </c>
      <c r="B385" s="3" t="s">
        <v>16</v>
      </c>
      <c r="C385" s="3" t="s">
        <v>51</v>
      </c>
      <c r="D385" s="3" t="s">
        <v>18</v>
      </c>
      <c r="E385" s="3" t="s">
        <v>15</v>
      </c>
      <c r="F385" s="3">
        <f t="shared" si="5"/>
        <v>1</v>
      </c>
      <c r="G385" s="3">
        <v>11889</v>
      </c>
      <c r="H385" s="3">
        <v>9</v>
      </c>
      <c r="I385" s="3">
        <v>56275</v>
      </c>
      <c r="J385" s="3">
        <f>IF(E385="Cold",1,0)</f>
        <v>1</v>
      </c>
      <c r="K385" s="3">
        <f>IF(E385="Hot",1,0)</f>
        <v>0</v>
      </c>
      <c r="L385" s="3">
        <v>2528</v>
      </c>
      <c r="M385" s="3">
        <v>40</v>
      </c>
      <c r="N385" s="4">
        <v>44290</v>
      </c>
      <c r="O385" s="10">
        <v>349426.67300000001</v>
      </c>
    </row>
    <row r="386" spans="1:15" x14ac:dyDescent="0.3">
      <c r="A386" s="2">
        <v>384</v>
      </c>
      <c r="B386" s="3" t="s">
        <v>26</v>
      </c>
      <c r="C386" s="3" t="s">
        <v>159</v>
      </c>
      <c r="D386" s="3" t="s">
        <v>14</v>
      </c>
      <c r="E386" s="3" t="s">
        <v>21</v>
      </c>
      <c r="F386" s="3">
        <f t="shared" si="5"/>
        <v>0</v>
      </c>
      <c r="G386" s="3">
        <v>28960</v>
      </c>
      <c r="H386" s="3">
        <v>6</v>
      </c>
      <c r="I386" s="3">
        <v>98576</v>
      </c>
      <c r="J386" s="3">
        <f>IF(E386="Cold",1,0)</f>
        <v>0</v>
      </c>
      <c r="K386" s="3">
        <f>IF(E386="Hot",1,0)</f>
        <v>1</v>
      </c>
      <c r="L386" s="3">
        <v>2711</v>
      </c>
      <c r="M386" s="3">
        <v>86</v>
      </c>
      <c r="N386" s="4">
        <v>45257</v>
      </c>
      <c r="O386" s="10">
        <v>370229.54090000002</v>
      </c>
    </row>
    <row r="387" spans="1:15" x14ac:dyDescent="0.3">
      <c r="A387" s="2">
        <v>385</v>
      </c>
      <c r="B387" s="3" t="s">
        <v>74</v>
      </c>
      <c r="C387" s="3" t="s">
        <v>89</v>
      </c>
      <c r="D387" s="3" t="s">
        <v>18</v>
      </c>
      <c r="E387" s="3" t="s">
        <v>21</v>
      </c>
      <c r="F387" s="3">
        <f t="shared" ref="F387:F450" si="6">IF(D387=$F$1,1,0)</f>
        <v>1</v>
      </c>
      <c r="G387" s="3">
        <v>4537</v>
      </c>
      <c r="H387" s="3">
        <v>3</v>
      </c>
      <c r="I387" s="3">
        <v>71508</v>
      </c>
      <c r="J387" s="3">
        <f>IF(E387="Cold",1,0)</f>
        <v>0</v>
      </c>
      <c r="K387" s="3">
        <f>IF(E387="Hot",1,0)</f>
        <v>1</v>
      </c>
      <c r="L387" s="3">
        <v>2005</v>
      </c>
      <c r="M387" s="3">
        <v>58</v>
      </c>
      <c r="N387" s="4">
        <v>43936</v>
      </c>
      <c r="O387" s="10">
        <v>382213.96919999999</v>
      </c>
    </row>
    <row r="388" spans="1:15" x14ac:dyDescent="0.3">
      <c r="A388" s="2">
        <v>386</v>
      </c>
      <c r="B388" s="3" t="s">
        <v>40</v>
      </c>
      <c r="C388" s="3" t="s">
        <v>121</v>
      </c>
      <c r="D388" s="3" t="s">
        <v>14</v>
      </c>
      <c r="E388" s="3" t="s">
        <v>15</v>
      </c>
      <c r="F388" s="3">
        <f t="shared" si="6"/>
        <v>0</v>
      </c>
      <c r="G388" s="3">
        <v>25807</v>
      </c>
      <c r="H388" s="3">
        <v>8</v>
      </c>
      <c r="I388" s="3">
        <v>83878</v>
      </c>
      <c r="J388" s="3">
        <f>IF(E388="Cold",1,0)</f>
        <v>1</v>
      </c>
      <c r="K388" s="3">
        <f>IF(E388="Hot",1,0)</f>
        <v>0</v>
      </c>
      <c r="L388" s="3">
        <v>2503</v>
      </c>
      <c r="M388" s="3">
        <v>96</v>
      </c>
      <c r="N388" s="4">
        <v>45196</v>
      </c>
      <c r="O388" s="10">
        <v>341355.47830000002</v>
      </c>
    </row>
    <row r="389" spans="1:15" x14ac:dyDescent="0.3">
      <c r="A389" s="2">
        <v>387</v>
      </c>
      <c r="B389" s="3" t="s">
        <v>31</v>
      </c>
      <c r="C389" s="3" t="s">
        <v>146</v>
      </c>
      <c r="D389" s="3" t="s">
        <v>18</v>
      </c>
      <c r="E389" s="3" t="s">
        <v>15</v>
      </c>
      <c r="F389" s="3">
        <f t="shared" si="6"/>
        <v>1</v>
      </c>
      <c r="G389" s="3">
        <v>29542</v>
      </c>
      <c r="H389" s="3">
        <v>9</v>
      </c>
      <c r="I389" s="3">
        <v>62153</v>
      </c>
      <c r="J389" s="3">
        <f>IF(E389="Cold",1,0)</f>
        <v>1</v>
      </c>
      <c r="K389" s="3">
        <f>IF(E389="Hot",1,0)</f>
        <v>0</v>
      </c>
      <c r="L389" s="3">
        <v>2364</v>
      </c>
      <c r="M389" s="3">
        <v>92</v>
      </c>
      <c r="N389" s="4">
        <v>45455</v>
      </c>
      <c r="O389" s="10">
        <v>379473.21110000001</v>
      </c>
    </row>
    <row r="390" spans="1:15" x14ac:dyDescent="0.3">
      <c r="A390" s="2">
        <v>388</v>
      </c>
      <c r="B390" s="3" t="s">
        <v>12</v>
      </c>
      <c r="C390" s="3" t="s">
        <v>95</v>
      </c>
      <c r="D390" s="3" t="s">
        <v>14</v>
      </c>
      <c r="E390" s="3" t="s">
        <v>23</v>
      </c>
      <c r="F390" s="3">
        <f t="shared" si="6"/>
        <v>0</v>
      </c>
      <c r="G390" s="3">
        <v>19862</v>
      </c>
      <c r="H390" s="3">
        <v>8</v>
      </c>
      <c r="I390" s="3">
        <v>58402</v>
      </c>
      <c r="J390" s="3">
        <f>IF(E390="Cold",1,0)</f>
        <v>0</v>
      </c>
      <c r="K390" s="3">
        <f>IF(E390="Hot",1,0)</f>
        <v>0</v>
      </c>
      <c r="L390" s="3">
        <v>1296</v>
      </c>
      <c r="M390" s="3">
        <v>54</v>
      </c>
      <c r="N390" s="4">
        <v>44555</v>
      </c>
      <c r="O390" s="10">
        <v>321499.12400000001</v>
      </c>
    </row>
    <row r="391" spans="1:15" x14ac:dyDescent="0.3">
      <c r="A391" s="2">
        <v>389</v>
      </c>
      <c r="B391" s="3" t="s">
        <v>12</v>
      </c>
      <c r="C391" s="3" t="s">
        <v>196</v>
      </c>
      <c r="D391" s="3" t="s">
        <v>14</v>
      </c>
      <c r="E391" s="3" t="s">
        <v>15</v>
      </c>
      <c r="F391" s="3">
        <f t="shared" si="6"/>
        <v>0</v>
      </c>
      <c r="G391" s="3">
        <v>9335</v>
      </c>
      <c r="H391" s="3">
        <v>5</v>
      </c>
      <c r="I391" s="3">
        <v>85300</v>
      </c>
      <c r="J391" s="3">
        <f>IF(E391="Cold",1,0)</f>
        <v>1</v>
      </c>
      <c r="K391" s="3">
        <f>IF(E391="Hot",1,0)</f>
        <v>0</v>
      </c>
      <c r="L391" s="3">
        <v>1521</v>
      </c>
      <c r="M391" s="3">
        <v>67</v>
      </c>
      <c r="N391" s="4">
        <v>45420</v>
      </c>
      <c r="O391" s="10">
        <v>292574.2231</v>
      </c>
    </row>
    <row r="392" spans="1:15" x14ac:dyDescent="0.3">
      <c r="A392" s="2">
        <v>390</v>
      </c>
      <c r="B392" s="3" t="s">
        <v>53</v>
      </c>
      <c r="C392" s="3" t="s">
        <v>197</v>
      </c>
      <c r="D392" s="3" t="s">
        <v>18</v>
      </c>
      <c r="E392" s="3" t="s">
        <v>23</v>
      </c>
      <c r="F392" s="3">
        <f t="shared" si="6"/>
        <v>1</v>
      </c>
      <c r="G392" s="3">
        <v>21381</v>
      </c>
      <c r="H392" s="3">
        <v>5</v>
      </c>
      <c r="I392" s="3">
        <v>52031</v>
      </c>
      <c r="J392" s="3">
        <f>IF(E392="Cold",1,0)</f>
        <v>0</v>
      </c>
      <c r="K392" s="3">
        <f>IF(E392="Hot",1,0)</f>
        <v>0</v>
      </c>
      <c r="L392" s="3">
        <v>1840</v>
      </c>
      <c r="M392" s="3">
        <v>81</v>
      </c>
      <c r="N392" s="4">
        <v>44349</v>
      </c>
      <c r="O392" s="10">
        <v>360755.55910000001</v>
      </c>
    </row>
    <row r="393" spans="1:15" x14ac:dyDescent="0.3">
      <c r="A393" s="2">
        <v>391</v>
      </c>
      <c r="B393" s="3" t="s">
        <v>12</v>
      </c>
      <c r="C393" s="3" t="s">
        <v>50</v>
      </c>
      <c r="D393" s="3" t="s">
        <v>18</v>
      </c>
      <c r="E393" s="3" t="s">
        <v>15</v>
      </c>
      <c r="F393" s="3">
        <f t="shared" si="6"/>
        <v>1</v>
      </c>
      <c r="G393" s="3">
        <v>5199</v>
      </c>
      <c r="H393" s="3">
        <v>3</v>
      </c>
      <c r="I393" s="3">
        <v>55263</v>
      </c>
      <c r="J393" s="3">
        <f>IF(E393="Cold",1,0)</f>
        <v>1</v>
      </c>
      <c r="K393" s="3">
        <f>IF(E393="Hot",1,0)</f>
        <v>0</v>
      </c>
      <c r="L393" s="3">
        <v>1274</v>
      </c>
      <c r="M393" s="3">
        <v>32</v>
      </c>
      <c r="N393" s="4">
        <v>45304</v>
      </c>
      <c r="O393" s="10">
        <v>333784.76870000002</v>
      </c>
    </row>
    <row r="394" spans="1:15" x14ac:dyDescent="0.3">
      <c r="A394" s="2">
        <v>392</v>
      </c>
      <c r="B394" s="3" t="s">
        <v>74</v>
      </c>
      <c r="C394" s="3" t="s">
        <v>120</v>
      </c>
      <c r="D394" s="3" t="s">
        <v>14</v>
      </c>
      <c r="E394" s="3" t="s">
        <v>21</v>
      </c>
      <c r="F394" s="3">
        <f t="shared" si="6"/>
        <v>0</v>
      </c>
      <c r="G394" s="3">
        <v>13679</v>
      </c>
      <c r="H394" s="3">
        <v>9</v>
      </c>
      <c r="I394" s="3">
        <v>50252</v>
      </c>
      <c r="J394" s="3">
        <f>IF(E394="Cold",1,0)</f>
        <v>0</v>
      </c>
      <c r="K394" s="3">
        <f>IF(E394="Hot",1,0)</f>
        <v>1</v>
      </c>
      <c r="L394" s="3">
        <v>2206</v>
      </c>
      <c r="M394" s="3">
        <v>49</v>
      </c>
      <c r="N394" s="4">
        <v>44410</v>
      </c>
      <c r="O394" s="10">
        <v>339817.68109999999</v>
      </c>
    </row>
    <row r="395" spans="1:15" x14ac:dyDescent="0.3">
      <c r="A395" s="2">
        <v>393</v>
      </c>
      <c r="B395" s="3" t="s">
        <v>29</v>
      </c>
      <c r="C395" s="3" t="s">
        <v>135</v>
      </c>
      <c r="D395" s="3" t="s">
        <v>14</v>
      </c>
      <c r="E395" s="3" t="s">
        <v>23</v>
      </c>
      <c r="F395" s="3">
        <f t="shared" si="6"/>
        <v>0</v>
      </c>
      <c r="G395" s="3">
        <v>20768</v>
      </c>
      <c r="H395" s="3">
        <v>1</v>
      </c>
      <c r="I395" s="3">
        <v>94611</v>
      </c>
      <c r="J395" s="3">
        <f>IF(E395="Cold",1,0)</f>
        <v>0</v>
      </c>
      <c r="K395" s="3">
        <f>IF(E395="Hot",1,0)</f>
        <v>0</v>
      </c>
      <c r="L395" s="3">
        <v>1038</v>
      </c>
      <c r="M395" s="3">
        <v>21</v>
      </c>
      <c r="N395" s="4">
        <v>44007</v>
      </c>
      <c r="O395" s="10">
        <v>313832.80570000003</v>
      </c>
    </row>
    <row r="396" spans="1:15" x14ac:dyDescent="0.3">
      <c r="A396" s="2">
        <v>394</v>
      </c>
      <c r="B396" s="3" t="s">
        <v>26</v>
      </c>
      <c r="C396" s="3" t="s">
        <v>67</v>
      </c>
      <c r="D396" s="3" t="s">
        <v>14</v>
      </c>
      <c r="E396" s="3" t="s">
        <v>15</v>
      </c>
      <c r="F396" s="3">
        <f t="shared" si="6"/>
        <v>0</v>
      </c>
      <c r="G396" s="3">
        <v>799</v>
      </c>
      <c r="H396" s="3">
        <v>9</v>
      </c>
      <c r="I396" s="3">
        <v>96982</v>
      </c>
      <c r="J396" s="3">
        <f>IF(E396="Cold",1,0)</f>
        <v>1</v>
      </c>
      <c r="K396" s="3">
        <f>IF(E396="Hot",1,0)</f>
        <v>0</v>
      </c>
      <c r="L396" s="3">
        <v>2240</v>
      </c>
      <c r="M396" s="3">
        <v>55</v>
      </c>
      <c r="N396" s="4">
        <v>44401</v>
      </c>
      <c r="O396" s="10">
        <v>327311.76049999997</v>
      </c>
    </row>
    <row r="397" spans="1:15" x14ac:dyDescent="0.3">
      <c r="A397" s="2">
        <v>395</v>
      </c>
      <c r="B397" s="3" t="s">
        <v>72</v>
      </c>
      <c r="C397" s="3" t="s">
        <v>180</v>
      </c>
      <c r="D397" s="3" t="s">
        <v>14</v>
      </c>
      <c r="E397" s="3" t="s">
        <v>21</v>
      </c>
      <c r="F397" s="3">
        <f t="shared" si="6"/>
        <v>0</v>
      </c>
      <c r="G397" s="3">
        <v>29884</v>
      </c>
      <c r="H397" s="3">
        <v>3</v>
      </c>
      <c r="I397" s="3">
        <v>68480</v>
      </c>
      <c r="J397" s="3">
        <f>IF(E397="Cold",1,0)</f>
        <v>0</v>
      </c>
      <c r="K397" s="3">
        <f>IF(E397="Hot",1,0)</f>
        <v>1</v>
      </c>
      <c r="L397" s="3">
        <v>2459</v>
      </c>
      <c r="M397" s="3">
        <v>57</v>
      </c>
      <c r="N397" s="4">
        <v>44190</v>
      </c>
      <c r="O397" s="10">
        <v>362013.08659999998</v>
      </c>
    </row>
    <row r="398" spans="1:15" x14ac:dyDescent="0.3">
      <c r="A398" s="2">
        <v>396</v>
      </c>
      <c r="B398" s="3" t="s">
        <v>40</v>
      </c>
      <c r="C398" s="3" t="s">
        <v>103</v>
      </c>
      <c r="D398" s="3" t="s">
        <v>14</v>
      </c>
      <c r="E398" s="3" t="s">
        <v>21</v>
      </c>
      <c r="F398" s="3">
        <f t="shared" si="6"/>
        <v>0</v>
      </c>
      <c r="G398" s="3">
        <v>18039</v>
      </c>
      <c r="H398" s="3">
        <v>3</v>
      </c>
      <c r="I398" s="3">
        <v>93578</v>
      </c>
      <c r="J398" s="3">
        <f>IF(E398="Cold",1,0)</f>
        <v>0</v>
      </c>
      <c r="K398" s="3">
        <f>IF(E398="Hot",1,0)</f>
        <v>1</v>
      </c>
      <c r="L398" s="3">
        <v>2847</v>
      </c>
      <c r="M398" s="3">
        <v>27</v>
      </c>
      <c r="N398" s="4">
        <v>44775</v>
      </c>
      <c r="O398" s="10">
        <v>348055.85729999997</v>
      </c>
    </row>
    <row r="399" spans="1:15" x14ac:dyDescent="0.3">
      <c r="A399" s="2">
        <v>397</v>
      </c>
      <c r="B399" s="3" t="s">
        <v>29</v>
      </c>
      <c r="C399" s="3" t="s">
        <v>132</v>
      </c>
      <c r="D399" s="3" t="s">
        <v>18</v>
      </c>
      <c r="E399" s="3" t="s">
        <v>15</v>
      </c>
      <c r="F399" s="3">
        <f t="shared" si="6"/>
        <v>1</v>
      </c>
      <c r="G399" s="3">
        <v>8059</v>
      </c>
      <c r="H399" s="3">
        <v>7</v>
      </c>
      <c r="I399" s="3">
        <v>98435</v>
      </c>
      <c r="J399" s="3">
        <f>IF(E399="Cold",1,0)</f>
        <v>1</v>
      </c>
      <c r="K399" s="3">
        <f>IF(E399="Hot",1,0)</f>
        <v>0</v>
      </c>
      <c r="L399" s="3">
        <v>2903</v>
      </c>
      <c r="M399" s="3">
        <v>36</v>
      </c>
      <c r="N399" s="4">
        <v>44814</v>
      </c>
      <c r="O399" s="10">
        <v>365884.03379999998</v>
      </c>
    </row>
    <row r="400" spans="1:15" x14ac:dyDescent="0.3">
      <c r="A400" s="2">
        <v>398</v>
      </c>
      <c r="B400" s="3" t="s">
        <v>55</v>
      </c>
      <c r="C400" s="3" t="s">
        <v>98</v>
      </c>
      <c r="D400" s="3" t="s">
        <v>14</v>
      </c>
      <c r="E400" s="3" t="s">
        <v>21</v>
      </c>
      <c r="F400" s="3">
        <f t="shared" si="6"/>
        <v>0</v>
      </c>
      <c r="G400" s="3">
        <v>22877</v>
      </c>
      <c r="H400" s="3">
        <v>0</v>
      </c>
      <c r="I400" s="3">
        <v>54126</v>
      </c>
      <c r="J400" s="3">
        <f>IF(E400="Cold",1,0)</f>
        <v>0</v>
      </c>
      <c r="K400" s="3">
        <f>IF(E400="Hot",1,0)</f>
        <v>1</v>
      </c>
      <c r="L400" s="3">
        <v>2320</v>
      </c>
      <c r="M400" s="3">
        <v>34</v>
      </c>
      <c r="N400" s="4">
        <v>44763</v>
      </c>
      <c r="O400" s="10">
        <v>346809.62050000002</v>
      </c>
    </row>
    <row r="401" spans="1:15" x14ac:dyDescent="0.3">
      <c r="A401" s="2">
        <v>399</v>
      </c>
      <c r="B401" s="3" t="s">
        <v>44</v>
      </c>
      <c r="C401" s="3" t="s">
        <v>111</v>
      </c>
      <c r="D401" s="3" t="s">
        <v>18</v>
      </c>
      <c r="E401" s="3" t="s">
        <v>21</v>
      </c>
      <c r="F401" s="3">
        <f t="shared" si="6"/>
        <v>1</v>
      </c>
      <c r="G401" s="3">
        <v>28060</v>
      </c>
      <c r="H401" s="3">
        <v>3</v>
      </c>
      <c r="I401" s="3">
        <v>69661</v>
      </c>
      <c r="J401" s="3">
        <f>IF(E401="Cold",1,0)</f>
        <v>0</v>
      </c>
      <c r="K401" s="3">
        <f>IF(E401="Hot",1,0)</f>
        <v>1</v>
      </c>
      <c r="L401" s="3">
        <v>2792</v>
      </c>
      <c r="M401" s="3">
        <v>24</v>
      </c>
      <c r="N401" s="4">
        <v>45526</v>
      </c>
      <c r="O401" s="10">
        <v>362062.23879999999</v>
      </c>
    </row>
    <row r="402" spans="1:15" x14ac:dyDescent="0.3">
      <c r="A402" s="2">
        <v>400</v>
      </c>
      <c r="B402" s="3" t="s">
        <v>33</v>
      </c>
      <c r="C402" s="3" t="s">
        <v>198</v>
      </c>
      <c r="D402" s="3" t="s">
        <v>14</v>
      </c>
      <c r="E402" s="3" t="s">
        <v>21</v>
      </c>
      <c r="F402" s="3">
        <f t="shared" si="6"/>
        <v>0</v>
      </c>
      <c r="G402" s="3">
        <v>26599</v>
      </c>
      <c r="H402" s="3">
        <v>8</v>
      </c>
      <c r="I402" s="3">
        <v>79860</v>
      </c>
      <c r="J402" s="3">
        <f>IF(E402="Cold",1,0)</f>
        <v>0</v>
      </c>
      <c r="K402" s="3">
        <f>IF(E402="Hot",1,0)</f>
        <v>1</v>
      </c>
      <c r="L402" s="3">
        <v>1677</v>
      </c>
      <c r="M402" s="3">
        <v>46</v>
      </c>
      <c r="N402" s="4">
        <v>45167</v>
      </c>
      <c r="O402" s="10">
        <v>354175.69549999997</v>
      </c>
    </row>
    <row r="403" spans="1:15" x14ac:dyDescent="0.3">
      <c r="A403" s="2">
        <v>401</v>
      </c>
      <c r="B403" s="3" t="s">
        <v>55</v>
      </c>
      <c r="C403" s="3" t="s">
        <v>98</v>
      </c>
      <c r="D403" s="3" t="s">
        <v>18</v>
      </c>
      <c r="E403" s="3" t="s">
        <v>15</v>
      </c>
      <c r="F403" s="3">
        <f t="shared" si="6"/>
        <v>1</v>
      </c>
      <c r="G403" s="3">
        <v>2775</v>
      </c>
      <c r="H403" s="3">
        <v>7</v>
      </c>
      <c r="I403" s="3">
        <v>61096</v>
      </c>
      <c r="J403" s="3">
        <f>IF(E403="Cold",1,0)</f>
        <v>1</v>
      </c>
      <c r="K403" s="3">
        <f>IF(E403="Hot",1,0)</f>
        <v>0</v>
      </c>
      <c r="L403" s="3">
        <v>1807</v>
      </c>
      <c r="M403" s="3">
        <v>84</v>
      </c>
      <c r="N403" s="4">
        <v>45537</v>
      </c>
      <c r="O403" s="10">
        <v>365111.14130000002</v>
      </c>
    </row>
    <row r="404" spans="1:15" x14ac:dyDescent="0.3">
      <c r="A404" s="2">
        <v>402</v>
      </c>
      <c r="B404" s="3" t="s">
        <v>72</v>
      </c>
      <c r="C404" s="3" t="s">
        <v>145</v>
      </c>
      <c r="D404" s="3" t="s">
        <v>14</v>
      </c>
      <c r="E404" s="3" t="s">
        <v>21</v>
      </c>
      <c r="F404" s="3">
        <f t="shared" si="6"/>
        <v>0</v>
      </c>
      <c r="G404" s="3">
        <v>918</v>
      </c>
      <c r="H404" s="3">
        <v>4</v>
      </c>
      <c r="I404" s="3">
        <v>94721</v>
      </c>
      <c r="J404" s="3">
        <f>IF(E404="Cold",1,0)</f>
        <v>0</v>
      </c>
      <c r="K404" s="3">
        <f>IF(E404="Hot",1,0)</f>
        <v>1</v>
      </c>
      <c r="L404" s="3">
        <v>1284</v>
      </c>
      <c r="M404" s="3">
        <v>39</v>
      </c>
      <c r="N404" s="4">
        <v>44175</v>
      </c>
      <c r="O404" s="10">
        <v>325404.00790000003</v>
      </c>
    </row>
    <row r="405" spans="1:15" x14ac:dyDescent="0.3">
      <c r="A405" s="2">
        <v>403</v>
      </c>
      <c r="B405" s="3" t="s">
        <v>24</v>
      </c>
      <c r="C405" s="3" t="s">
        <v>39</v>
      </c>
      <c r="D405" s="3" t="s">
        <v>18</v>
      </c>
      <c r="E405" s="3" t="s">
        <v>15</v>
      </c>
      <c r="F405" s="3">
        <f t="shared" si="6"/>
        <v>1</v>
      </c>
      <c r="G405" s="3">
        <v>3462</v>
      </c>
      <c r="H405" s="3">
        <v>7</v>
      </c>
      <c r="I405" s="3">
        <v>98887</v>
      </c>
      <c r="J405" s="3">
        <f>IF(E405="Cold",1,0)</f>
        <v>1</v>
      </c>
      <c r="K405" s="3">
        <f>IF(E405="Hot",1,0)</f>
        <v>0</v>
      </c>
      <c r="L405" s="3">
        <v>1884</v>
      </c>
      <c r="M405" s="3">
        <v>97</v>
      </c>
      <c r="N405" s="4">
        <v>44882</v>
      </c>
      <c r="O405" s="10">
        <v>362093.72169999999</v>
      </c>
    </row>
    <row r="406" spans="1:15" x14ac:dyDescent="0.3">
      <c r="A406" s="2">
        <v>404</v>
      </c>
      <c r="B406" s="3" t="s">
        <v>37</v>
      </c>
      <c r="C406" s="3" t="s">
        <v>118</v>
      </c>
      <c r="D406" s="3" t="s">
        <v>14</v>
      </c>
      <c r="E406" s="3" t="s">
        <v>21</v>
      </c>
      <c r="F406" s="3">
        <f t="shared" si="6"/>
        <v>0</v>
      </c>
      <c r="G406" s="3">
        <v>1701</v>
      </c>
      <c r="H406" s="3">
        <v>9</v>
      </c>
      <c r="I406" s="3">
        <v>72510</v>
      </c>
      <c r="J406" s="3">
        <f>IF(E406="Cold",1,0)</f>
        <v>0</v>
      </c>
      <c r="K406" s="3">
        <f>IF(E406="Hot",1,0)</f>
        <v>1</v>
      </c>
      <c r="L406" s="3">
        <v>2856</v>
      </c>
      <c r="M406" s="3">
        <v>52</v>
      </c>
      <c r="N406" s="4">
        <v>44065</v>
      </c>
      <c r="O406" s="10">
        <v>351988.42979999998</v>
      </c>
    </row>
    <row r="407" spans="1:15" x14ac:dyDescent="0.3">
      <c r="A407" s="2">
        <v>405</v>
      </c>
      <c r="B407" s="3" t="s">
        <v>55</v>
      </c>
      <c r="C407" s="3" t="s">
        <v>66</v>
      </c>
      <c r="D407" s="3" t="s">
        <v>14</v>
      </c>
      <c r="E407" s="3" t="s">
        <v>23</v>
      </c>
      <c r="F407" s="3">
        <f t="shared" si="6"/>
        <v>0</v>
      </c>
      <c r="G407" s="3">
        <v>6472</v>
      </c>
      <c r="H407" s="3">
        <v>4</v>
      </c>
      <c r="I407" s="3">
        <v>63013</v>
      </c>
      <c r="J407" s="3">
        <f>IF(E407="Cold",1,0)</f>
        <v>0</v>
      </c>
      <c r="K407" s="3">
        <f>IF(E407="Hot",1,0)</f>
        <v>0</v>
      </c>
      <c r="L407" s="3">
        <v>2033</v>
      </c>
      <c r="M407" s="3">
        <v>33</v>
      </c>
      <c r="N407" s="4">
        <v>45486</v>
      </c>
      <c r="O407" s="10">
        <v>324670.18979999999</v>
      </c>
    </row>
    <row r="408" spans="1:15" x14ac:dyDescent="0.3">
      <c r="A408" s="2">
        <v>406</v>
      </c>
      <c r="B408" s="3" t="s">
        <v>19</v>
      </c>
      <c r="C408" s="3" t="s">
        <v>199</v>
      </c>
      <c r="D408" s="3" t="s">
        <v>18</v>
      </c>
      <c r="E408" s="3" t="s">
        <v>21</v>
      </c>
      <c r="F408" s="3">
        <f t="shared" si="6"/>
        <v>1</v>
      </c>
      <c r="G408" s="3">
        <v>12301</v>
      </c>
      <c r="H408" s="3">
        <v>2</v>
      </c>
      <c r="I408" s="3">
        <v>83306</v>
      </c>
      <c r="J408" s="3">
        <f>IF(E408="Cold",1,0)</f>
        <v>0</v>
      </c>
      <c r="K408" s="3">
        <f>IF(E408="Hot",1,0)</f>
        <v>1</v>
      </c>
      <c r="L408" s="3">
        <v>1443</v>
      </c>
      <c r="M408" s="3">
        <v>88</v>
      </c>
      <c r="N408" s="4">
        <v>44567</v>
      </c>
      <c r="O408" s="10">
        <v>396785.14529999997</v>
      </c>
    </row>
    <row r="409" spans="1:15" x14ac:dyDescent="0.3">
      <c r="A409" s="2">
        <v>407</v>
      </c>
      <c r="B409" s="3" t="s">
        <v>37</v>
      </c>
      <c r="C409" s="3" t="s">
        <v>61</v>
      </c>
      <c r="D409" s="3" t="s">
        <v>14</v>
      </c>
      <c r="E409" s="3" t="s">
        <v>15</v>
      </c>
      <c r="F409" s="3">
        <f t="shared" si="6"/>
        <v>0</v>
      </c>
      <c r="G409" s="3">
        <v>9701</v>
      </c>
      <c r="H409" s="3">
        <v>8</v>
      </c>
      <c r="I409" s="3">
        <v>58930</v>
      </c>
      <c r="J409" s="3">
        <f>IF(E409="Cold",1,0)</f>
        <v>1</v>
      </c>
      <c r="K409" s="3">
        <f>IF(E409="Hot",1,0)</f>
        <v>0</v>
      </c>
      <c r="L409" s="3">
        <v>1326</v>
      </c>
      <c r="M409" s="3">
        <v>67</v>
      </c>
      <c r="N409" s="4">
        <v>45265</v>
      </c>
      <c r="O409" s="10">
        <v>302362.9081</v>
      </c>
    </row>
    <row r="410" spans="1:15" x14ac:dyDescent="0.3">
      <c r="A410" s="2">
        <v>408</v>
      </c>
      <c r="B410" s="3" t="s">
        <v>19</v>
      </c>
      <c r="C410" s="3" t="s">
        <v>52</v>
      </c>
      <c r="D410" s="3" t="s">
        <v>18</v>
      </c>
      <c r="E410" s="3" t="s">
        <v>21</v>
      </c>
      <c r="F410" s="3">
        <f t="shared" si="6"/>
        <v>1</v>
      </c>
      <c r="G410" s="3">
        <v>10233</v>
      </c>
      <c r="H410" s="3">
        <v>1</v>
      </c>
      <c r="I410" s="3">
        <v>73537</v>
      </c>
      <c r="J410" s="3">
        <f>IF(E410="Cold",1,0)</f>
        <v>0</v>
      </c>
      <c r="K410" s="3">
        <f>IF(E410="Hot",1,0)</f>
        <v>1</v>
      </c>
      <c r="L410" s="3">
        <v>2806</v>
      </c>
      <c r="M410" s="3">
        <v>62</v>
      </c>
      <c r="N410" s="4">
        <v>44767</v>
      </c>
      <c r="O410" s="10">
        <v>415049.01579999999</v>
      </c>
    </row>
    <row r="411" spans="1:15" x14ac:dyDescent="0.3">
      <c r="A411" s="2">
        <v>409</v>
      </c>
      <c r="B411" s="3" t="s">
        <v>57</v>
      </c>
      <c r="C411" s="3" t="s">
        <v>168</v>
      </c>
      <c r="D411" s="3" t="s">
        <v>14</v>
      </c>
      <c r="E411" s="3" t="s">
        <v>21</v>
      </c>
      <c r="F411" s="3">
        <f t="shared" si="6"/>
        <v>0</v>
      </c>
      <c r="G411" s="3">
        <v>15331</v>
      </c>
      <c r="H411" s="3">
        <v>5</v>
      </c>
      <c r="I411" s="3">
        <v>82392</v>
      </c>
      <c r="J411" s="3">
        <f>IF(E411="Cold",1,0)</f>
        <v>0</v>
      </c>
      <c r="K411" s="3">
        <f>IF(E411="Hot",1,0)</f>
        <v>1</v>
      </c>
      <c r="L411" s="3">
        <v>1672</v>
      </c>
      <c r="M411" s="3">
        <v>81</v>
      </c>
      <c r="N411" s="4">
        <v>44600</v>
      </c>
      <c r="O411" s="10">
        <v>343995.42</v>
      </c>
    </row>
    <row r="412" spans="1:15" x14ac:dyDescent="0.3">
      <c r="A412" s="2">
        <v>410</v>
      </c>
      <c r="B412" s="3" t="s">
        <v>57</v>
      </c>
      <c r="C412" s="3" t="s">
        <v>162</v>
      </c>
      <c r="D412" s="3" t="s">
        <v>14</v>
      </c>
      <c r="E412" s="3" t="s">
        <v>21</v>
      </c>
      <c r="F412" s="3">
        <f t="shared" si="6"/>
        <v>0</v>
      </c>
      <c r="G412" s="3">
        <v>3441</v>
      </c>
      <c r="H412" s="3">
        <v>2</v>
      </c>
      <c r="I412" s="3">
        <v>67381</v>
      </c>
      <c r="J412" s="3">
        <f>IF(E412="Cold",1,0)</f>
        <v>0</v>
      </c>
      <c r="K412" s="3">
        <f>IF(E412="Hot",1,0)</f>
        <v>1</v>
      </c>
      <c r="L412" s="3">
        <v>2235</v>
      </c>
      <c r="M412" s="3">
        <v>42</v>
      </c>
      <c r="N412" s="4">
        <v>45368</v>
      </c>
      <c r="O412" s="10">
        <v>336747.45449999999</v>
      </c>
    </row>
    <row r="413" spans="1:15" x14ac:dyDescent="0.3">
      <c r="A413" s="2">
        <v>411</v>
      </c>
      <c r="B413" s="3" t="s">
        <v>24</v>
      </c>
      <c r="C413" s="3" t="s">
        <v>97</v>
      </c>
      <c r="D413" s="3" t="s">
        <v>18</v>
      </c>
      <c r="E413" s="3" t="s">
        <v>15</v>
      </c>
      <c r="F413" s="3">
        <f t="shared" si="6"/>
        <v>1</v>
      </c>
      <c r="G413" s="3">
        <v>10675</v>
      </c>
      <c r="H413" s="3">
        <v>9</v>
      </c>
      <c r="I413" s="3">
        <v>76293</v>
      </c>
      <c r="J413" s="3">
        <f>IF(E413="Cold",1,0)</f>
        <v>1</v>
      </c>
      <c r="K413" s="3">
        <f>IF(E413="Hot",1,0)</f>
        <v>0</v>
      </c>
      <c r="L413" s="3">
        <v>2971</v>
      </c>
      <c r="M413" s="3">
        <v>48</v>
      </c>
      <c r="N413" s="4">
        <v>44270</v>
      </c>
      <c r="O413" s="10">
        <v>376561.88189999998</v>
      </c>
    </row>
    <row r="414" spans="1:15" x14ac:dyDescent="0.3">
      <c r="A414" s="2">
        <v>412</v>
      </c>
      <c r="B414" s="3" t="s">
        <v>29</v>
      </c>
      <c r="C414" s="3" t="s">
        <v>59</v>
      </c>
      <c r="D414" s="3" t="s">
        <v>14</v>
      </c>
      <c r="E414" s="3" t="s">
        <v>21</v>
      </c>
      <c r="F414" s="3">
        <f t="shared" si="6"/>
        <v>0</v>
      </c>
      <c r="G414" s="3">
        <v>20087</v>
      </c>
      <c r="H414" s="3">
        <v>6</v>
      </c>
      <c r="I414" s="3">
        <v>73024</v>
      </c>
      <c r="J414" s="3">
        <f>IF(E414="Cold",1,0)</f>
        <v>0</v>
      </c>
      <c r="K414" s="3">
        <f>IF(E414="Hot",1,0)</f>
        <v>1</v>
      </c>
      <c r="L414" s="3">
        <v>1131</v>
      </c>
      <c r="M414" s="3">
        <v>77</v>
      </c>
      <c r="N414" s="4">
        <v>45389</v>
      </c>
      <c r="O414" s="10">
        <v>336198.44339999999</v>
      </c>
    </row>
    <row r="415" spans="1:15" x14ac:dyDescent="0.3">
      <c r="A415" s="2">
        <v>413</v>
      </c>
      <c r="B415" s="3" t="s">
        <v>37</v>
      </c>
      <c r="C415" s="3" t="s">
        <v>90</v>
      </c>
      <c r="D415" s="3" t="s">
        <v>18</v>
      </c>
      <c r="E415" s="3" t="s">
        <v>21</v>
      </c>
      <c r="F415" s="3">
        <f t="shared" si="6"/>
        <v>1</v>
      </c>
      <c r="G415" s="3">
        <v>1719</v>
      </c>
      <c r="H415" s="3">
        <v>2</v>
      </c>
      <c r="I415" s="3">
        <v>62267</v>
      </c>
      <c r="J415" s="3">
        <f>IF(E415="Cold",1,0)</f>
        <v>0</v>
      </c>
      <c r="K415" s="3">
        <f>IF(E415="Hot",1,0)</f>
        <v>1</v>
      </c>
      <c r="L415" s="3">
        <v>1123</v>
      </c>
      <c r="M415" s="3">
        <v>91</v>
      </c>
      <c r="N415" s="4">
        <v>44417</v>
      </c>
      <c r="O415" s="10">
        <v>382368.34519999998</v>
      </c>
    </row>
    <row r="416" spans="1:15" x14ac:dyDescent="0.3">
      <c r="A416" s="2">
        <v>414</v>
      </c>
      <c r="B416" s="3" t="s">
        <v>29</v>
      </c>
      <c r="C416" s="3" t="s">
        <v>107</v>
      </c>
      <c r="D416" s="3" t="s">
        <v>14</v>
      </c>
      <c r="E416" s="3" t="s">
        <v>15</v>
      </c>
      <c r="F416" s="3">
        <f t="shared" si="6"/>
        <v>0</v>
      </c>
      <c r="G416" s="3">
        <v>16021</v>
      </c>
      <c r="H416" s="3">
        <v>9</v>
      </c>
      <c r="I416" s="3">
        <v>53177</v>
      </c>
      <c r="J416" s="3">
        <f>IF(E416="Cold",1,0)</f>
        <v>1</v>
      </c>
      <c r="K416" s="3">
        <f>IF(E416="Hot",1,0)</f>
        <v>0</v>
      </c>
      <c r="L416" s="3">
        <v>1364</v>
      </c>
      <c r="M416" s="3">
        <v>88</v>
      </c>
      <c r="N416" s="4">
        <v>44951</v>
      </c>
      <c r="O416" s="10">
        <v>305591.54229999997</v>
      </c>
    </row>
    <row r="417" spans="1:15" x14ac:dyDescent="0.3">
      <c r="A417" s="2">
        <v>415</v>
      </c>
      <c r="B417" s="3" t="s">
        <v>33</v>
      </c>
      <c r="C417" s="3" t="s">
        <v>91</v>
      </c>
      <c r="D417" s="3" t="s">
        <v>14</v>
      </c>
      <c r="E417" s="3" t="s">
        <v>23</v>
      </c>
      <c r="F417" s="3">
        <f t="shared" si="6"/>
        <v>0</v>
      </c>
      <c r="G417" s="3">
        <v>22856</v>
      </c>
      <c r="H417" s="3">
        <v>2</v>
      </c>
      <c r="I417" s="3">
        <v>64067</v>
      </c>
      <c r="J417" s="3">
        <f>IF(E417="Cold",1,0)</f>
        <v>0</v>
      </c>
      <c r="K417" s="3">
        <f>IF(E417="Hot",1,0)</f>
        <v>0</v>
      </c>
      <c r="L417" s="3">
        <v>1061</v>
      </c>
      <c r="M417" s="3">
        <v>65</v>
      </c>
      <c r="N417" s="4">
        <v>44754</v>
      </c>
      <c r="O417" s="10">
        <v>321952.82449999999</v>
      </c>
    </row>
    <row r="418" spans="1:15" x14ac:dyDescent="0.3">
      <c r="A418" s="2">
        <v>416</v>
      </c>
      <c r="B418" s="3" t="s">
        <v>33</v>
      </c>
      <c r="C418" s="3" t="s">
        <v>68</v>
      </c>
      <c r="D418" s="3" t="s">
        <v>18</v>
      </c>
      <c r="E418" s="3" t="s">
        <v>15</v>
      </c>
      <c r="F418" s="3">
        <f t="shared" si="6"/>
        <v>1</v>
      </c>
      <c r="G418" s="3">
        <v>5611</v>
      </c>
      <c r="H418" s="3">
        <v>3</v>
      </c>
      <c r="I418" s="3">
        <v>83773</v>
      </c>
      <c r="J418" s="3">
        <f>IF(E418="Cold",1,0)</f>
        <v>1</v>
      </c>
      <c r="K418" s="3">
        <f>IF(E418="Hot",1,0)</f>
        <v>0</v>
      </c>
      <c r="L418" s="3">
        <v>2555</v>
      </c>
      <c r="M418" s="3">
        <v>91</v>
      </c>
      <c r="N418" s="4">
        <v>45297</v>
      </c>
      <c r="O418" s="10">
        <v>375903.88030000002</v>
      </c>
    </row>
    <row r="419" spans="1:15" x14ac:dyDescent="0.3">
      <c r="A419" s="2">
        <v>417</v>
      </c>
      <c r="B419" s="3" t="s">
        <v>40</v>
      </c>
      <c r="C419" s="3" t="s">
        <v>103</v>
      </c>
      <c r="D419" s="3" t="s">
        <v>14</v>
      </c>
      <c r="E419" s="3" t="s">
        <v>15</v>
      </c>
      <c r="F419" s="3">
        <f t="shared" si="6"/>
        <v>0</v>
      </c>
      <c r="G419" s="3">
        <v>18595</v>
      </c>
      <c r="H419" s="3">
        <v>7</v>
      </c>
      <c r="I419" s="3">
        <v>91909</v>
      </c>
      <c r="J419" s="3">
        <f>IF(E419="Cold",1,0)</f>
        <v>1</v>
      </c>
      <c r="K419" s="3">
        <f>IF(E419="Hot",1,0)</f>
        <v>0</v>
      </c>
      <c r="L419" s="3">
        <v>2435</v>
      </c>
      <c r="M419" s="3">
        <v>74</v>
      </c>
      <c r="N419" s="4">
        <v>44049</v>
      </c>
      <c r="O419" s="10">
        <v>343679.96970000002</v>
      </c>
    </row>
    <row r="420" spans="1:15" x14ac:dyDescent="0.3">
      <c r="A420" s="2">
        <v>418</v>
      </c>
      <c r="B420" s="3" t="s">
        <v>16</v>
      </c>
      <c r="C420" s="3" t="s">
        <v>176</v>
      </c>
      <c r="D420" s="3" t="s">
        <v>18</v>
      </c>
      <c r="E420" s="3" t="s">
        <v>15</v>
      </c>
      <c r="F420" s="3">
        <f t="shared" si="6"/>
        <v>1</v>
      </c>
      <c r="G420" s="3">
        <v>2549</v>
      </c>
      <c r="H420" s="3">
        <v>4</v>
      </c>
      <c r="I420" s="3">
        <v>89208</v>
      </c>
      <c r="J420" s="3">
        <f>IF(E420="Cold",1,0)</f>
        <v>1</v>
      </c>
      <c r="K420" s="3">
        <f>IF(E420="Hot",1,0)</f>
        <v>0</v>
      </c>
      <c r="L420" s="3">
        <v>1932</v>
      </c>
      <c r="M420" s="3">
        <v>39</v>
      </c>
      <c r="N420" s="4">
        <v>44421</v>
      </c>
      <c r="O420" s="10">
        <v>370086.17210000003</v>
      </c>
    </row>
    <row r="421" spans="1:15" x14ac:dyDescent="0.3">
      <c r="A421" s="2">
        <v>419</v>
      </c>
      <c r="B421" s="3" t="s">
        <v>57</v>
      </c>
      <c r="C421" s="3" t="s">
        <v>162</v>
      </c>
      <c r="D421" s="3" t="s">
        <v>14</v>
      </c>
      <c r="E421" s="3" t="s">
        <v>21</v>
      </c>
      <c r="F421" s="3">
        <f t="shared" si="6"/>
        <v>0</v>
      </c>
      <c r="G421" s="3">
        <v>3658</v>
      </c>
      <c r="H421" s="3">
        <v>2</v>
      </c>
      <c r="I421" s="3">
        <v>55055</v>
      </c>
      <c r="J421" s="3">
        <f>IF(E421="Cold",1,0)</f>
        <v>0</v>
      </c>
      <c r="K421" s="3">
        <f>IF(E421="Hot",1,0)</f>
        <v>1</v>
      </c>
      <c r="L421" s="3">
        <v>2970</v>
      </c>
      <c r="M421" s="3">
        <v>91</v>
      </c>
      <c r="N421" s="4">
        <v>44532</v>
      </c>
      <c r="O421" s="10">
        <v>353407.8518</v>
      </c>
    </row>
    <row r="422" spans="1:15" x14ac:dyDescent="0.3">
      <c r="A422" s="2">
        <v>420</v>
      </c>
      <c r="B422" s="3" t="s">
        <v>35</v>
      </c>
      <c r="C422" s="3" t="s">
        <v>200</v>
      </c>
      <c r="D422" s="3" t="s">
        <v>18</v>
      </c>
      <c r="E422" s="3" t="s">
        <v>23</v>
      </c>
      <c r="F422" s="3">
        <f t="shared" si="6"/>
        <v>1</v>
      </c>
      <c r="G422" s="3">
        <v>4123</v>
      </c>
      <c r="H422" s="3">
        <v>4</v>
      </c>
      <c r="I422" s="3">
        <v>66642</v>
      </c>
      <c r="J422" s="3">
        <f>IF(E422="Cold",1,0)</f>
        <v>0</v>
      </c>
      <c r="K422" s="3">
        <f>IF(E422="Hot",1,0)</f>
        <v>0</v>
      </c>
      <c r="L422" s="3">
        <v>1764</v>
      </c>
      <c r="M422" s="3">
        <v>28</v>
      </c>
      <c r="N422" s="4">
        <v>44398</v>
      </c>
      <c r="O422" s="10">
        <v>351766.57520000002</v>
      </c>
    </row>
    <row r="423" spans="1:15" x14ac:dyDescent="0.3">
      <c r="A423" s="2">
        <v>421</v>
      </c>
      <c r="B423" s="3" t="s">
        <v>31</v>
      </c>
      <c r="C423" s="3" t="s">
        <v>63</v>
      </c>
      <c r="D423" s="3" t="s">
        <v>14</v>
      </c>
      <c r="E423" s="3" t="s">
        <v>21</v>
      </c>
      <c r="F423" s="3">
        <f t="shared" si="6"/>
        <v>0</v>
      </c>
      <c r="G423" s="3">
        <v>8694</v>
      </c>
      <c r="H423" s="3">
        <v>0</v>
      </c>
      <c r="I423" s="3">
        <v>72619</v>
      </c>
      <c r="J423" s="3">
        <f>IF(E423="Cold",1,0)</f>
        <v>0</v>
      </c>
      <c r="K423" s="3">
        <f>IF(E423="Hot",1,0)</f>
        <v>1</v>
      </c>
      <c r="L423" s="3">
        <v>2726</v>
      </c>
      <c r="M423" s="3">
        <v>69</v>
      </c>
      <c r="N423" s="4">
        <v>44963</v>
      </c>
      <c r="O423" s="10">
        <v>342684.63949999999</v>
      </c>
    </row>
    <row r="424" spans="1:15" x14ac:dyDescent="0.3">
      <c r="A424" s="2">
        <v>422</v>
      </c>
      <c r="B424" s="3" t="s">
        <v>33</v>
      </c>
      <c r="C424" s="3" t="s">
        <v>88</v>
      </c>
      <c r="D424" s="3" t="s">
        <v>18</v>
      </c>
      <c r="E424" s="3" t="s">
        <v>21</v>
      </c>
      <c r="F424" s="3">
        <f t="shared" si="6"/>
        <v>1</v>
      </c>
      <c r="G424" s="3">
        <v>15367</v>
      </c>
      <c r="H424" s="3">
        <v>3</v>
      </c>
      <c r="I424" s="3">
        <v>77540</v>
      </c>
      <c r="J424" s="3">
        <f>IF(E424="Cold",1,0)</f>
        <v>0</v>
      </c>
      <c r="K424" s="3">
        <f>IF(E424="Hot",1,0)</f>
        <v>1</v>
      </c>
      <c r="L424" s="3">
        <v>1119</v>
      </c>
      <c r="M424" s="3">
        <v>82</v>
      </c>
      <c r="N424" s="4">
        <v>44822</v>
      </c>
      <c r="O424" s="10">
        <v>368673.94069999998</v>
      </c>
    </row>
    <row r="425" spans="1:15" x14ac:dyDescent="0.3">
      <c r="A425" s="2">
        <v>423</v>
      </c>
      <c r="B425" s="3" t="s">
        <v>57</v>
      </c>
      <c r="C425" s="3" t="s">
        <v>86</v>
      </c>
      <c r="D425" s="3" t="s">
        <v>18</v>
      </c>
      <c r="E425" s="3" t="s">
        <v>15</v>
      </c>
      <c r="F425" s="3">
        <f t="shared" si="6"/>
        <v>1</v>
      </c>
      <c r="G425" s="3">
        <v>20153</v>
      </c>
      <c r="H425" s="3">
        <v>6</v>
      </c>
      <c r="I425" s="3">
        <v>52355</v>
      </c>
      <c r="J425" s="3">
        <f>IF(E425="Cold",1,0)</f>
        <v>1</v>
      </c>
      <c r="K425" s="3">
        <f>IF(E425="Hot",1,0)</f>
        <v>0</v>
      </c>
      <c r="L425" s="3">
        <v>2911</v>
      </c>
      <c r="M425" s="3">
        <v>46</v>
      </c>
      <c r="N425" s="4">
        <v>45185</v>
      </c>
      <c r="O425" s="10">
        <v>409078.3174</v>
      </c>
    </row>
    <row r="426" spans="1:15" x14ac:dyDescent="0.3">
      <c r="A426" s="2">
        <v>424</v>
      </c>
      <c r="B426" s="3" t="s">
        <v>37</v>
      </c>
      <c r="C426" s="3" t="s">
        <v>114</v>
      </c>
      <c r="D426" s="3" t="s">
        <v>14</v>
      </c>
      <c r="E426" s="3" t="s">
        <v>23</v>
      </c>
      <c r="F426" s="3">
        <f t="shared" si="6"/>
        <v>0</v>
      </c>
      <c r="G426" s="3">
        <v>20841</v>
      </c>
      <c r="H426" s="3">
        <v>3</v>
      </c>
      <c r="I426" s="3">
        <v>99452</v>
      </c>
      <c r="J426" s="3">
        <f>IF(E426="Cold",1,0)</f>
        <v>0</v>
      </c>
      <c r="K426" s="3">
        <f>IF(E426="Hot",1,0)</f>
        <v>0</v>
      </c>
      <c r="L426" s="3">
        <v>2738</v>
      </c>
      <c r="M426" s="3">
        <v>99</v>
      </c>
      <c r="N426" s="4">
        <v>44750</v>
      </c>
      <c r="O426" s="10">
        <v>367316.75449999998</v>
      </c>
    </row>
    <row r="427" spans="1:15" x14ac:dyDescent="0.3">
      <c r="A427" s="2">
        <v>425</v>
      </c>
      <c r="B427" s="3" t="s">
        <v>40</v>
      </c>
      <c r="C427" s="3" t="s">
        <v>121</v>
      </c>
      <c r="D427" s="3" t="s">
        <v>14</v>
      </c>
      <c r="E427" s="3" t="s">
        <v>15</v>
      </c>
      <c r="F427" s="3">
        <f t="shared" si="6"/>
        <v>0</v>
      </c>
      <c r="G427" s="3">
        <v>3026</v>
      </c>
      <c r="H427" s="3">
        <v>5</v>
      </c>
      <c r="I427" s="3">
        <v>50971</v>
      </c>
      <c r="J427" s="3">
        <f>IF(E427="Cold",1,0)</f>
        <v>1</v>
      </c>
      <c r="K427" s="3">
        <f>IF(E427="Hot",1,0)</f>
        <v>0</v>
      </c>
      <c r="L427" s="3">
        <v>1519</v>
      </c>
      <c r="M427" s="3">
        <v>62</v>
      </c>
      <c r="N427" s="4">
        <v>43880</v>
      </c>
      <c r="O427" s="10">
        <v>312897.86910000001</v>
      </c>
    </row>
    <row r="428" spans="1:15" x14ac:dyDescent="0.3">
      <c r="A428" s="2">
        <v>426</v>
      </c>
      <c r="B428" s="3" t="s">
        <v>74</v>
      </c>
      <c r="C428" s="3" t="s">
        <v>153</v>
      </c>
      <c r="D428" s="3" t="s">
        <v>18</v>
      </c>
      <c r="E428" s="3" t="s">
        <v>23</v>
      </c>
      <c r="F428" s="3">
        <f t="shared" si="6"/>
        <v>1</v>
      </c>
      <c r="G428" s="3">
        <v>24371</v>
      </c>
      <c r="H428" s="3">
        <v>4</v>
      </c>
      <c r="I428" s="3">
        <v>57913</v>
      </c>
      <c r="J428" s="3">
        <f>IF(E428="Cold",1,0)</f>
        <v>0</v>
      </c>
      <c r="K428" s="3">
        <f>IF(E428="Hot",1,0)</f>
        <v>0</v>
      </c>
      <c r="L428" s="3">
        <v>1799</v>
      </c>
      <c r="M428" s="3">
        <v>52</v>
      </c>
      <c r="N428" s="4">
        <v>44906</v>
      </c>
      <c r="O428" s="10">
        <v>359532.59120000002</v>
      </c>
    </row>
    <row r="429" spans="1:15" x14ac:dyDescent="0.3">
      <c r="A429" s="2">
        <v>427</v>
      </c>
      <c r="B429" s="3" t="s">
        <v>26</v>
      </c>
      <c r="C429" s="3" t="s">
        <v>67</v>
      </c>
      <c r="D429" s="3" t="s">
        <v>18</v>
      </c>
      <c r="E429" s="3" t="s">
        <v>23</v>
      </c>
      <c r="F429" s="3">
        <f t="shared" si="6"/>
        <v>1</v>
      </c>
      <c r="G429" s="3">
        <v>5286</v>
      </c>
      <c r="H429" s="3">
        <v>8</v>
      </c>
      <c r="I429" s="3">
        <v>53803</v>
      </c>
      <c r="J429" s="3">
        <f>IF(E429="Cold",1,0)</f>
        <v>0</v>
      </c>
      <c r="K429" s="3">
        <f>IF(E429="Hot",1,0)</f>
        <v>0</v>
      </c>
      <c r="L429" s="3">
        <v>2137</v>
      </c>
      <c r="M429" s="3">
        <v>57</v>
      </c>
      <c r="N429" s="4">
        <v>45400</v>
      </c>
      <c r="O429" s="10">
        <v>367807.48670000001</v>
      </c>
    </row>
    <row r="430" spans="1:15" x14ac:dyDescent="0.3">
      <c r="A430" s="2">
        <v>428</v>
      </c>
      <c r="B430" s="3" t="s">
        <v>57</v>
      </c>
      <c r="C430" s="3" t="s">
        <v>58</v>
      </c>
      <c r="D430" s="3" t="s">
        <v>14</v>
      </c>
      <c r="E430" s="3" t="s">
        <v>23</v>
      </c>
      <c r="F430" s="3">
        <f t="shared" si="6"/>
        <v>0</v>
      </c>
      <c r="G430" s="3">
        <v>2916</v>
      </c>
      <c r="H430" s="3">
        <v>6</v>
      </c>
      <c r="I430" s="3">
        <v>51127</v>
      </c>
      <c r="J430" s="3">
        <f>IF(E430="Cold",1,0)</f>
        <v>0</v>
      </c>
      <c r="K430" s="3">
        <f>IF(E430="Hot",1,0)</f>
        <v>0</v>
      </c>
      <c r="L430" s="3">
        <v>1318</v>
      </c>
      <c r="M430" s="3">
        <v>74</v>
      </c>
      <c r="N430" s="4">
        <v>44016</v>
      </c>
      <c r="O430" s="10">
        <v>309435.81770000001</v>
      </c>
    </row>
    <row r="431" spans="1:15" x14ac:dyDescent="0.3">
      <c r="A431" s="2">
        <v>429</v>
      </c>
      <c r="B431" s="3" t="s">
        <v>35</v>
      </c>
      <c r="C431" s="3" t="s">
        <v>150</v>
      </c>
      <c r="D431" s="3" t="s">
        <v>18</v>
      </c>
      <c r="E431" s="3" t="s">
        <v>15</v>
      </c>
      <c r="F431" s="3">
        <f t="shared" si="6"/>
        <v>1</v>
      </c>
      <c r="G431" s="3">
        <v>5842</v>
      </c>
      <c r="H431" s="3">
        <v>2</v>
      </c>
      <c r="I431" s="3">
        <v>96168</v>
      </c>
      <c r="J431" s="3">
        <f>IF(E431="Cold",1,0)</f>
        <v>1</v>
      </c>
      <c r="K431" s="3">
        <f>IF(E431="Hot",1,0)</f>
        <v>0</v>
      </c>
      <c r="L431" s="3">
        <v>1201</v>
      </c>
      <c r="M431" s="3">
        <v>53</v>
      </c>
      <c r="N431" s="4">
        <v>44324</v>
      </c>
      <c r="O431" s="10">
        <v>318370.1715</v>
      </c>
    </row>
    <row r="432" spans="1:15" x14ac:dyDescent="0.3">
      <c r="A432" s="2">
        <v>430</v>
      </c>
      <c r="B432" s="3" t="s">
        <v>37</v>
      </c>
      <c r="C432" s="3" t="s">
        <v>61</v>
      </c>
      <c r="D432" s="3" t="s">
        <v>18</v>
      </c>
      <c r="E432" s="3" t="s">
        <v>21</v>
      </c>
      <c r="F432" s="3">
        <f t="shared" si="6"/>
        <v>1</v>
      </c>
      <c r="G432" s="3">
        <v>15575</v>
      </c>
      <c r="H432" s="3">
        <v>1</v>
      </c>
      <c r="I432" s="3">
        <v>97677</v>
      </c>
      <c r="J432" s="3">
        <f>IF(E432="Cold",1,0)</f>
        <v>0</v>
      </c>
      <c r="K432" s="3">
        <f>IF(E432="Hot",1,0)</f>
        <v>1</v>
      </c>
      <c r="L432" s="3">
        <v>1971</v>
      </c>
      <c r="M432" s="3">
        <v>91</v>
      </c>
      <c r="N432" s="4">
        <v>45406</v>
      </c>
      <c r="O432" s="10">
        <v>401085.47169999999</v>
      </c>
    </row>
    <row r="433" spans="1:15" x14ac:dyDescent="0.3">
      <c r="A433" s="2">
        <v>431</v>
      </c>
      <c r="B433" s="3" t="s">
        <v>35</v>
      </c>
      <c r="C433" s="3" t="s">
        <v>148</v>
      </c>
      <c r="D433" s="3" t="s">
        <v>14</v>
      </c>
      <c r="E433" s="3" t="s">
        <v>23</v>
      </c>
      <c r="F433" s="3">
        <f t="shared" si="6"/>
        <v>0</v>
      </c>
      <c r="G433" s="3">
        <v>28554</v>
      </c>
      <c r="H433" s="3">
        <v>6</v>
      </c>
      <c r="I433" s="3">
        <v>87298</v>
      </c>
      <c r="J433" s="3">
        <f>IF(E433="Cold",1,0)</f>
        <v>0</v>
      </c>
      <c r="K433" s="3">
        <f>IF(E433="Hot",1,0)</f>
        <v>0</v>
      </c>
      <c r="L433" s="3">
        <v>2048</v>
      </c>
      <c r="M433" s="3">
        <v>77</v>
      </c>
      <c r="N433" s="4">
        <v>45530</v>
      </c>
      <c r="O433" s="10">
        <v>350729.39039999997</v>
      </c>
    </row>
    <row r="434" spans="1:15" x14ac:dyDescent="0.3">
      <c r="A434" s="2">
        <v>432</v>
      </c>
      <c r="B434" s="3" t="s">
        <v>74</v>
      </c>
      <c r="C434" s="3" t="s">
        <v>89</v>
      </c>
      <c r="D434" s="3" t="s">
        <v>14</v>
      </c>
      <c r="E434" s="3" t="s">
        <v>23</v>
      </c>
      <c r="F434" s="3">
        <f t="shared" si="6"/>
        <v>0</v>
      </c>
      <c r="G434" s="3">
        <v>1456</v>
      </c>
      <c r="H434" s="3">
        <v>2</v>
      </c>
      <c r="I434" s="3">
        <v>94497</v>
      </c>
      <c r="J434" s="3">
        <f>IF(E434="Cold",1,0)</f>
        <v>0</v>
      </c>
      <c r="K434" s="3">
        <f>IF(E434="Hot",1,0)</f>
        <v>0</v>
      </c>
      <c r="L434" s="3">
        <v>2339</v>
      </c>
      <c r="M434" s="3">
        <v>48</v>
      </c>
      <c r="N434" s="4">
        <v>44845</v>
      </c>
      <c r="O434" s="10">
        <v>339901.32819999999</v>
      </c>
    </row>
    <row r="435" spans="1:15" x14ac:dyDescent="0.3">
      <c r="A435" s="2">
        <v>433</v>
      </c>
      <c r="B435" s="3" t="s">
        <v>37</v>
      </c>
      <c r="C435" s="3" t="s">
        <v>118</v>
      </c>
      <c r="D435" s="3" t="s">
        <v>18</v>
      </c>
      <c r="E435" s="3" t="s">
        <v>15</v>
      </c>
      <c r="F435" s="3">
        <f t="shared" si="6"/>
        <v>1</v>
      </c>
      <c r="G435" s="3">
        <v>29628</v>
      </c>
      <c r="H435" s="3">
        <v>4</v>
      </c>
      <c r="I435" s="3">
        <v>69008</v>
      </c>
      <c r="J435" s="3">
        <f>IF(E435="Cold",1,0)</f>
        <v>1</v>
      </c>
      <c r="K435" s="3">
        <f>IF(E435="Hot",1,0)</f>
        <v>0</v>
      </c>
      <c r="L435" s="3">
        <v>1161</v>
      </c>
      <c r="M435" s="3">
        <v>66</v>
      </c>
      <c r="N435" s="4">
        <v>45364</v>
      </c>
      <c r="O435" s="10">
        <v>366199.19809999998</v>
      </c>
    </row>
    <row r="436" spans="1:15" x14ac:dyDescent="0.3">
      <c r="A436" s="2">
        <v>434</v>
      </c>
      <c r="B436" s="3" t="s">
        <v>57</v>
      </c>
      <c r="C436" s="3" t="s">
        <v>116</v>
      </c>
      <c r="D436" s="3" t="s">
        <v>18</v>
      </c>
      <c r="E436" s="3" t="s">
        <v>15</v>
      </c>
      <c r="F436" s="3">
        <f t="shared" si="6"/>
        <v>1</v>
      </c>
      <c r="G436" s="3">
        <v>7935</v>
      </c>
      <c r="H436" s="3">
        <v>4</v>
      </c>
      <c r="I436" s="3">
        <v>67105</v>
      </c>
      <c r="J436" s="3">
        <f>IF(E436="Cold",1,0)</f>
        <v>1</v>
      </c>
      <c r="K436" s="3">
        <f>IF(E436="Hot",1,0)</f>
        <v>0</v>
      </c>
      <c r="L436" s="3">
        <v>2011</v>
      </c>
      <c r="M436" s="3">
        <v>61</v>
      </c>
      <c r="N436" s="4">
        <v>45004</v>
      </c>
      <c r="O436" s="10">
        <v>355517.40120000002</v>
      </c>
    </row>
    <row r="437" spans="1:15" x14ac:dyDescent="0.3">
      <c r="A437" s="2">
        <v>435</v>
      </c>
      <c r="B437" s="3" t="s">
        <v>72</v>
      </c>
      <c r="C437" s="3" t="s">
        <v>158</v>
      </c>
      <c r="D437" s="3" t="s">
        <v>14</v>
      </c>
      <c r="E437" s="3" t="s">
        <v>23</v>
      </c>
      <c r="F437" s="3">
        <f t="shared" si="6"/>
        <v>0</v>
      </c>
      <c r="G437" s="3">
        <v>10611</v>
      </c>
      <c r="H437" s="3">
        <v>8</v>
      </c>
      <c r="I437" s="3">
        <v>68302</v>
      </c>
      <c r="J437" s="3">
        <f>IF(E437="Cold",1,0)</f>
        <v>0</v>
      </c>
      <c r="K437" s="3">
        <f>IF(E437="Hot",1,0)</f>
        <v>0</v>
      </c>
      <c r="L437" s="3">
        <v>1424</v>
      </c>
      <c r="M437" s="3">
        <v>41</v>
      </c>
      <c r="N437" s="4">
        <v>44851</v>
      </c>
      <c r="O437" s="10">
        <v>306628.65649999998</v>
      </c>
    </row>
    <row r="438" spans="1:15" x14ac:dyDescent="0.3">
      <c r="A438" s="2">
        <v>436</v>
      </c>
      <c r="B438" s="3" t="s">
        <v>19</v>
      </c>
      <c r="C438" s="3" t="s">
        <v>199</v>
      </c>
      <c r="D438" s="3" t="s">
        <v>18</v>
      </c>
      <c r="E438" s="3" t="s">
        <v>15</v>
      </c>
      <c r="F438" s="3">
        <f t="shared" si="6"/>
        <v>1</v>
      </c>
      <c r="G438" s="3">
        <v>29050</v>
      </c>
      <c r="H438" s="3">
        <v>1</v>
      </c>
      <c r="I438" s="3">
        <v>70308</v>
      </c>
      <c r="J438" s="3">
        <f>IF(E438="Cold",1,0)</f>
        <v>1</v>
      </c>
      <c r="K438" s="3">
        <f>IF(E438="Hot",1,0)</f>
        <v>0</v>
      </c>
      <c r="L438" s="3">
        <v>1775</v>
      </c>
      <c r="M438" s="3">
        <v>64</v>
      </c>
      <c r="N438" s="4">
        <v>44991</v>
      </c>
      <c r="O438" s="10">
        <v>357688.65460000001</v>
      </c>
    </row>
    <row r="439" spans="1:15" x14ac:dyDescent="0.3">
      <c r="A439" s="2">
        <v>437</v>
      </c>
      <c r="B439" s="3" t="s">
        <v>29</v>
      </c>
      <c r="C439" s="3" t="s">
        <v>164</v>
      </c>
      <c r="D439" s="3" t="s">
        <v>14</v>
      </c>
      <c r="E439" s="3" t="s">
        <v>15</v>
      </c>
      <c r="F439" s="3">
        <f t="shared" si="6"/>
        <v>0</v>
      </c>
      <c r="G439" s="3">
        <v>15808</v>
      </c>
      <c r="H439" s="3">
        <v>5</v>
      </c>
      <c r="I439" s="3">
        <v>51900</v>
      </c>
      <c r="J439" s="3">
        <f>IF(E439="Cold",1,0)</f>
        <v>1</v>
      </c>
      <c r="K439" s="3">
        <f>IF(E439="Hot",1,0)</f>
        <v>0</v>
      </c>
      <c r="L439" s="3">
        <v>1692</v>
      </c>
      <c r="M439" s="3">
        <v>71</v>
      </c>
      <c r="N439" s="4">
        <v>44916</v>
      </c>
      <c r="O439" s="10">
        <v>319715.47360000003</v>
      </c>
    </row>
    <row r="440" spans="1:15" x14ac:dyDescent="0.3">
      <c r="A440" s="2">
        <v>438</v>
      </c>
      <c r="B440" s="3" t="s">
        <v>19</v>
      </c>
      <c r="C440" s="3" t="s">
        <v>179</v>
      </c>
      <c r="D440" s="3" t="s">
        <v>14</v>
      </c>
      <c r="E440" s="3" t="s">
        <v>21</v>
      </c>
      <c r="F440" s="3">
        <f t="shared" si="6"/>
        <v>0</v>
      </c>
      <c r="G440" s="3">
        <v>21660</v>
      </c>
      <c r="H440" s="3">
        <v>5</v>
      </c>
      <c r="I440" s="3">
        <v>51656</v>
      </c>
      <c r="J440" s="3">
        <f>IF(E440="Cold",1,0)</f>
        <v>0</v>
      </c>
      <c r="K440" s="3">
        <f>IF(E440="Hot",1,0)</f>
        <v>1</v>
      </c>
      <c r="L440" s="3">
        <v>1252</v>
      </c>
      <c r="M440" s="3">
        <v>50</v>
      </c>
      <c r="N440" s="4">
        <v>44052</v>
      </c>
      <c r="O440" s="10">
        <v>311415.64179999998</v>
      </c>
    </row>
    <row r="441" spans="1:15" x14ac:dyDescent="0.3">
      <c r="A441" s="2">
        <v>439</v>
      </c>
      <c r="B441" s="3" t="s">
        <v>57</v>
      </c>
      <c r="C441" s="3" t="s">
        <v>67</v>
      </c>
      <c r="D441" s="3" t="s">
        <v>14</v>
      </c>
      <c r="E441" s="3" t="s">
        <v>21</v>
      </c>
      <c r="F441" s="3">
        <f t="shared" si="6"/>
        <v>0</v>
      </c>
      <c r="G441" s="3">
        <v>3907</v>
      </c>
      <c r="H441" s="3">
        <v>2</v>
      </c>
      <c r="I441" s="3">
        <v>70514</v>
      </c>
      <c r="J441" s="3">
        <f>IF(E441="Cold",1,0)</f>
        <v>0</v>
      </c>
      <c r="K441" s="3">
        <f>IF(E441="Hot",1,0)</f>
        <v>1</v>
      </c>
      <c r="L441" s="3">
        <v>1868</v>
      </c>
      <c r="M441" s="3">
        <v>44</v>
      </c>
      <c r="N441" s="4">
        <v>44216</v>
      </c>
      <c r="O441" s="10">
        <v>342319.6875</v>
      </c>
    </row>
    <row r="442" spans="1:15" x14ac:dyDescent="0.3">
      <c r="A442" s="2">
        <v>440</v>
      </c>
      <c r="B442" s="3" t="s">
        <v>28</v>
      </c>
      <c r="C442" s="3" t="s">
        <v>181</v>
      </c>
      <c r="D442" s="3" t="s">
        <v>14</v>
      </c>
      <c r="E442" s="3" t="s">
        <v>23</v>
      </c>
      <c r="F442" s="3">
        <f t="shared" si="6"/>
        <v>0</v>
      </c>
      <c r="G442" s="3">
        <v>10038</v>
      </c>
      <c r="H442" s="3">
        <v>0</v>
      </c>
      <c r="I442" s="3">
        <v>76091</v>
      </c>
      <c r="J442" s="3">
        <f>IF(E442="Cold",1,0)</f>
        <v>0</v>
      </c>
      <c r="K442" s="3">
        <f>IF(E442="Hot",1,0)</f>
        <v>0</v>
      </c>
      <c r="L442" s="3">
        <v>2329</v>
      </c>
      <c r="M442" s="3">
        <v>80</v>
      </c>
      <c r="N442" s="4">
        <v>44172</v>
      </c>
      <c r="O442" s="10">
        <v>363702.91800000001</v>
      </c>
    </row>
    <row r="443" spans="1:15" x14ac:dyDescent="0.3">
      <c r="A443" s="2">
        <v>441</v>
      </c>
      <c r="B443" s="3" t="s">
        <v>26</v>
      </c>
      <c r="C443" s="3" t="s">
        <v>69</v>
      </c>
      <c r="D443" s="3" t="s">
        <v>14</v>
      </c>
      <c r="E443" s="3" t="s">
        <v>15</v>
      </c>
      <c r="F443" s="3">
        <f t="shared" si="6"/>
        <v>0</v>
      </c>
      <c r="G443" s="3">
        <v>19953</v>
      </c>
      <c r="H443" s="3">
        <v>6</v>
      </c>
      <c r="I443" s="3">
        <v>54468</v>
      </c>
      <c r="J443" s="3">
        <f>IF(E443="Cold",1,0)</f>
        <v>1</v>
      </c>
      <c r="K443" s="3">
        <f>IF(E443="Hot",1,0)</f>
        <v>0</v>
      </c>
      <c r="L443" s="3">
        <v>2630</v>
      </c>
      <c r="M443" s="3">
        <v>58</v>
      </c>
      <c r="N443" s="4">
        <v>44272</v>
      </c>
      <c r="O443" s="10">
        <v>328911.81880000001</v>
      </c>
    </row>
    <row r="444" spans="1:15" x14ac:dyDescent="0.3">
      <c r="A444" s="2">
        <v>442</v>
      </c>
      <c r="B444" s="3" t="s">
        <v>53</v>
      </c>
      <c r="C444" s="3" t="s">
        <v>197</v>
      </c>
      <c r="D444" s="3" t="s">
        <v>14</v>
      </c>
      <c r="E444" s="3" t="s">
        <v>15</v>
      </c>
      <c r="F444" s="3">
        <f t="shared" si="6"/>
        <v>0</v>
      </c>
      <c r="G444" s="3">
        <v>12026</v>
      </c>
      <c r="H444" s="3">
        <v>7</v>
      </c>
      <c r="I444" s="3">
        <v>70708</v>
      </c>
      <c r="J444" s="3">
        <f>IF(E444="Cold",1,0)</f>
        <v>1</v>
      </c>
      <c r="K444" s="3">
        <f>IF(E444="Hot",1,0)</f>
        <v>0</v>
      </c>
      <c r="L444" s="3">
        <v>2461</v>
      </c>
      <c r="M444" s="3">
        <v>78</v>
      </c>
      <c r="N444" s="4">
        <v>44551</v>
      </c>
      <c r="O444" s="10">
        <v>337115.9252</v>
      </c>
    </row>
    <row r="445" spans="1:15" x14ac:dyDescent="0.3">
      <c r="A445" s="2">
        <v>443</v>
      </c>
      <c r="B445" s="3" t="s">
        <v>33</v>
      </c>
      <c r="C445" s="3" t="s">
        <v>80</v>
      </c>
      <c r="D445" s="3" t="s">
        <v>14</v>
      </c>
      <c r="E445" s="3" t="s">
        <v>23</v>
      </c>
      <c r="F445" s="3">
        <f t="shared" si="6"/>
        <v>0</v>
      </c>
      <c r="G445" s="3">
        <v>4968</v>
      </c>
      <c r="H445" s="3">
        <v>7</v>
      </c>
      <c r="I445" s="3">
        <v>74163</v>
      </c>
      <c r="J445" s="3">
        <f>IF(E445="Cold",1,0)</f>
        <v>0</v>
      </c>
      <c r="K445" s="3">
        <f>IF(E445="Hot",1,0)</f>
        <v>0</v>
      </c>
      <c r="L445" s="3">
        <v>1141</v>
      </c>
      <c r="M445" s="3">
        <v>53</v>
      </c>
      <c r="N445" s="4">
        <v>43888</v>
      </c>
      <c r="O445" s="10">
        <v>297591.98839999997</v>
      </c>
    </row>
    <row r="446" spans="1:15" x14ac:dyDescent="0.3">
      <c r="A446" s="2">
        <v>444</v>
      </c>
      <c r="B446" s="3" t="s">
        <v>44</v>
      </c>
      <c r="C446" s="3" t="s">
        <v>201</v>
      </c>
      <c r="D446" s="3" t="s">
        <v>18</v>
      </c>
      <c r="E446" s="3" t="s">
        <v>23</v>
      </c>
      <c r="F446" s="3">
        <f t="shared" si="6"/>
        <v>1</v>
      </c>
      <c r="G446" s="3">
        <v>20025</v>
      </c>
      <c r="H446" s="3">
        <v>5</v>
      </c>
      <c r="I446" s="3">
        <v>89136</v>
      </c>
      <c r="J446" s="3">
        <f>IF(E446="Cold",1,0)</f>
        <v>0</v>
      </c>
      <c r="K446" s="3">
        <f>IF(E446="Hot",1,0)</f>
        <v>0</v>
      </c>
      <c r="L446" s="3">
        <v>2193</v>
      </c>
      <c r="M446" s="3">
        <v>31</v>
      </c>
      <c r="N446" s="4">
        <v>45100</v>
      </c>
      <c r="O446" s="10">
        <v>357461.62050000002</v>
      </c>
    </row>
    <row r="447" spans="1:15" x14ac:dyDescent="0.3">
      <c r="A447" s="2">
        <v>445</v>
      </c>
      <c r="B447" s="3" t="s">
        <v>19</v>
      </c>
      <c r="C447" s="3" t="s">
        <v>179</v>
      </c>
      <c r="D447" s="3" t="s">
        <v>14</v>
      </c>
      <c r="E447" s="3" t="s">
        <v>15</v>
      </c>
      <c r="F447" s="3">
        <f t="shared" si="6"/>
        <v>0</v>
      </c>
      <c r="G447" s="3">
        <v>12373</v>
      </c>
      <c r="H447" s="3">
        <v>9</v>
      </c>
      <c r="I447" s="3">
        <v>66646</v>
      </c>
      <c r="J447" s="3">
        <f>IF(E447="Cold",1,0)</f>
        <v>1</v>
      </c>
      <c r="K447" s="3">
        <f>IF(E447="Hot",1,0)</f>
        <v>0</v>
      </c>
      <c r="L447" s="3">
        <v>1485</v>
      </c>
      <c r="M447" s="3">
        <v>83</v>
      </c>
      <c r="N447" s="4">
        <v>44854</v>
      </c>
      <c r="O447" s="10">
        <v>322842.15289999999</v>
      </c>
    </row>
    <row r="448" spans="1:15" x14ac:dyDescent="0.3">
      <c r="A448" s="2">
        <v>446</v>
      </c>
      <c r="B448" s="3" t="s">
        <v>55</v>
      </c>
      <c r="C448" s="3" t="s">
        <v>175</v>
      </c>
      <c r="D448" s="3" t="s">
        <v>14</v>
      </c>
      <c r="E448" s="3" t="s">
        <v>23</v>
      </c>
      <c r="F448" s="3">
        <f t="shared" si="6"/>
        <v>0</v>
      </c>
      <c r="G448" s="3">
        <v>14094</v>
      </c>
      <c r="H448" s="3">
        <v>8</v>
      </c>
      <c r="I448" s="3">
        <v>95876</v>
      </c>
      <c r="J448" s="3">
        <f>IF(E448="Cold",1,0)</f>
        <v>0</v>
      </c>
      <c r="K448" s="3">
        <f>IF(E448="Hot",1,0)</f>
        <v>0</v>
      </c>
      <c r="L448" s="3">
        <v>1770</v>
      </c>
      <c r="M448" s="3">
        <v>50</v>
      </c>
      <c r="N448" s="4">
        <v>43950</v>
      </c>
      <c r="O448" s="10">
        <v>318577.36959999998</v>
      </c>
    </row>
    <row r="449" spans="1:15" x14ac:dyDescent="0.3">
      <c r="A449" s="2">
        <v>447</v>
      </c>
      <c r="B449" s="3" t="s">
        <v>37</v>
      </c>
      <c r="C449" s="3" t="s">
        <v>202</v>
      </c>
      <c r="D449" s="3" t="s">
        <v>14</v>
      </c>
      <c r="E449" s="3" t="s">
        <v>23</v>
      </c>
      <c r="F449" s="3">
        <f t="shared" si="6"/>
        <v>0</v>
      </c>
      <c r="G449" s="3">
        <v>9666</v>
      </c>
      <c r="H449" s="3">
        <v>5</v>
      </c>
      <c r="I449" s="3">
        <v>86861</v>
      </c>
      <c r="J449" s="3">
        <f>IF(E449="Cold",1,0)</f>
        <v>0</v>
      </c>
      <c r="K449" s="3">
        <f>IF(E449="Hot",1,0)</f>
        <v>0</v>
      </c>
      <c r="L449" s="3">
        <v>2598</v>
      </c>
      <c r="M449" s="3">
        <v>61</v>
      </c>
      <c r="N449" s="4">
        <v>44290</v>
      </c>
      <c r="O449" s="10">
        <v>345106.1925</v>
      </c>
    </row>
    <row r="450" spans="1:15" x14ac:dyDescent="0.3">
      <c r="A450" s="2">
        <v>448</v>
      </c>
      <c r="B450" s="3" t="s">
        <v>37</v>
      </c>
      <c r="C450" s="3" t="s">
        <v>61</v>
      </c>
      <c r="D450" s="3" t="s">
        <v>14</v>
      </c>
      <c r="E450" s="3" t="s">
        <v>23</v>
      </c>
      <c r="F450" s="3">
        <f t="shared" si="6"/>
        <v>0</v>
      </c>
      <c r="G450" s="3">
        <v>23849</v>
      </c>
      <c r="H450" s="3">
        <v>1</v>
      </c>
      <c r="I450" s="3">
        <v>82701</v>
      </c>
      <c r="J450" s="3">
        <f>IF(E450="Cold",1,0)</f>
        <v>0</v>
      </c>
      <c r="K450" s="3">
        <f>IF(E450="Hot",1,0)</f>
        <v>0</v>
      </c>
      <c r="L450" s="3">
        <v>2853</v>
      </c>
      <c r="M450" s="3">
        <v>56</v>
      </c>
      <c r="N450" s="4">
        <v>44374</v>
      </c>
      <c r="O450" s="10">
        <v>355835.38799999998</v>
      </c>
    </row>
    <row r="451" spans="1:15" x14ac:dyDescent="0.3">
      <c r="A451" s="2">
        <v>449</v>
      </c>
      <c r="B451" s="3" t="s">
        <v>16</v>
      </c>
      <c r="C451" s="3" t="s">
        <v>22</v>
      </c>
      <c r="D451" s="3" t="s">
        <v>18</v>
      </c>
      <c r="E451" s="3" t="s">
        <v>15</v>
      </c>
      <c r="F451" s="3">
        <f t="shared" ref="F451:F514" si="7">IF(D451=$F$1,1,0)</f>
        <v>1</v>
      </c>
      <c r="G451" s="3">
        <v>9148</v>
      </c>
      <c r="H451" s="3">
        <v>2</v>
      </c>
      <c r="I451" s="3">
        <v>50561</v>
      </c>
      <c r="J451" s="3">
        <f>IF(E451="Cold",1,0)</f>
        <v>1</v>
      </c>
      <c r="K451" s="3">
        <f>IF(E451="Hot",1,0)</f>
        <v>0</v>
      </c>
      <c r="L451" s="3">
        <v>2110</v>
      </c>
      <c r="M451" s="3">
        <v>45</v>
      </c>
      <c r="N451" s="4">
        <v>44094</v>
      </c>
      <c r="O451" s="10">
        <v>366952.10519999999</v>
      </c>
    </row>
    <row r="452" spans="1:15" x14ac:dyDescent="0.3">
      <c r="A452" s="2">
        <v>450</v>
      </c>
      <c r="B452" s="3" t="s">
        <v>31</v>
      </c>
      <c r="C452" s="3" t="s">
        <v>32</v>
      </c>
      <c r="D452" s="3" t="s">
        <v>14</v>
      </c>
      <c r="E452" s="3" t="s">
        <v>23</v>
      </c>
      <c r="F452" s="3">
        <f t="shared" si="7"/>
        <v>0</v>
      </c>
      <c r="G452" s="3">
        <v>25248</v>
      </c>
      <c r="H452" s="3">
        <v>2</v>
      </c>
      <c r="I452" s="3">
        <v>59736</v>
      </c>
      <c r="J452" s="3">
        <f>IF(E452="Cold",1,0)</f>
        <v>0</v>
      </c>
      <c r="K452" s="3">
        <f>IF(E452="Hot",1,0)</f>
        <v>0</v>
      </c>
      <c r="L452" s="3">
        <v>2661</v>
      </c>
      <c r="M452" s="3">
        <v>23</v>
      </c>
      <c r="N452" s="4">
        <v>43980</v>
      </c>
      <c r="O452" s="10">
        <v>350573.1447</v>
      </c>
    </row>
    <row r="453" spans="1:15" x14ac:dyDescent="0.3">
      <c r="A453" s="2">
        <v>451</v>
      </c>
      <c r="B453" s="3" t="s">
        <v>31</v>
      </c>
      <c r="C453" s="3" t="s">
        <v>81</v>
      </c>
      <c r="D453" s="3" t="s">
        <v>14</v>
      </c>
      <c r="E453" s="3" t="s">
        <v>23</v>
      </c>
      <c r="F453" s="3">
        <f t="shared" si="7"/>
        <v>0</v>
      </c>
      <c r="G453" s="3">
        <v>24983</v>
      </c>
      <c r="H453" s="3">
        <v>4</v>
      </c>
      <c r="I453" s="3">
        <v>51860</v>
      </c>
      <c r="J453" s="3">
        <f>IF(E453="Cold",1,0)</f>
        <v>0</v>
      </c>
      <c r="K453" s="3">
        <f>IF(E453="Hot",1,0)</f>
        <v>0</v>
      </c>
      <c r="L453" s="3">
        <v>1352</v>
      </c>
      <c r="M453" s="3">
        <v>87</v>
      </c>
      <c r="N453" s="4">
        <v>45352</v>
      </c>
      <c r="O453" s="10">
        <v>333331.28110000002</v>
      </c>
    </row>
    <row r="454" spans="1:15" x14ac:dyDescent="0.3">
      <c r="A454" s="2">
        <v>452</v>
      </c>
      <c r="B454" s="3" t="s">
        <v>31</v>
      </c>
      <c r="C454" s="3" t="s">
        <v>186</v>
      </c>
      <c r="D454" s="3" t="s">
        <v>18</v>
      </c>
      <c r="E454" s="3" t="s">
        <v>23</v>
      </c>
      <c r="F454" s="3">
        <f t="shared" si="7"/>
        <v>1</v>
      </c>
      <c r="G454" s="3">
        <v>11310</v>
      </c>
      <c r="H454" s="3">
        <v>5</v>
      </c>
      <c r="I454" s="3">
        <v>80565</v>
      </c>
      <c r="J454" s="3">
        <f>IF(E454="Cold",1,0)</f>
        <v>0</v>
      </c>
      <c r="K454" s="3">
        <f>IF(E454="Hot",1,0)</f>
        <v>0</v>
      </c>
      <c r="L454" s="3">
        <v>1149</v>
      </c>
      <c r="M454" s="3">
        <v>93</v>
      </c>
      <c r="N454" s="4">
        <v>45340</v>
      </c>
      <c r="O454" s="10">
        <v>354928.10989999998</v>
      </c>
    </row>
    <row r="455" spans="1:15" x14ac:dyDescent="0.3">
      <c r="A455" s="2">
        <v>453</v>
      </c>
      <c r="B455" s="3" t="s">
        <v>12</v>
      </c>
      <c r="C455" s="3" t="s">
        <v>126</v>
      </c>
      <c r="D455" s="3" t="s">
        <v>14</v>
      </c>
      <c r="E455" s="3" t="s">
        <v>23</v>
      </c>
      <c r="F455" s="3">
        <f t="shared" si="7"/>
        <v>0</v>
      </c>
      <c r="G455" s="3">
        <v>24928</v>
      </c>
      <c r="H455" s="3">
        <v>6</v>
      </c>
      <c r="I455" s="3">
        <v>75092</v>
      </c>
      <c r="J455" s="3">
        <f>IF(E455="Cold",1,0)</f>
        <v>0</v>
      </c>
      <c r="K455" s="3">
        <f>IF(E455="Hot",1,0)</f>
        <v>0</v>
      </c>
      <c r="L455" s="3">
        <v>2594</v>
      </c>
      <c r="M455" s="3">
        <v>83</v>
      </c>
      <c r="N455" s="4">
        <v>44235</v>
      </c>
      <c r="O455" s="10">
        <v>344871.3371</v>
      </c>
    </row>
    <row r="456" spans="1:15" x14ac:dyDescent="0.3">
      <c r="A456" s="2">
        <v>454</v>
      </c>
      <c r="B456" s="3" t="s">
        <v>28</v>
      </c>
      <c r="C456" s="3" t="s">
        <v>102</v>
      </c>
      <c r="D456" s="3" t="s">
        <v>18</v>
      </c>
      <c r="E456" s="3" t="s">
        <v>23</v>
      </c>
      <c r="F456" s="3">
        <f t="shared" si="7"/>
        <v>1</v>
      </c>
      <c r="G456" s="3">
        <v>24320</v>
      </c>
      <c r="H456" s="3">
        <v>0</v>
      </c>
      <c r="I456" s="3">
        <v>86719</v>
      </c>
      <c r="J456" s="3">
        <f>IF(E456="Cold",1,0)</f>
        <v>0</v>
      </c>
      <c r="K456" s="3">
        <f>IF(E456="Hot",1,0)</f>
        <v>0</v>
      </c>
      <c r="L456" s="3">
        <v>1432</v>
      </c>
      <c r="M456" s="3">
        <v>40</v>
      </c>
      <c r="N456" s="4">
        <v>45291</v>
      </c>
      <c r="O456" s="10">
        <v>348266.61129999999</v>
      </c>
    </row>
    <row r="457" spans="1:15" x14ac:dyDescent="0.3">
      <c r="A457" s="2">
        <v>455</v>
      </c>
      <c r="B457" s="3" t="s">
        <v>55</v>
      </c>
      <c r="C457" s="3" t="s">
        <v>169</v>
      </c>
      <c r="D457" s="3" t="s">
        <v>14</v>
      </c>
      <c r="E457" s="3" t="s">
        <v>21</v>
      </c>
      <c r="F457" s="3">
        <f t="shared" si="7"/>
        <v>0</v>
      </c>
      <c r="G457" s="3">
        <v>18447</v>
      </c>
      <c r="H457" s="3">
        <v>2</v>
      </c>
      <c r="I457" s="3">
        <v>92445</v>
      </c>
      <c r="J457" s="3">
        <f>IF(E457="Cold",1,0)</f>
        <v>0</v>
      </c>
      <c r="K457" s="3">
        <f>IF(E457="Hot",1,0)</f>
        <v>1</v>
      </c>
      <c r="L457" s="3">
        <v>1195</v>
      </c>
      <c r="M457" s="3">
        <v>73</v>
      </c>
      <c r="N457" s="4">
        <v>44615</v>
      </c>
      <c r="O457" s="10">
        <v>344539.99729999999</v>
      </c>
    </row>
    <row r="458" spans="1:15" x14ac:dyDescent="0.3">
      <c r="A458" s="2">
        <v>456</v>
      </c>
      <c r="B458" s="3" t="s">
        <v>24</v>
      </c>
      <c r="C458" s="3" t="s">
        <v>100</v>
      </c>
      <c r="D458" s="3" t="s">
        <v>14</v>
      </c>
      <c r="E458" s="3" t="s">
        <v>15</v>
      </c>
      <c r="F458" s="3">
        <f t="shared" si="7"/>
        <v>0</v>
      </c>
      <c r="G458" s="3">
        <v>8037</v>
      </c>
      <c r="H458" s="3">
        <v>1</v>
      </c>
      <c r="I458" s="3">
        <v>53732</v>
      </c>
      <c r="J458" s="3">
        <f>IF(E458="Cold",1,0)</f>
        <v>1</v>
      </c>
      <c r="K458" s="3">
        <f>IF(E458="Hot",1,0)</f>
        <v>0</v>
      </c>
      <c r="L458" s="3">
        <v>1735</v>
      </c>
      <c r="M458" s="3">
        <v>81</v>
      </c>
      <c r="N458" s="4">
        <v>45505</v>
      </c>
      <c r="O458" s="10">
        <v>324120.08110000001</v>
      </c>
    </row>
    <row r="459" spans="1:15" x14ac:dyDescent="0.3">
      <c r="A459" s="2">
        <v>457</v>
      </c>
      <c r="B459" s="3" t="s">
        <v>31</v>
      </c>
      <c r="C459" s="3" t="s">
        <v>172</v>
      </c>
      <c r="D459" s="3" t="s">
        <v>14</v>
      </c>
      <c r="E459" s="3" t="s">
        <v>21</v>
      </c>
      <c r="F459" s="3">
        <f t="shared" si="7"/>
        <v>0</v>
      </c>
      <c r="G459" s="3">
        <v>28174</v>
      </c>
      <c r="H459" s="3">
        <v>5</v>
      </c>
      <c r="I459" s="3">
        <v>97245</v>
      </c>
      <c r="J459" s="3">
        <f>IF(E459="Cold",1,0)</f>
        <v>0</v>
      </c>
      <c r="K459" s="3">
        <f>IF(E459="Hot",1,0)</f>
        <v>1</v>
      </c>
      <c r="L459" s="3">
        <v>2831</v>
      </c>
      <c r="M459" s="3">
        <v>95</v>
      </c>
      <c r="N459" s="4">
        <v>44919</v>
      </c>
      <c r="O459" s="10">
        <v>377279.71389999997</v>
      </c>
    </row>
    <row r="460" spans="1:15" x14ac:dyDescent="0.3">
      <c r="A460" s="2">
        <v>458</v>
      </c>
      <c r="B460" s="3" t="s">
        <v>12</v>
      </c>
      <c r="C460" s="3" t="s">
        <v>13</v>
      </c>
      <c r="D460" s="3" t="s">
        <v>18</v>
      </c>
      <c r="E460" s="3" t="s">
        <v>15</v>
      </c>
      <c r="F460" s="3">
        <f t="shared" si="7"/>
        <v>1</v>
      </c>
      <c r="G460" s="3">
        <v>15259</v>
      </c>
      <c r="H460" s="3">
        <v>1</v>
      </c>
      <c r="I460" s="3">
        <v>88582</v>
      </c>
      <c r="J460" s="3">
        <f>IF(E460="Cold",1,0)</f>
        <v>1</v>
      </c>
      <c r="K460" s="3">
        <f>IF(E460="Hot",1,0)</f>
        <v>0</v>
      </c>
      <c r="L460" s="3">
        <v>2982</v>
      </c>
      <c r="M460" s="3">
        <v>25</v>
      </c>
      <c r="N460" s="4">
        <v>44562</v>
      </c>
      <c r="O460" s="10">
        <v>343529.9118</v>
      </c>
    </row>
    <row r="461" spans="1:15" x14ac:dyDescent="0.3">
      <c r="A461" s="2">
        <v>459</v>
      </c>
      <c r="B461" s="3" t="s">
        <v>108</v>
      </c>
      <c r="C461" s="3" t="s">
        <v>203</v>
      </c>
      <c r="D461" s="3" t="s">
        <v>14</v>
      </c>
      <c r="E461" s="3" t="s">
        <v>23</v>
      </c>
      <c r="F461" s="3">
        <f t="shared" si="7"/>
        <v>0</v>
      </c>
      <c r="G461" s="3">
        <v>28477</v>
      </c>
      <c r="H461" s="3">
        <v>6</v>
      </c>
      <c r="I461" s="3">
        <v>86413</v>
      </c>
      <c r="J461" s="3">
        <f>IF(E461="Cold",1,0)</f>
        <v>0</v>
      </c>
      <c r="K461" s="3">
        <f>IF(E461="Hot",1,0)</f>
        <v>0</v>
      </c>
      <c r="L461" s="3">
        <v>2424</v>
      </c>
      <c r="M461" s="3">
        <v>59</v>
      </c>
      <c r="N461" s="4">
        <v>44516</v>
      </c>
      <c r="O461" s="10">
        <v>334163.2549</v>
      </c>
    </row>
    <row r="462" spans="1:15" x14ac:dyDescent="0.3">
      <c r="A462" s="2">
        <v>460</v>
      </c>
      <c r="B462" s="3" t="s">
        <v>29</v>
      </c>
      <c r="C462" s="3" t="s">
        <v>59</v>
      </c>
      <c r="D462" s="3" t="s">
        <v>14</v>
      </c>
      <c r="E462" s="3" t="s">
        <v>21</v>
      </c>
      <c r="F462" s="3">
        <f t="shared" si="7"/>
        <v>0</v>
      </c>
      <c r="G462" s="3">
        <v>23376</v>
      </c>
      <c r="H462" s="3">
        <v>4</v>
      </c>
      <c r="I462" s="3">
        <v>71683</v>
      </c>
      <c r="J462" s="3">
        <f>IF(E462="Cold",1,0)</f>
        <v>0</v>
      </c>
      <c r="K462" s="3">
        <f>IF(E462="Hot",1,0)</f>
        <v>1</v>
      </c>
      <c r="L462" s="3">
        <v>1974</v>
      </c>
      <c r="M462" s="3">
        <v>72</v>
      </c>
      <c r="N462" s="4">
        <v>44310</v>
      </c>
      <c r="O462" s="10">
        <v>336012.27600000001</v>
      </c>
    </row>
    <row r="463" spans="1:15" x14ac:dyDescent="0.3">
      <c r="A463" s="2">
        <v>461</v>
      </c>
      <c r="B463" s="3" t="s">
        <v>108</v>
      </c>
      <c r="C463" s="3" t="s">
        <v>142</v>
      </c>
      <c r="D463" s="3" t="s">
        <v>18</v>
      </c>
      <c r="E463" s="3" t="s">
        <v>21</v>
      </c>
      <c r="F463" s="3">
        <f t="shared" si="7"/>
        <v>1</v>
      </c>
      <c r="G463" s="3">
        <v>11772</v>
      </c>
      <c r="H463" s="3">
        <v>2</v>
      </c>
      <c r="I463" s="3">
        <v>78641</v>
      </c>
      <c r="J463" s="3">
        <f>IF(E463="Cold",1,0)</f>
        <v>0</v>
      </c>
      <c r="K463" s="3">
        <f>IF(E463="Hot",1,0)</f>
        <v>1</v>
      </c>
      <c r="L463" s="3">
        <v>1471</v>
      </c>
      <c r="M463" s="3">
        <v>92</v>
      </c>
      <c r="N463" s="4">
        <v>45176</v>
      </c>
      <c r="O463" s="10">
        <v>389862.70510000002</v>
      </c>
    </row>
    <row r="464" spans="1:15" x14ac:dyDescent="0.3">
      <c r="A464" s="2">
        <v>462</v>
      </c>
      <c r="B464" s="3" t="s">
        <v>29</v>
      </c>
      <c r="C464" s="3" t="s">
        <v>59</v>
      </c>
      <c r="D464" s="3" t="s">
        <v>14</v>
      </c>
      <c r="E464" s="3" t="s">
        <v>21</v>
      </c>
      <c r="F464" s="3">
        <f t="shared" si="7"/>
        <v>0</v>
      </c>
      <c r="G464" s="3">
        <v>14099</v>
      </c>
      <c r="H464" s="3">
        <v>8</v>
      </c>
      <c r="I464" s="3">
        <v>57482</v>
      </c>
      <c r="J464" s="3">
        <f>IF(E464="Cold",1,0)</f>
        <v>0</v>
      </c>
      <c r="K464" s="3">
        <f>IF(E464="Hot",1,0)</f>
        <v>1</v>
      </c>
      <c r="L464" s="3">
        <v>2466</v>
      </c>
      <c r="M464" s="3">
        <v>67</v>
      </c>
      <c r="N464" s="4">
        <v>44779</v>
      </c>
      <c r="O464" s="10">
        <v>351931.68089999998</v>
      </c>
    </row>
    <row r="465" spans="1:15" x14ac:dyDescent="0.3">
      <c r="A465" s="2">
        <v>463</v>
      </c>
      <c r="B465" s="3" t="s">
        <v>53</v>
      </c>
      <c r="C465" s="3" t="s">
        <v>152</v>
      </c>
      <c r="D465" s="3" t="s">
        <v>18</v>
      </c>
      <c r="E465" s="3" t="s">
        <v>23</v>
      </c>
      <c r="F465" s="3">
        <f t="shared" si="7"/>
        <v>1</v>
      </c>
      <c r="G465" s="3">
        <v>2094</v>
      </c>
      <c r="H465" s="3">
        <v>3</v>
      </c>
      <c r="I465" s="3">
        <v>82115</v>
      </c>
      <c r="J465" s="3">
        <f>IF(E465="Cold",1,0)</f>
        <v>0</v>
      </c>
      <c r="K465" s="3">
        <f>IF(E465="Hot",1,0)</f>
        <v>0</v>
      </c>
      <c r="L465" s="3">
        <v>2676</v>
      </c>
      <c r="M465" s="3">
        <v>48</v>
      </c>
      <c r="N465" s="4">
        <v>44718</v>
      </c>
      <c r="O465" s="10">
        <v>377779.73749999999</v>
      </c>
    </row>
    <row r="466" spans="1:15" x14ac:dyDescent="0.3">
      <c r="A466" s="2">
        <v>464</v>
      </c>
      <c r="B466" s="3" t="s">
        <v>37</v>
      </c>
      <c r="C466" s="3" t="s">
        <v>204</v>
      </c>
      <c r="D466" s="3" t="s">
        <v>18</v>
      </c>
      <c r="E466" s="3" t="s">
        <v>21</v>
      </c>
      <c r="F466" s="3">
        <f t="shared" si="7"/>
        <v>1</v>
      </c>
      <c r="G466" s="3">
        <v>938</v>
      </c>
      <c r="H466" s="3">
        <v>6</v>
      </c>
      <c r="I466" s="3">
        <v>92686</v>
      </c>
      <c r="J466" s="3">
        <f>IF(E466="Cold",1,0)</f>
        <v>0</v>
      </c>
      <c r="K466" s="3">
        <f>IF(E466="Hot",1,0)</f>
        <v>1</v>
      </c>
      <c r="L466" s="3">
        <v>2817</v>
      </c>
      <c r="M466" s="3">
        <v>67</v>
      </c>
      <c r="N466" s="4">
        <v>44794</v>
      </c>
      <c r="O466" s="10">
        <v>409371.64150000003</v>
      </c>
    </row>
    <row r="467" spans="1:15" x14ac:dyDescent="0.3">
      <c r="A467" s="2">
        <v>465</v>
      </c>
      <c r="B467" s="3" t="s">
        <v>44</v>
      </c>
      <c r="C467" s="3" t="s">
        <v>143</v>
      </c>
      <c r="D467" s="3" t="s">
        <v>14</v>
      </c>
      <c r="E467" s="3" t="s">
        <v>15</v>
      </c>
      <c r="F467" s="3">
        <f t="shared" si="7"/>
        <v>0</v>
      </c>
      <c r="G467" s="3">
        <v>28762</v>
      </c>
      <c r="H467" s="3">
        <v>8</v>
      </c>
      <c r="I467" s="3">
        <v>79534</v>
      </c>
      <c r="J467" s="3">
        <f>IF(E467="Cold",1,0)</f>
        <v>1</v>
      </c>
      <c r="K467" s="3">
        <f>IF(E467="Hot",1,0)</f>
        <v>0</v>
      </c>
      <c r="L467" s="3">
        <v>1907</v>
      </c>
      <c r="M467" s="3">
        <v>44</v>
      </c>
      <c r="N467" s="4">
        <v>44582</v>
      </c>
      <c r="O467" s="10">
        <v>305745.56849999999</v>
      </c>
    </row>
    <row r="468" spans="1:15" x14ac:dyDescent="0.3">
      <c r="A468" s="2">
        <v>466</v>
      </c>
      <c r="B468" s="3" t="s">
        <v>26</v>
      </c>
      <c r="C468" s="3" t="s">
        <v>67</v>
      </c>
      <c r="D468" s="3" t="s">
        <v>18</v>
      </c>
      <c r="E468" s="3" t="s">
        <v>21</v>
      </c>
      <c r="F468" s="3">
        <f t="shared" si="7"/>
        <v>1</v>
      </c>
      <c r="G468" s="3">
        <v>18376</v>
      </c>
      <c r="H468" s="3">
        <v>3</v>
      </c>
      <c r="I468" s="3">
        <v>67352</v>
      </c>
      <c r="J468" s="3">
        <f>IF(E468="Cold",1,0)</f>
        <v>0</v>
      </c>
      <c r="K468" s="3">
        <f>IF(E468="Hot",1,0)</f>
        <v>1</v>
      </c>
      <c r="L468" s="3">
        <v>1601</v>
      </c>
      <c r="M468" s="3">
        <v>79</v>
      </c>
      <c r="N468" s="4">
        <v>45061</v>
      </c>
      <c r="O468" s="10">
        <v>407462.33100000001</v>
      </c>
    </row>
    <row r="469" spans="1:15" x14ac:dyDescent="0.3">
      <c r="A469" s="2">
        <v>467</v>
      </c>
      <c r="B469" s="3" t="s">
        <v>37</v>
      </c>
      <c r="C469" s="3" t="s">
        <v>38</v>
      </c>
      <c r="D469" s="3" t="s">
        <v>14</v>
      </c>
      <c r="E469" s="3" t="s">
        <v>21</v>
      </c>
      <c r="F469" s="3">
        <f t="shared" si="7"/>
        <v>0</v>
      </c>
      <c r="G469" s="3">
        <v>18055</v>
      </c>
      <c r="H469" s="3">
        <v>5</v>
      </c>
      <c r="I469" s="3">
        <v>76327</v>
      </c>
      <c r="J469" s="3">
        <f>IF(E469="Cold",1,0)</f>
        <v>0</v>
      </c>
      <c r="K469" s="3">
        <f>IF(E469="Hot",1,0)</f>
        <v>1</v>
      </c>
      <c r="L469" s="3">
        <v>2015</v>
      </c>
      <c r="M469" s="3">
        <v>63</v>
      </c>
      <c r="N469" s="4">
        <v>43895</v>
      </c>
      <c r="O469" s="10">
        <v>363745.9926</v>
      </c>
    </row>
    <row r="470" spans="1:15" x14ac:dyDescent="0.3">
      <c r="A470" s="2">
        <v>468</v>
      </c>
      <c r="B470" s="3" t="s">
        <v>28</v>
      </c>
      <c r="C470" s="3" t="s">
        <v>20</v>
      </c>
      <c r="D470" s="3" t="s">
        <v>14</v>
      </c>
      <c r="E470" s="3" t="s">
        <v>23</v>
      </c>
      <c r="F470" s="3">
        <f t="shared" si="7"/>
        <v>0</v>
      </c>
      <c r="G470" s="3">
        <v>16485</v>
      </c>
      <c r="H470" s="3">
        <v>0</v>
      </c>
      <c r="I470" s="3">
        <v>77011</v>
      </c>
      <c r="J470" s="3">
        <f>IF(E470="Cold",1,0)</f>
        <v>0</v>
      </c>
      <c r="K470" s="3">
        <f>IF(E470="Hot",1,0)</f>
        <v>0</v>
      </c>
      <c r="L470" s="3">
        <v>2124</v>
      </c>
      <c r="M470" s="3">
        <v>97</v>
      </c>
      <c r="N470" s="4">
        <v>44309</v>
      </c>
      <c r="O470" s="10">
        <v>345116.49609999999</v>
      </c>
    </row>
    <row r="471" spans="1:15" x14ac:dyDescent="0.3">
      <c r="A471" s="2">
        <v>469</v>
      </c>
      <c r="B471" s="3" t="s">
        <v>31</v>
      </c>
      <c r="C471" s="3" t="s">
        <v>186</v>
      </c>
      <c r="D471" s="3" t="s">
        <v>14</v>
      </c>
      <c r="E471" s="3" t="s">
        <v>15</v>
      </c>
      <c r="F471" s="3">
        <f t="shared" si="7"/>
        <v>0</v>
      </c>
      <c r="G471" s="3">
        <v>26413</v>
      </c>
      <c r="H471" s="3">
        <v>9</v>
      </c>
      <c r="I471" s="3">
        <v>66561</v>
      </c>
      <c r="J471" s="3">
        <f>IF(E471="Cold",1,0)</f>
        <v>1</v>
      </c>
      <c r="K471" s="3">
        <f>IF(E471="Hot",1,0)</f>
        <v>0</v>
      </c>
      <c r="L471" s="3">
        <v>1496</v>
      </c>
      <c r="M471" s="3">
        <v>99</v>
      </c>
      <c r="N471" s="4">
        <v>45483</v>
      </c>
      <c r="O471" s="10">
        <v>329077.78570000001</v>
      </c>
    </row>
    <row r="472" spans="1:15" x14ac:dyDescent="0.3">
      <c r="A472" s="2">
        <v>470</v>
      </c>
      <c r="B472" s="3" t="s">
        <v>12</v>
      </c>
      <c r="C472" s="3" t="s">
        <v>13</v>
      </c>
      <c r="D472" s="3" t="s">
        <v>18</v>
      </c>
      <c r="E472" s="3" t="s">
        <v>23</v>
      </c>
      <c r="F472" s="3">
        <f t="shared" si="7"/>
        <v>1</v>
      </c>
      <c r="G472" s="3">
        <v>13921</v>
      </c>
      <c r="H472" s="3">
        <v>9</v>
      </c>
      <c r="I472" s="3">
        <v>52664</v>
      </c>
      <c r="J472" s="3">
        <f>IF(E472="Cold",1,0)</f>
        <v>0</v>
      </c>
      <c r="K472" s="3">
        <f>IF(E472="Hot",1,0)</f>
        <v>0</v>
      </c>
      <c r="L472" s="3">
        <v>1254</v>
      </c>
      <c r="M472" s="3">
        <v>73</v>
      </c>
      <c r="N472" s="4">
        <v>44345</v>
      </c>
      <c r="O472" s="10">
        <v>373011.05719999998</v>
      </c>
    </row>
    <row r="473" spans="1:15" x14ac:dyDescent="0.3">
      <c r="A473" s="2">
        <v>471</v>
      </c>
      <c r="B473" s="3" t="s">
        <v>26</v>
      </c>
      <c r="C473" s="3" t="s">
        <v>47</v>
      </c>
      <c r="D473" s="3" t="s">
        <v>14</v>
      </c>
      <c r="E473" s="3" t="s">
        <v>15</v>
      </c>
      <c r="F473" s="3">
        <f t="shared" si="7"/>
        <v>0</v>
      </c>
      <c r="G473" s="3">
        <v>19656</v>
      </c>
      <c r="H473" s="3">
        <v>1</v>
      </c>
      <c r="I473" s="3">
        <v>69936</v>
      </c>
      <c r="J473" s="3">
        <f>IF(E473="Cold",1,0)</f>
        <v>1</v>
      </c>
      <c r="K473" s="3">
        <f>IF(E473="Hot",1,0)</f>
        <v>0</v>
      </c>
      <c r="L473" s="3">
        <v>2850</v>
      </c>
      <c r="M473" s="3">
        <v>89</v>
      </c>
      <c r="N473" s="4">
        <v>44927</v>
      </c>
      <c r="O473" s="10">
        <v>331480.2819</v>
      </c>
    </row>
    <row r="474" spans="1:15" x14ac:dyDescent="0.3">
      <c r="A474" s="2">
        <v>472</v>
      </c>
      <c r="B474" s="3" t="s">
        <v>28</v>
      </c>
      <c r="C474" s="3" t="s">
        <v>112</v>
      </c>
      <c r="D474" s="3" t="s">
        <v>14</v>
      </c>
      <c r="E474" s="3" t="s">
        <v>15</v>
      </c>
      <c r="F474" s="3">
        <f t="shared" si="7"/>
        <v>0</v>
      </c>
      <c r="G474" s="3">
        <v>24901</v>
      </c>
      <c r="H474" s="3">
        <v>4</v>
      </c>
      <c r="I474" s="3">
        <v>71145</v>
      </c>
      <c r="J474" s="3">
        <f>IF(E474="Cold",1,0)</f>
        <v>1</v>
      </c>
      <c r="K474" s="3">
        <f>IF(E474="Hot",1,0)</f>
        <v>0</v>
      </c>
      <c r="L474" s="3">
        <v>1874</v>
      </c>
      <c r="M474" s="3">
        <v>27</v>
      </c>
      <c r="N474" s="4">
        <v>45053</v>
      </c>
      <c r="O474" s="10">
        <v>306070.94780000002</v>
      </c>
    </row>
    <row r="475" spans="1:15" x14ac:dyDescent="0.3">
      <c r="A475" s="2">
        <v>473</v>
      </c>
      <c r="B475" s="3" t="s">
        <v>44</v>
      </c>
      <c r="C475" s="3" t="s">
        <v>82</v>
      </c>
      <c r="D475" s="3" t="s">
        <v>18</v>
      </c>
      <c r="E475" s="3" t="s">
        <v>15</v>
      </c>
      <c r="F475" s="3">
        <f t="shared" si="7"/>
        <v>1</v>
      </c>
      <c r="G475" s="3">
        <v>13037</v>
      </c>
      <c r="H475" s="3">
        <v>0</v>
      </c>
      <c r="I475" s="3">
        <v>58393</v>
      </c>
      <c r="J475" s="3">
        <f>IF(E475="Cold",1,0)</f>
        <v>1</v>
      </c>
      <c r="K475" s="3">
        <f>IF(E475="Hot",1,0)</f>
        <v>0</v>
      </c>
      <c r="L475" s="3">
        <v>1200</v>
      </c>
      <c r="M475" s="3">
        <v>48</v>
      </c>
      <c r="N475" s="4">
        <v>44197</v>
      </c>
      <c r="O475" s="10">
        <v>358534.9007</v>
      </c>
    </row>
    <row r="476" spans="1:15" x14ac:dyDescent="0.3">
      <c r="A476" s="2">
        <v>474</v>
      </c>
      <c r="B476" s="3" t="s">
        <v>19</v>
      </c>
      <c r="C476" s="3" t="s">
        <v>129</v>
      </c>
      <c r="D476" s="3" t="s">
        <v>14</v>
      </c>
      <c r="E476" s="3" t="s">
        <v>21</v>
      </c>
      <c r="F476" s="3">
        <f t="shared" si="7"/>
        <v>0</v>
      </c>
      <c r="G476" s="3">
        <v>6892</v>
      </c>
      <c r="H476" s="3">
        <v>0</v>
      </c>
      <c r="I476" s="3">
        <v>73482</v>
      </c>
      <c r="J476" s="3">
        <f>IF(E476="Cold",1,0)</f>
        <v>0</v>
      </c>
      <c r="K476" s="3">
        <f>IF(E476="Hot",1,0)</f>
        <v>1</v>
      </c>
      <c r="L476" s="3">
        <v>2021</v>
      </c>
      <c r="M476" s="3">
        <v>39</v>
      </c>
      <c r="N476" s="4">
        <v>45399</v>
      </c>
      <c r="O476" s="10">
        <v>311411.03769999999</v>
      </c>
    </row>
    <row r="477" spans="1:15" x14ac:dyDescent="0.3">
      <c r="A477" s="2">
        <v>475</v>
      </c>
      <c r="B477" s="3" t="s">
        <v>24</v>
      </c>
      <c r="C477" s="3" t="s">
        <v>134</v>
      </c>
      <c r="D477" s="3" t="s">
        <v>14</v>
      </c>
      <c r="E477" s="3" t="s">
        <v>21</v>
      </c>
      <c r="F477" s="3">
        <f t="shared" si="7"/>
        <v>0</v>
      </c>
      <c r="G477" s="3">
        <v>9469</v>
      </c>
      <c r="H477" s="3">
        <v>7</v>
      </c>
      <c r="I477" s="3">
        <v>87213</v>
      </c>
      <c r="J477" s="3">
        <f>IF(E477="Cold",1,0)</f>
        <v>0</v>
      </c>
      <c r="K477" s="3">
        <f>IF(E477="Hot",1,0)</f>
        <v>1</v>
      </c>
      <c r="L477" s="3">
        <v>2639</v>
      </c>
      <c r="M477" s="3">
        <v>89</v>
      </c>
      <c r="N477" s="4">
        <v>43998</v>
      </c>
      <c r="O477" s="10">
        <v>337655.59860000003</v>
      </c>
    </row>
    <row r="478" spans="1:15" x14ac:dyDescent="0.3">
      <c r="A478" s="2">
        <v>476</v>
      </c>
      <c r="B478" s="3" t="s">
        <v>33</v>
      </c>
      <c r="C478" s="3" t="s">
        <v>184</v>
      </c>
      <c r="D478" s="3" t="s">
        <v>14</v>
      </c>
      <c r="E478" s="3" t="s">
        <v>15</v>
      </c>
      <c r="F478" s="3">
        <f t="shared" si="7"/>
        <v>0</v>
      </c>
      <c r="G478" s="3">
        <v>1294</v>
      </c>
      <c r="H478" s="3">
        <v>0</v>
      </c>
      <c r="I478" s="3">
        <v>51985</v>
      </c>
      <c r="J478" s="3">
        <f>IF(E478="Cold",1,0)</f>
        <v>1</v>
      </c>
      <c r="K478" s="3">
        <f>IF(E478="Hot",1,0)</f>
        <v>0</v>
      </c>
      <c r="L478" s="3">
        <v>2317</v>
      </c>
      <c r="M478" s="3">
        <v>38</v>
      </c>
      <c r="N478" s="4">
        <v>43982</v>
      </c>
      <c r="O478" s="10">
        <v>318062.62339999998</v>
      </c>
    </row>
    <row r="479" spans="1:15" x14ac:dyDescent="0.3">
      <c r="A479" s="2">
        <v>477</v>
      </c>
      <c r="B479" s="3" t="s">
        <v>55</v>
      </c>
      <c r="C479" s="3" t="s">
        <v>67</v>
      </c>
      <c r="D479" s="3" t="s">
        <v>14</v>
      </c>
      <c r="E479" s="3" t="s">
        <v>23</v>
      </c>
      <c r="F479" s="3">
        <f t="shared" si="7"/>
        <v>0</v>
      </c>
      <c r="G479" s="3">
        <v>26500</v>
      </c>
      <c r="H479" s="3">
        <v>3</v>
      </c>
      <c r="I479" s="3">
        <v>81004</v>
      </c>
      <c r="J479" s="3">
        <f>IF(E479="Cold",1,0)</f>
        <v>0</v>
      </c>
      <c r="K479" s="3">
        <f>IF(E479="Hot",1,0)</f>
        <v>0</v>
      </c>
      <c r="L479" s="3">
        <v>1049</v>
      </c>
      <c r="M479" s="3">
        <v>27</v>
      </c>
      <c r="N479" s="4">
        <v>44595</v>
      </c>
      <c r="O479" s="10">
        <v>314738.91440000001</v>
      </c>
    </row>
    <row r="480" spans="1:15" x14ac:dyDescent="0.3">
      <c r="A480" s="2">
        <v>478</v>
      </c>
      <c r="B480" s="3" t="s">
        <v>74</v>
      </c>
      <c r="C480" s="3" t="s">
        <v>153</v>
      </c>
      <c r="D480" s="3" t="s">
        <v>18</v>
      </c>
      <c r="E480" s="3" t="s">
        <v>21</v>
      </c>
      <c r="F480" s="3">
        <f t="shared" si="7"/>
        <v>1</v>
      </c>
      <c r="G480" s="3">
        <v>10435</v>
      </c>
      <c r="H480" s="3">
        <v>2</v>
      </c>
      <c r="I480" s="3">
        <v>88402</v>
      </c>
      <c r="J480" s="3">
        <f>IF(E480="Cold",1,0)</f>
        <v>0</v>
      </c>
      <c r="K480" s="3">
        <f>IF(E480="Hot",1,0)</f>
        <v>1</v>
      </c>
      <c r="L480" s="3">
        <v>2610</v>
      </c>
      <c r="M480" s="3">
        <v>83</v>
      </c>
      <c r="N480" s="4">
        <v>43887</v>
      </c>
      <c r="O480" s="10">
        <v>409227.9706</v>
      </c>
    </row>
    <row r="481" spans="1:15" x14ac:dyDescent="0.3">
      <c r="A481" s="2">
        <v>479</v>
      </c>
      <c r="B481" s="3" t="s">
        <v>40</v>
      </c>
      <c r="C481" s="3" t="s">
        <v>41</v>
      </c>
      <c r="D481" s="3" t="s">
        <v>14</v>
      </c>
      <c r="E481" s="3" t="s">
        <v>15</v>
      </c>
      <c r="F481" s="3">
        <f t="shared" si="7"/>
        <v>0</v>
      </c>
      <c r="G481" s="3">
        <v>11182</v>
      </c>
      <c r="H481" s="3">
        <v>4</v>
      </c>
      <c r="I481" s="3">
        <v>93553</v>
      </c>
      <c r="J481" s="3">
        <f>IF(E481="Cold",1,0)</f>
        <v>1</v>
      </c>
      <c r="K481" s="3">
        <f>IF(E481="Hot",1,0)</f>
        <v>0</v>
      </c>
      <c r="L481" s="3">
        <v>2248</v>
      </c>
      <c r="M481" s="3">
        <v>70</v>
      </c>
      <c r="N481" s="4">
        <v>45415</v>
      </c>
      <c r="O481" s="10">
        <v>312187.79629999999</v>
      </c>
    </row>
    <row r="482" spans="1:15" x14ac:dyDescent="0.3">
      <c r="A482" s="2">
        <v>480</v>
      </c>
      <c r="B482" s="3" t="s">
        <v>12</v>
      </c>
      <c r="C482" s="3" t="s">
        <v>95</v>
      </c>
      <c r="D482" s="3" t="s">
        <v>14</v>
      </c>
      <c r="E482" s="3" t="s">
        <v>15</v>
      </c>
      <c r="F482" s="3">
        <f t="shared" si="7"/>
        <v>0</v>
      </c>
      <c r="G482" s="3">
        <v>15465</v>
      </c>
      <c r="H482" s="3">
        <v>6</v>
      </c>
      <c r="I482" s="3">
        <v>93485</v>
      </c>
      <c r="J482" s="3">
        <f>IF(E482="Cold",1,0)</f>
        <v>1</v>
      </c>
      <c r="K482" s="3">
        <f>IF(E482="Hot",1,0)</f>
        <v>0</v>
      </c>
      <c r="L482" s="3">
        <v>1832</v>
      </c>
      <c r="M482" s="3">
        <v>75</v>
      </c>
      <c r="N482" s="4">
        <v>44460</v>
      </c>
      <c r="O482" s="10">
        <v>343159.61430000002</v>
      </c>
    </row>
    <row r="483" spans="1:15" x14ac:dyDescent="0.3">
      <c r="A483" s="2">
        <v>481</v>
      </c>
      <c r="B483" s="3" t="s">
        <v>26</v>
      </c>
      <c r="C483" s="3" t="s">
        <v>27</v>
      </c>
      <c r="D483" s="3" t="s">
        <v>14</v>
      </c>
      <c r="E483" s="3" t="s">
        <v>23</v>
      </c>
      <c r="F483" s="3">
        <f t="shared" si="7"/>
        <v>0</v>
      </c>
      <c r="G483" s="3">
        <v>3005</v>
      </c>
      <c r="H483" s="3">
        <v>8</v>
      </c>
      <c r="I483" s="3">
        <v>58012</v>
      </c>
      <c r="J483" s="3">
        <f>IF(E483="Cold",1,0)</f>
        <v>0</v>
      </c>
      <c r="K483" s="3">
        <f>IF(E483="Hot",1,0)</f>
        <v>0</v>
      </c>
      <c r="L483" s="3">
        <v>1297</v>
      </c>
      <c r="M483" s="3">
        <v>43</v>
      </c>
      <c r="N483" s="4">
        <v>45220</v>
      </c>
      <c r="O483" s="10">
        <v>298527.45730000001</v>
      </c>
    </row>
    <row r="484" spans="1:15" x14ac:dyDescent="0.3">
      <c r="A484" s="2">
        <v>482</v>
      </c>
      <c r="B484" s="3" t="s">
        <v>72</v>
      </c>
      <c r="C484" s="3" t="s">
        <v>167</v>
      </c>
      <c r="D484" s="3" t="s">
        <v>18</v>
      </c>
      <c r="E484" s="3" t="s">
        <v>21</v>
      </c>
      <c r="F484" s="3">
        <f t="shared" si="7"/>
        <v>1</v>
      </c>
      <c r="G484" s="3">
        <v>14503</v>
      </c>
      <c r="H484" s="3">
        <v>3</v>
      </c>
      <c r="I484" s="3">
        <v>64521</v>
      </c>
      <c r="J484" s="3">
        <f>IF(E484="Cold",1,0)</f>
        <v>0</v>
      </c>
      <c r="K484" s="3">
        <f>IF(E484="Hot",1,0)</f>
        <v>1</v>
      </c>
      <c r="L484" s="3">
        <v>2780</v>
      </c>
      <c r="M484" s="3">
        <v>36</v>
      </c>
      <c r="N484" s="4">
        <v>43981</v>
      </c>
      <c r="O484" s="10">
        <v>376543.93050000002</v>
      </c>
    </row>
    <row r="485" spans="1:15" x14ac:dyDescent="0.3">
      <c r="A485" s="2">
        <v>483</v>
      </c>
      <c r="B485" s="3" t="s">
        <v>55</v>
      </c>
      <c r="C485" s="3" t="s">
        <v>169</v>
      </c>
      <c r="D485" s="3" t="s">
        <v>14</v>
      </c>
      <c r="E485" s="3" t="s">
        <v>21</v>
      </c>
      <c r="F485" s="3">
        <f t="shared" si="7"/>
        <v>0</v>
      </c>
      <c r="G485" s="3">
        <v>8536</v>
      </c>
      <c r="H485" s="3">
        <v>5</v>
      </c>
      <c r="I485" s="3">
        <v>76030</v>
      </c>
      <c r="J485" s="3">
        <f>IF(E485="Cold",1,0)</f>
        <v>0</v>
      </c>
      <c r="K485" s="3">
        <f>IF(E485="Hot",1,0)</f>
        <v>1</v>
      </c>
      <c r="L485" s="3">
        <v>2644</v>
      </c>
      <c r="M485" s="3">
        <v>56</v>
      </c>
      <c r="N485" s="4">
        <v>45296</v>
      </c>
      <c r="O485" s="10">
        <v>364840.82150000002</v>
      </c>
    </row>
    <row r="486" spans="1:15" x14ac:dyDescent="0.3">
      <c r="A486" s="2">
        <v>484</v>
      </c>
      <c r="B486" s="3" t="s">
        <v>35</v>
      </c>
      <c r="C486" s="3" t="s">
        <v>119</v>
      </c>
      <c r="D486" s="3" t="s">
        <v>18</v>
      </c>
      <c r="E486" s="3" t="s">
        <v>23</v>
      </c>
      <c r="F486" s="3">
        <f t="shared" si="7"/>
        <v>1</v>
      </c>
      <c r="G486" s="3">
        <v>16616</v>
      </c>
      <c r="H486" s="3">
        <v>8</v>
      </c>
      <c r="I486" s="3">
        <v>79350</v>
      </c>
      <c r="J486" s="3">
        <f>IF(E486="Cold",1,0)</f>
        <v>0</v>
      </c>
      <c r="K486" s="3">
        <f>IF(E486="Hot",1,0)</f>
        <v>0</v>
      </c>
      <c r="L486" s="3">
        <v>1915</v>
      </c>
      <c r="M486" s="3">
        <v>22</v>
      </c>
      <c r="N486" s="4">
        <v>45156</v>
      </c>
      <c r="O486" s="10">
        <v>353236.72779999999</v>
      </c>
    </row>
    <row r="487" spans="1:15" x14ac:dyDescent="0.3">
      <c r="A487" s="2">
        <v>485</v>
      </c>
      <c r="B487" s="3" t="s">
        <v>29</v>
      </c>
      <c r="C487" s="3" t="s">
        <v>104</v>
      </c>
      <c r="D487" s="3" t="s">
        <v>18</v>
      </c>
      <c r="E487" s="3" t="s">
        <v>21</v>
      </c>
      <c r="F487" s="3">
        <f t="shared" si="7"/>
        <v>1</v>
      </c>
      <c r="G487" s="3">
        <v>701</v>
      </c>
      <c r="H487" s="3">
        <v>4</v>
      </c>
      <c r="I487" s="3">
        <v>94516</v>
      </c>
      <c r="J487" s="3">
        <f>IF(E487="Cold",1,0)</f>
        <v>0</v>
      </c>
      <c r="K487" s="3">
        <f>IF(E487="Hot",1,0)</f>
        <v>1</v>
      </c>
      <c r="L487" s="3">
        <v>2710</v>
      </c>
      <c r="M487" s="3">
        <v>35</v>
      </c>
      <c r="N487" s="4">
        <v>44166</v>
      </c>
      <c r="O487" s="10">
        <v>378013.2648</v>
      </c>
    </row>
    <row r="488" spans="1:15" x14ac:dyDescent="0.3">
      <c r="A488" s="2">
        <v>486</v>
      </c>
      <c r="B488" s="3" t="s">
        <v>29</v>
      </c>
      <c r="C488" s="3" t="s">
        <v>110</v>
      </c>
      <c r="D488" s="3" t="s">
        <v>14</v>
      </c>
      <c r="E488" s="3" t="s">
        <v>21</v>
      </c>
      <c r="F488" s="3">
        <f t="shared" si="7"/>
        <v>0</v>
      </c>
      <c r="G488" s="3">
        <v>14305</v>
      </c>
      <c r="H488" s="3">
        <v>8</v>
      </c>
      <c r="I488" s="3">
        <v>61872</v>
      </c>
      <c r="J488" s="3">
        <f>IF(E488="Cold",1,0)</f>
        <v>0</v>
      </c>
      <c r="K488" s="3">
        <f>IF(E488="Hot",1,0)</f>
        <v>1</v>
      </c>
      <c r="L488" s="3">
        <v>1206</v>
      </c>
      <c r="M488" s="3">
        <v>86</v>
      </c>
      <c r="N488" s="4">
        <v>45080</v>
      </c>
      <c r="O488" s="10">
        <v>324075.9901</v>
      </c>
    </row>
    <row r="489" spans="1:15" x14ac:dyDescent="0.3">
      <c r="A489" s="2">
        <v>487</v>
      </c>
      <c r="B489" s="3" t="s">
        <v>28</v>
      </c>
      <c r="C489" s="3" t="s">
        <v>112</v>
      </c>
      <c r="D489" s="3" t="s">
        <v>14</v>
      </c>
      <c r="E489" s="3" t="s">
        <v>21</v>
      </c>
      <c r="F489" s="3">
        <f t="shared" si="7"/>
        <v>0</v>
      </c>
      <c r="G489" s="3">
        <v>14555</v>
      </c>
      <c r="H489" s="3">
        <v>0</v>
      </c>
      <c r="I489" s="3">
        <v>97789</v>
      </c>
      <c r="J489" s="3">
        <f>IF(E489="Cold",1,0)</f>
        <v>0</v>
      </c>
      <c r="K489" s="3">
        <f>IF(E489="Hot",1,0)</f>
        <v>1</v>
      </c>
      <c r="L489" s="3">
        <v>1238</v>
      </c>
      <c r="M489" s="3">
        <v>88</v>
      </c>
      <c r="N489" s="4">
        <v>43936</v>
      </c>
      <c r="O489" s="10">
        <v>348047.98800000001</v>
      </c>
    </row>
    <row r="490" spans="1:15" x14ac:dyDescent="0.3">
      <c r="A490" s="2">
        <v>488</v>
      </c>
      <c r="B490" s="3" t="s">
        <v>28</v>
      </c>
      <c r="C490" s="3" t="s">
        <v>112</v>
      </c>
      <c r="D490" s="3" t="s">
        <v>14</v>
      </c>
      <c r="E490" s="3" t="s">
        <v>21</v>
      </c>
      <c r="F490" s="3">
        <f t="shared" si="7"/>
        <v>0</v>
      </c>
      <c r="G490" s="3">
        <v>10131</v>
      </c>
      <c r="H490" s="3">
        <v>1</v>
      </c>
      <c r="I490" s="3">
        <v>53508</v>
      </c>
      <c r="J490" s="3">
        <f>IF(E490="Cold",1,0)</f>
        <v>0</v>
      </c>
      <c r="K490" s="3">
        <f>IF(E490="Hot",1,0)</f>
        <v>1</v>
      </c>
      <c r="L490" s="3">
        <v>2761</v>
      </c>
      <c r="M490" s="3">
        <v>44</v>
      </c>
      <c r="N490" s="4">
        <v>45007</v>
      </c>
      <c r="O490" s="10">
        <v>340263.62270000001</v>
      </c>
    </row>
    <row r="491" spans="1:15" x14ac:dyDescent="0.3">
      <c r="A491" s="2">
        <v>489</v>
      </c>
      <c r="B491" s="3" t="s">
        <v>26</v>
      </c>
      <c r="C491" s="3" t="s">
        <v>27</v>
      </c>
      <c r="D491" s="3" t="s">
        <v>18</v>
      </c>
      <c r="E491" s="3" t="s">
        <v>23</v>
      </c>
      <c r="F491" s="3">
        <f t="shared" si="7"/>
        <v>1</v>
      </c>
      <c r="G491" s="3">
        <v>10791</v>
      </c>
      <c r="H491" s="3">
        <v>8</v>
      </c>
      <c r="I491" s="3">
        <v>64564</v>
      </c>
      <c r="J491" s="3">
        <f>IF(E491="Cold",1,0)</f>
        <v>0</v>
      </c>
      <c r="K491" s="3">
        <f>IF(E491="Hot",1,0)</f>
        <v>0</v>
      </c>
      <c r="L491" s="3">
        <v>2197</v>
      </c>
      <c r="M491" s="3">
        <v>70</v>
      </c>
      <c r="N491" s="4">
        <v>44105</v>
      </c>
      <c r="O491" s="10">
        <v>398828.73379999999</v>
      </c>
    </row>
    <row r="492" spans="1:15" x14ac:dyDescent="0.3">
      <c r="A492" s="2">
        <v>490</v>
      </c>
      <c r="B492" s="3" t="s">
        <v>37</v>
      </c>
      <c r="C492" s="3" t="s">
        <v>114</v>
      </c>
      <c r="D492" s="3" t="s">
        <v>14</v>
      </c>
      <c r="E492" s="3" t="s">
        <v>23</v>
      </c>
      <c r="F492" s="3">
        <f t="shared" si="7"/>
        <v>0</v>
      </c>
      <c r="G492" s="3">
        <v>10605</v>
      </c>
      <c r="H492" s="3">
        <v>5</v>
      </c>
      <c r="I492" s="3">
        <v>78380</v>
      </c>
      <c r="J492" s="3">
        <f>IF(E492="Cold",1,0)</f>
        <v>0</v>
      </c>
      <c r="K492" s="3">
        <f>IF(E492="Hot",1,0)</f>
        <v>0</v>
      </c>
      <c r="L492" s="3">
        <v>2521</v>
      </c>
      <c r="M492" s="3">
        <v>97</v>
      </c>
      <c r="N492" s="4">
        <v>44408</v>
      </c>
      <c r="O492" s="10">
        <v>357440.88540000003</v>
      </c>
    </row>
    <row r="493" spans="1:15" x14ac:dyDescent="0.3">
      <c r="A493" s="2">
        <v>491</v>
      </c>
      <c r="B493" s="3" t="s">
        <v>35</v>
      </c>
      <c r="C493" s="3" t="s">
        <v>177</v>
      </c>
      <c r="D493" s="3" t="s">
        <v>14</v>
      </c>
      <c r="E493" s="3" t="s">
        <v>23</v>
      </c>
      <c r="F493" s="3">
        <f t="shared" si="7"/>
        <v>0</v>
      </c>
      <c r="G493" s="3">
        <v>1850</v>
      </c>
      <c r="H493" s="3">
        <v>6</v>
      </c>
      <c r="I493" s="3">
        <v>71037</v>
      </c>
      <c r="J493" s="3">
        <f>IF(E493="Cold",1,0)</f>
        <v>0</v>
      </c>
      <c r="K493" s="3">
        <f>IF(E493="Hot",1,0)</f>
        <v>0</v>
      </c>
      <c r="L493" s="3">
        <v>1682</v>
      </c>
      <c r="M493" s="3">
        <v>80</v>
      </c>
      <c r="N493" s="4">
        <v>45136</v>
      </c>
      <c r="O493" s="10">
        <v>318895.70390000002</v>
      </c>
    </row>
    <row r="494" spans="1:15" x14ac:dyDescent="0.3">
      <c r="A494" s="2">
        <v>492</v>
      </c>
      <c r="B494" s="3" t="s">
        <v>12</v>
      </c>
      <c r="C494" s="3" t="s">
        <v>140</v>
      </c>
      <c r="D494" s="3" t="s">
        <v>14</v>
      </c>
      <c r="E494" s="3" t="s">
        <v>15</v>
      </c>
      <c r="F494" s="3">
        <f t="shared" si="7"/>
        <v>0</v>
      </c>
      <c r="G494" s="3">
        <v>3713</v>
      </c>
      <c r="H494" s="3">
        <v>4</v>
      </c>
      <c r="I494" s="3">
        <v>72452</v>
      </c>
      <c r="J494" s="3">
        <f>IF(E494="Cold",1,0)</f>
        <v>1</v>
      </c>
      <c r="K494" s="3">
        <f>IF(E494="Hot",1,0)</f>
        <v>0</v>
      </c>
      <c r="L494" s="3">
        <v>2393</v>
      </c>
      <c r="M494" s="3">
        <v>45</v>
      </c>
      <c r="N494" s="4">
        <v>44318</v>
      </c>
      <c r="O494" s="10">
        <v>288892.98940000002</v>
      </c>
    </row>
    <row r="495" spans="1:15" x14ac:dyDescent="0.3">
      <c r="A495" s="2">
        <v>493</v>
      </c>
      <c r="B495" s="3" t="s">
        <v>108</v>
      </c>
      <c r="C495" s="3" t="s">
        <v>205</v>
      </c>
      <c r="D495" s="3" t="s">
        <v>18</v>
      </c>
      <c r="E495" s="3" t="s">
        <v>21</v>
      </c>
      <c r="F495" s="3">
        <f t="shared" si="7"/>
        <v>1</v>
      </c>
      <c r="G495" s="3">
        <v>19317</v>
      </c>
      <c r="H495" s="3">
        <v>6</v>
      </c>
      <c r="I495" s="3">
        <v>60263</v>
      </c>
      <c r="J495" s="3">
        <f>IF(E495="Cold",1,0)</f>
        <v>0</v>
      </c>
      <c r="K495" s="3">
        <f>IF(E495="Hot",1,0)</f>
        <v>1</v>
      </c>
      <c r="L495" s="3">
        <v>1305</v>
      </c>
      <c r="M495" s="3">
        <v>87</v>
      </c>
      <c r="N495" s="4">
        <v>45512</v>
      </c>
      <c r="O495" s="10">
        <v>386496.89069999999</v>
      </c>
    </row>
    <row r="496" spans="1:15" x14ac:dyDescent="0.3">
      <c r="A496" s="2">
        <v>494</v>
      </c>
      <c r="B496" s="3" t="s">
        <v>19</v>
      </c>
      <c r="C496" s="3" t="s">
        <v>199</v>
      </c>
      <c r="D496" s="3" t="s">
        <v>14</v>
      </c>
      <c r="E496" s="3" t="s">
        <v>21</v>
      </c>
      <c r="F496" s="3">
        <f t="shared" si="7"/>
        <v>0</v>
      </c>
      <c r="G496" s="3">
        <v>12824</v>
      </c>
      <c r="H496" s="3">
        <v>9</v>
      </c>
      <c r="I496" s="3">
        <v>51291</v>
      </c>
      <c r="J496" s="3">
        <f>IF(E496="Cold",1,0)</f>
        <v>0</v>
      </c>
      <c r="K496" s="3">
        <f>IF(E496="Hot",1,0)</f>
        <v>1</v>
      </c>
      <c r="L496" s="3">
        <v>2282</v>
      </c>
      <c r="M496" s="3">
        <v>56</v>
      </c>
      <c r="N496" s="4">
        <v>44741</v>
      </c>
      <c r="O496" s="10">
        <v>337918.01980000001</v>
      </c>
    </row>
    <row r="497" spans="1:15" x14ac:dyDescent="0.3">
      <c r="A497" s="2">
        <v>495</v>
      </c>
      <c r="B497" s="3" t="s">
        <v>72</v>
      </c>
      <c r="C497" s="3" t="s">
        <v>160</v>
      </c>
      <c r="D497" s="3" t="s">
        <v>14</v>
      </c>
      <c r="E497" s="3" t="s">
        <v>21</v>
      </c>
      <c r="F497" s="3">
        <f t="shared" si="7"/>
        <v>0</v>
      </c>
      <c r="G497" s="3">
        <v>10009</v>
      </c>
      <c r="H497" s="3">
        <v>1</v>
      </c>
      <c r="I497" s="3">
        <v>63790</v>
      </c>
      <c r="J497" s="3">
        <f>IF(E497="Cold",1,0)</f>
        <v>0</v>
      </c>
      <c r="K497" s="3">
        <f>IF(E497="Hot",1,0)</f>
        <v>1</v>
      </c>
      <c r="L497" s="3">
        <v>2203</v>
      </c>
      <c r="M497" s="3">
        <v>67</v>
      </c>
      <c r="N497" s="4">
        <v>44916</v>
      </c>
      <c r="O497" s="10">
        <v>334562.88219999999</v>
      </c>
    </row>
    <row r="498" spans="1:15" x14ac:dyDescent="0.3">
      <c r="A498" s="2">
        <v>496</v>
      </c>
      <c r="B498" s="3" t="s">
        <v>57</v>
      </c>
      <c r="C498" s="3" t="s">
        <v>206</v>
      </c>
      <c r="D498" s="3" t="s">
        <v>14</v>
      </c>
      <c r="E498" s="3" t="s">
        <v>15</v>
      </c>
      <c r="F498" s="3">
        <f t="shared" si="7"/>
        <v>0</v>
      </c>
      <c r="G498" s="3">
        <v>22784</v>
      </c>
      <c r="H498" s="3">
        <v>3</v>
      </c>
      <c r="I498" s="3">
        <v>65242</v>
      </c>
      <c r="J498" s="3">
        <f>IF(E498="Cold",1,0)</f>
        <v>1</v>
      </c>
      <c r="K498" s="3">
        <f>IF(E498="Hot",1,0)</f>
        <v>0</v>
      </c>
      <c r="L498" s="3">
        <v>1387</v>
      </c>
      <c r="M498" s="3">
        <v>60</v>
      </c>
      <c r="N498" s="4">
        <v>45504</v>
      </c>
      <c r="O498" s="10">
        <v>312294.21490000002</v>
      </c>
    </row>
    <row r="499" spans="1:15" x14ac:dyDescent="0.3">
      <c r="A499" s="2">
        <v>497</v>
      </c>
      <c r="B499" s="3" t="s">
        <v>12</v>
      </c>
      <c r="C499" s="3" t="s">
        <v>47</v>
      </c>
      <c r="D499" s="3" t="s">
        <v>18</v>
      </c>
      <c r="E499" s="3" t="s">
        <v>21</v>
      </c>
      <c r="F499" s="3">
        <f t="shared" si="7"/>
        <v>1</v>
      </c>
      <c r="G499" s="3">
        <v>20563</v>
      </c>
      <c r="H499" s="3">
        <v>8</v>
      </c>
      <c r="I499" s="3">
        <v>65487</v>
      </c>
      <c r="J499" s="3">
        <f>IF(E499="Cold",1,0)</f>
        <v>0</v>
      </c>
      <c r="K499" s="3">
        <f>IF(E499="Hot",1,0)</f>
        <v>1</v>
      </c>
      <c r="L499" s="3">
        <v>1331</v>
      </c>
      <c r="M499" s="3">
        <v>92</v>
      </c>
      <c r="N499" s="4">
        <v>44188</v>
      </c>
      <c r="O499" s="10">
        <v>366731.73440000002</v>
      </c>
    </row>
    <row r="500" spans="1:15" x14ac:dyDescent="0.3">
      <c r="A500" s="2">
        <v>498</v>
      </c>
      <c r="B500" s="3" t="s">
        <v>29</v>
      </c>
      <c r="C500" s="3" t="s">
        <v>83</v>
      </c>
      <c r="D500" s="3" t="s">
        <v>14</v>
      </c>
      <c r="E500" s="3" t="s">
        <v>21</v>
      </c>
      <c r="F500" s="3">
        <f t="shared" si="7"/>
        <v>0</v>
      </c>
      <c r="G500" s="3">
        <v>9361</v>
      </c>
      <c r="H500" s="3">
        <v>6</v>
      </c>
      <c r="I500" s="3">
        <v>90381</v>
      </c>
      <c r="J500" s="3">
        <f>IF(E500="Cold",1,0)</f>
        <v>0</v>
      </c>
      <c r="K500" s="3">
        <f>IF(E500="Hot",1,0)</f>
        <v>1</v>
      </c>
      <c r="L500" s="3">
        <v>2587</v>
      </c>
      <c r="M500" s="3">
        <v>65</v>
      </c>
      <c r="N500" s="4">
        <v>44474</v>
      </c>
      <c r="O500" s="10">
        <v>346696.5295</v>
      </c>
    </row>
    <row r="501" spans="1:15" x14ac:dyDescent="0.3">
      <c r="A501" s="2">
        <v>499</v>
      </c>
      <c r="B501" s="3" t="s">
        <v>57</v>
      </c>
      <c r="C501" s="3" t="s">
        <v>86</v>
      </c>
      <c r="D501" s="3" t="s">
        <v>18</v>
      </c>
      <c r="E501" s="3" t="s">
        <v>21</v>
      </c>
      <c r="F501" s="3">
        <f t="shared" si="7"/>
        <v>1</v>
      </c>
      <c r="G501" s="3">
        <v>8712</v>
      </c>
      <c r="H501" s="3">
        <v>6</v>
      </c>
      <c r="I501" s="3">
        <v>79024</v>
      </c>
      <c r="J501" s="3">
        <f>IF(E501="Cold",1,0)</f>
        <v>0</v>
      </c>
      <c r="K501" s="3">
        <f>IF(E501="Hot",1,0)</f>
        <v>1</v>
      </c>
      <c r="L501" s="3">
        <v>2148</v>
      </c>
      <c r="M501" s="3">
        <v>96</v>
      </c>
      <c r="N501" s="4">
        <v>44621</v>
      </c>
      <c r="O501" s="10">
        <v>378048.31770000001</v>
      </c>
    </row>
    <row r="502" spans="1:15" x14ac:dyDescent="0.3">
      <c r="A502" s="2">
        <v>500</v>
      </c>
      <c r="B502" s="3" t="s">
        <v>57</v>
      </c>
      <c r="C502" s="3" t="s">
        <v>168</v>
      </c>
      <c r="D502" s="3" t="s">
        <v>14</v>
      </c>
      <c r="E502" s="3" t="s">
        <v>21</v>
      </c>
      <c r="F502" s="3">
        <f t="shared" si="7"/>
        <v>0</v>
      </c>
      <c r="G502" s="3">
        <v>26027</v>
      </c>
      <c r="H502" s="3">
        <v>0</v>
      </c>
      <c r="I502" s="3">
        <v>80487</v>
      </c>
      <c r="J502" s="3">
        <f>IF(E502="Cold",1,0)</f>
        <v>0</v>
      </c>
      <c r="K502" s="3">
        <f>IF(E502="Hot",1,0)</f>
        <v>1</v>
      </c>
      <c r="L502" s="3">
        <v>2632</v>
      </c>
      <c r="M502" s="3">
        <v>65</v>
      </c>
      <c r="N502" s="4">
        <v>45346</v>
      </c>
      <c r="O502" s="10">
        <v>376089.33140000002</v>
      </c>
    </row>
    <row r="503" spans="1:15" x14ac:dyDescent="0.3">
      <c r="A503" s="2">
        <v>501</v>
      </c>
      <c r="B503" s="3" t="s">
        <v>55</v>
      </c>
      <c r="C503" s="3" t="s">
        <v>169</v>
      </c>
      <c r="D503" s="3" t="s">
        <v>18</v>
      </c>
      <c r="E503" s="3" t="s">
        <v>23</v>
      </c>
      <c r="F503" s="3">
        <f t="shared" si="7"/>
        <v>1</v>
      </c>
      <c r="G503" s="3">
        <v>29103</v>
      </c>
      <c r="H503" s="3">
        <v>1</v>
      </c>
      <c r="I503" s="3">
        <v>65943</v>
      </c>
      <c r="J503" s="3">
        <f>IF(E503="Cold",1,0)</f>
        <v>0</v>
      </c>
      <c r="K503" s="3">
        <f>IF(E503="Hot",1,0)</f>
        <v>0</v>
      </c>
      <c r="L503" s="3">
        <v>2236</v>
      </c>
      <c r="M503" s="3">
        <v>49</v>
      </c>
      <c r="N503" s="4">
        <v>45231</v>
      </c>
      <c r="O503" s="10">
        <v>382107.08390000003</v>
      </c>
    </row>
    <row r="504" spans="1:15" x14ac:dyDescent="0.3">
      <c r="A504" s="2">
        <v>502</v>
      </c>
      <c r="B504" s="3" t="s">
        <v>72</v>
      </c>
      <c r="C504" s="3" t="s">
        <v>147</v>
      </c>
      <c r="D504" s="3" t="s">
        <v>14</v>
      </c>
      <c r="E504" s="3" t="s">
        <v>21</v>
      </c>
      <c r="F504" s="3">
        <f t="shared" si="7"/>
        <v>0</v>
      </c>
      <c r="G504" s="3">
        <v>16792</v>
      </c>
      <c r="H504" s="3">
        <v>1</v>
      </c>
      <c r="I504" s="3">
        <v>94335</v>
      </c>
      <c r="J504" s="3">
        <f>IF(E504="Cold",1,0)</f>
        <v>0</v>
      </c>
      <c r="K504" s="3">
        <f>IF(E504="Hot",1,0)</f>
        <v>1</v>
      </c>
      <c r="L504" s="3">
        <v>2570</v>
      </c>
      <c r="M504" s="3">
        <v>81</v>
      </c>
      <c r="N504" s="4">
        <v>43906</v>
      </c>
      <c r="O504" s="10">
        <v>370798.17709999997</v>
      </c>
    </row>
    <row r="505" spans="1:15" x14ac:dyDescent="0.3">
      <c r="A505" s="2">
        <v>503</v>
      </c>
      <c r="B505" s="3" t="s">
        <v>55</v>
      </c>
      <c r="C505" s="3" t="s">
        <v>98</v>
      </c>
      <c r="D505" s="3" t="s">
        <v>14</v>
      </c>
      <c r="E505" s="3" t="s">
        <v>15</v>
      </c>
      <c r="F505" s="3">
        <f t="shared" si="7"/>
        <v>0</v>
      </c>
      <c r="G505" s="3">
        <v>5128</v>
      </c>
      <c r="H505" s="3">
        <v>0</v>
      </c>
      <c r="I505" s="3">
        <v>82487</v>
      </c>
      <c r="J505" s="3">
        <f>IF(E505="Cold",1,0)</f>
        <v>1</v>
      </c>
      <c r="K505" s="3">
        <f>IF(E505="Hot",1,0)</f>
        <v>0</v>
      </c>
      <c r="L505" s="3">
        <v>2244</v>
      </c>
      <c r="M505" s="3">
        <v>44</v>
      </c>
      <c r="N505" s="4">
        <v>44304</v>
      </c>
      <c r="O505" s="10">
        <v>316638.92660000001</v>
      </c>
    </row>
    <row r="506" spans="1:15" x14ac:dyDescent="0.3">
      <c r="A506" s="2">
        <v>504</v>
      </c>
      <c r="B506" s="3" t="s">
        <v>31</v>
      </c>
      <c r="C506" s="3" t="s">
        <v>32</v>
      </c>
      <c r="D506" s="3" t="s">
        <v>14</v>
      </c>
      <c r="E506" s="3" t="s">
        <v>15</v>
      </c>
      <c r="F506" s="3">
        <f t="shared" si="7"/>
        <v>0</v>
      </c>
      <c r="G506" s="3">
        <v>25876</v>
      </c>
      <c r="H506" s="3">
        <v>3</v>
      </c>
      <c r="I506" s="3">
        <v>65947</v>
      </c>
      <c r="J506" s="3">
        <f>IF(E506="Cold",1,0)</f>
        <v>1</v>
      </c>
      <c r="K506" s="3">
        <f>IF(E506="Hot",1,0)</f>
        <v>0</v>
      </c>
      <c r="L506" s="3">
        <v>2186</v>
      </c>
      <c r="M506" s="3">
        <v>85</v>
      </c>
      <c r="N506" s="4">
        <v>44670</v>
      </c>
      <c r="O506" s="10">
        <v>325824.5393</v>
      </c>
    </row>
    <row r="507" spans="1:15" x14ac:dyDescent="0.3">
      <c r="A507" s="2">
        <v>505</v>
      </c>
      <c r="B507" s="3" t="s">
        <v>33</v>
      </c>
      <c r="C507" s="3" t="s">
        <v>68</v>
      </c>
      <c r="D507" s="3" t="s">
        <v>18</v>
      </c>
      <c r="E507" s="3" t="s">
        <v>23</v>
      </c>
      <c r="F507" s="3">
        <f t="shared" si="7"/>
        <v>1</v>
      </c>
      <c r="G507" s="3">
        <v>25160</v>
      </c>
      <c r="H507" s="3">
        <v>6</v>
      </c>
      <c r="I507" s="3">
        <v>50570</v>
      </c>
      <c r="J507" s="3">
        <f>IF(E507="Cold",1,0)</f>
        <v>0</v>
      </c>
      <c r="K507" s="3">
        <f>IF(E507="Hot",1,0)</f>
        <v>0</v>
      </c>
      <c r="L507" s="3">
        <v>1090</v>
      </c>
      <c r="M507" s="3">
        <v>50</v>
      </c>
      <c r="N507" s="4">
        <v>45397</v>
      </c>
      <c r="O507" s="10">
        <v>351189.69170000002</v>
      </c>
    </row>
    <row r="508" spans="1:15" x14ac:dyDescent="0.3">
      <c r="A508" s="2">
        <v>506</v>
      </c>
      <c r="B508" s="3" t="s">
        <v>16</v>
      </c>
      <c r="C508" s="3" t="s">
        <v>183</v>
      </c>
      <c r="D508" s="3" t="s">
        <v>18</v>
      </c>
      <c r="E508" s="3" t="s">
        <v>15</v>
      </c>
      <c r="F508" s="3">
        <f t="shared" si="7"/>
        <v>1</v>
      </c>
      <c r="G508" s="3">
        <v>25045</v>
      </c>
      <c r="H508" s="3">
        <v>5</v>
      </c>
      <c r="I508" s="3">
        <v>68805</v>
      </c>
      <c r="J508" s="3">
        <f>IF(E508="Cold",1,0)</f>
        <v>1</v>
      </c>
      <c r="K508" s="3">
        <f>IF(E508="Hot",1,0)</f>
        <v>0</v>
      </c>
      <c r="L508" s="3">
        <v>1739</v>
      </c>
      <c r="M508" s="3">
        <v>79</v>
      </c>
      <c r="N508" s="4">
        <v>43885</v>
      </c>
      <c r="O508" s="10">
        <v>345686.15409999999</v>
      </c>
    </row>
    <row r="509" spans="1:15" x14ac:dyDescent="0.3">
      <c r="A509" s="2">
        <v>507</v>
      </c>
      <c r="B509" s="3" t="s">
        <v>33</v>
      </c>
      <c r="C509" s="3" t="s">
        <v>80</v>
      </c>
      <c r="D509" s="3" t="s">
        <v>14</v>
      </c>
      <c r="E509" s="3" t="s">
        <v>15</v>
      </c>
      <c r="F509" s="3">
        <f t="shared" si="7"/>
        <v>0</v>
      </c>
      <c r="G509" s="3">
        <v>4645</v>
      </c>
      <c r="H509" s="3">
        <v>6</v>
      </c>
      <c r="I509" s="3">
        <v>79767</v>
      </c>
      <c r="J509" s="3">
        <f>IF(E509="Cold",1,0)</f>
        <v>1</v>
      </c>
      <c r="K509" s="3">
        <f>IF(E509="Hot",1,0)</f>
        <v>0</v>
      </c>
      <c r="L509" s="3">
        <v>1859</v>
      </c>
      <c r="M509" s="3">
        <v>89</v>
      </c>
      <c r="N509" s="4">
        <v>43883</v>
      </c>
      <c r="O509" s="10">
        <v>317337.00060000003</v>
      </c>
    </row>
    <row r="510" spans="1:15" x14ac:dyDescent="0.3">
      <c r="A510" s="2">
        <v>508</v>
      </c>
      <c r="B510" s="3" t="s">
        <v>55</v>
      </c>
      <c r="C510" s="3" t="s">
        <v>98</v>
      </c>
      <c r="D510" s="3" t="s">
        <v>14</v>
      </c>
      <c r="E510" s="3" t="s">
        <v>21</v>
      </c>
      <c r="F510" s="3">
        <f t="shared" si="7"/>
        <v>0</v>
      </c>
      <c r="G510" s="3">
        <v>11990</v>
      </c>
      <c r="H510" s="3">
        <v>0</v>
      </c>
      <c r="I510" s="3">
        <v>77054</v>
      </c>
      <c r="J510" s="3">
        <f>IF(E510="Cold",1,0)</f>
        <v>0</v>
      </c>
      <c r="K510" s="3">
        <f>IF(E510="Hot",1,0)</f>
        <v>1</v>
      </c>
      <c r="L510" s="3">
        <v>1071</v>
      </c>
      <c r="M510" s="3">
        <v>70</v>
      </c>
      <c r="N510" s="4">
        <v>44571</v>
      </c>
      <c r="O510" s="10">
        <v>335669.31640000001</v>
      </c>
    </row>
    <row r="511" spans="1:15" x14ac:dyDescent="0.3">
      <c r="A511" s="2">
        <v>509</v>
      </c>
      <c r="B511" s="3" t="s">
        <v>72</v>
      </c>
      <c r="C511" s="3" t="s">
        <v>180</v>
      </c>
      <c r="D511" s="3" t="s">
        <v>18</v>
      </c>
      <c r="E511" s="3" t="s">
        <v>15</v>
      </c>
      <c r="F511" s="3">
        <f t="shared" si="7"/>
        <v>1</v>
      </c>
      <c r="G511" s="3">
        <v>29464</v>
      </c>
      <c r="H511" s="3">
        <v>7</v>
      </c>
      <c r="I511" s="3">
        <v>69145</v>
      </c>
      <c r="J511" s="3">
        <f>IF(E511="Cold",1,0)</f>
        <v>1</v>
      </c>
      <c r="K511" s="3">
        <f>IF(E511="Hot",1,0)</f>
        <v>0</v>
      </c>
      <c r="L511" s="3">
        <v>2700</v>
      </c>
      <c r="M511" s="3">
        <v>77</v>
      </c>
      <c r="N511" s="4">
        <v>45132</v>
      </c>
      <c r="O511" s="10">
        <v>391057.99190000002</v>
      </c>
    </row>
    <row r="512" spans="1:15" x14ac:dyDescent="0.3">
      <c r="A512" s="2">
        <v>510</v>
      </c>
      <c r="B512" s="3" t="s">
        <v>44</v>
      </c>
      <c r="C512" s="3" t="s">
        <v>82</v>
      </c>
      <c r="D512" s="3" t="s">
        <v>18</v>
      </c>
      <c r="E512" s="3" t="s">
        <v>23</v>
      </c>
      <c r="F512" s="3">
        <f t="shared" si="7"/>
        <v>1</v>
      </c>
      <c r="G512" s="3">
        <v>25250</v>
      </c>
      <c r="H512" s="3">
        <v>7</v>
      </c>
      <c r="I512" s="3">
        <v>74815</v>
      </c>
      <c r="J512" s="3">
        <f>IF(E512="Cold",1,0)</f>
        <v>0</v>
      </c>
      <c r="K512" s="3">
        <f>IF(E512="Hot",1,0)</f>
        <v>0</v>
      </c>
      <c r="L512" s="3">
        <v>2720</v>
      </c>
      <c r="M512" s="3">
        <v>44</v>
      </c>
      <c r="N512" s="4">
        <v>45430</v>
      </c>
      <c r="O512" s="10">
        <v>405872.91249999998</v>
      </c>
    </row>
    <row r="513" spans="1:15" x14ac:dyDescent="0.3">
      <c r="A513" s="2">
        <v>511</v>
      </c>
      <c r="B513" s="3" t="s">
        <v>16</v>
      </c>
      <c r="C513" s="3" t="s">
        <v>207</v>
      </c>
      <c r="D513" s="3" t="s">
        <v>18</v>
      </c>
      <c r="E513" s="3" t="s">
        <v>21</v>
      </c>
      <c r="F513" s="3">
        <f t="shared" si="7"/>
        <v>1</v>
      </c>
      <c r="G513" s="3">
        <v>23962</v>
      </c>
      <c r="H513" s="3">
        <v>0</v>
      </c>
      <c r="I513" s="3">
        <v>78680</v>
      </c>
      <c r="J513" s="3">
        <f>IF(E513="Cold",1,0)</f>
        <v>0</v>
      </c>
      <c r="K513" s="3">
        <f>IF(E513="Hot",1,0)</f>
        <v>1</v>
      </c>
      <c r="L513" s="3">
        <v>2526</v>
      </c>
      <c r="M513" s="3">
        <v>54</v>
      </c>
      <c r="N513" s="4">
        <v>44454</v>
      </c>
      <c r="O513" s="10">
        <v>413318.65029999998</v>
      </c>
    </row>
    <row r="514" spans="1:15" x14ac:dyDescent="0.3">
      <c r="A514" s="2">
        <v>512</v>
      </c>
      <c r="B514" s="3" t="s">
        <v>35</v>
      </c>
      <c r="C514" s="3" t="s">
        <v>62</v>
      </c>
      <c r="D514" s="3" t="s">
        <v>18</v>
      </c>
      <c r="E514" s="3" t="s">
        <v>21</v>
      </c>
      <c r="F514" s="3">
        <f t="shared" si="7"/>
        <v>1</v>
      </c>
      <c r="G514" s="3">
        <v>19083</v>
      </c>
      <c r="H514" s="3">
        <v>2</v>
      </c>
      <c r="I514" s="3">
        <v>57739</v>
      </c>
      <c r="J514" s="3">
        <f>IF(E514="Cold",1,0)</f>
        <v>0</v>
      </c>
      <c r="K514" s="3">
        <f>IF(E514="Hot",1,0)</f>
        <v>1</v>
      </c>
      <c r="L514" s="3">
        <v>2437</v>
      </c>
      <c r="M514" s="3">
        <v>46</v>
      </c>
      <c r="N514" s="4">
        <v>45169</v>
      </c>
      <c r="O514" s="10">
        <v>387422.22610000003</v>
      </c>
    </row>
    <row r="515" spans="1:15" x14ac:dyDescent="0.3">
      <c r="A515" s="2">
        <v>513</v>
      </c>
      <c r="B515" s="3" t="s">
        <v>24</v>
      </c>
      <c r="C515" s="3" t="s">
        <v>97</v>
      </c>
      <c r="D515" s="3" t="s">
        <v>18</v>
      </c>
      <c r="E515" s="3" t="s">
        <v>21</v>
      </c>
      <c r="F515" s="3">
        <f t="shared" ref="F515:F578" si="8">IF(D515=$F$1,1,0)</f>
        <v>1</v>
      </c>
      <c r="G515" s="3">
        <v>24978</v>
      </c>
      <c r="H515" s="3">
        <v>2</v>
      </c>
      <c r="I515" s="3">
        <v>80543</v>
      </c>
      <c r="J515" s="3">
        <f>IF(E515="Cold",1,0)</f>
        <v>0</v>
      </c>
      <c r="K515" s="3">
        <f>IF(E515="Hot",1,0)</f>
        <v>1</v>
      </c>
      <c r="L515" s="3">
        <v>2009</v>
      </c>
      <c r="M515" s="3">
        <v>32</v>
      </c>
      <c r="N515" s="4">
        <v>44758</v>
      </c>
      <c r="O515" s="10">
        <v>337807.98879999999</v>
      </c>
    </row>
    <row r="516" spans="1:15" x14ac:dyDescent="0.3">
      <c r="A516" s="2">
        <v>514</v>
      </c>
      <c r="B516" s="3" t="s">
        <v>122</v>
      </c>
      <c r="C516" s="3" t="s">
        <v>208</v>
      </c>
      <c r="D516" s="3" t="s">
        <v>14</v>
      </c>
      <c r="E516" s="3" t="s">
        <v>15</v>
      </c>
      <c r="F516" s="3">
        <f t="shared" si="8"/>
        <v>0</v>
      </c>
      <c r="G516" s="3">
        <v>1210</v>
      </c>
      <c r="H516" s="3">
        <v>8</v>
      </c>
      <c r="I516" s="3">
        <v>52337</v>
      </c>
      <c r="J516" s="3">
        <f>IF(E516="Cold",1,0)</f>
        <v>1</v>
      </c>
      <c r="K516" s="3">
        <f>IF(E516="Hot",1,0)</f>
        <v>0</v>
      </c>
      <c r="L516" s="3">
        <v>1627</v>
      </c>
      <c r="M516" s="3">
        <v>34</v>
      </c>
      <c r="N516" s="4">
        <v>44528</v>
      </c>
      <c r="O516" s="10">
        <v>287039.56069999997</v>
      </c>
    </row>
    <row r="517" spans="1:15" x14ac:dyDescent="0.3">
      <c r="A517" s="2">
        <v>515</v>
      </c>
      <c r="B517" s="3" t="s">
        <v>74</v>
      </c>
      <c r="C517" s="3" t="s">
        <v>209</v>
      </c>
      <c r="D517" s="3" t="s">
        <v>14</v>
      </c>
      <c r="E517" s="3" t="s">
        <v>23</v>
      </c>
      <c r="F517" s="3">
        <f t="shared" si="8"/>
        <v>0</v>
      </c>
      <c r="G517" s="3">
        <v>14140</v>
      </c>
      <c r="H517" s="3">
        <v>5</v>
      </c>
      <c r="I517" s="3">
        <v>72310</v>
      </c>
      <c r="J517" s="3">
        <f>IF(E517="Cold",1,0)</f>
        <v>0</v>
      </c>
      <c r="K517" s="3">
        <f>IF(E517="Hot",1,0)</f>
        <v>0</v>
      </c>
      <c r="L517" s="3">
        <v>1221</v>
      </c>
      <c r="M517" s="3">
        <v>22</v>
      </c>
      <c r="N517" s="4">
        <v>43977</v>
      </c>
      <c r="O517" s="10">
        <v>307448.1531</v>
      </c>
    </row>
    <row r="518" spans="1:15" x14ac:dyDescent="0.3">
      <c r="A518" s="2">
        <v>516</v>
      </c>
      <c r="B518" s="3" t="s">
        <v>122</v>
      </c>
      <c r="C518" s="3" t="s">
        <v>189</v>
      </c>
      <c r="D518" s="3" t="s">
        <v>14</v>
      </c>
      <c r="E518" s="3" t="s">
        <v>23</v>
      </c>
      <c r="F518" s="3">
        <f t="shared" si="8"/>
        <v>0</v>
      </c>
      <c r="G518" s="3">
        <v>7115</v>
      </c>
      <c r="H518" s="3">
        <v>6</v>
      </c>
      <c r="I518" s="3">
        <v>98622</v>
      </c>
      <c r="J518" s="3">
        <f>IF(E518="Cold",1,0)</f>
        <v>0</v>
      </c>
      <c r="K518" s="3">
        <f>IF(E518="Hot",1,0)</f>
        <v>0</v>
      </c>
      <c r="L518" s="3">
        <v>2233</v>
      </c>
      <c r="M518" s="3">
        <v>44</v>
      </c>
      <c r="N518" s="4">
        <v>45420</v>
      </c>
      <c r="O518" s="10">
        <v>345167.5269</v>
      </c>
    </row>
    <row r="519" spans="1:15" x14ac:dyDescent="0.3">
      <c r="A519" s="2">
        <v>517</v>
      </c>
      <c r="B519" s="3" t="s">
        <v>12</v>
      </c>
      <c r="C519" s="3" t="s">
        <v>95</v>
      </c>
      <c r="D519" s="3" t="s">
        <v>18</v>
      </c>
      <c r="E519" s="3" t="s">
        <v>21</v>
      </c>
      <c r="F519" s="3">
        <f t="shared" si="8"/>
        <v>1</v>
      </c>
      <c r="G519" s="3">
        <v>11804</v>
      </c>
      <c r="H519" s="3">
        <v>2</v>
      </c>
      <c r="I519" s="3">
        <v>81531</v>
      </c>
      <c r="J519" s="3">
        <f>IF(E519="Cold",1,0)</f>
        <v>0</v>
      </c>
      <c r="K519" s="3">
        <f>IF(E519="Hot",1,0)</f>
        <v>1</v>
      </c>
      <c r="L519" s="3">
        <v>1852</v>
      </c>
      <c r="M519" s="3">
        <v>79</v>
      </c>
      <c r="N519" s="4">
        <v>45448</v>
      </c>
      <c r="O519" s="10">
        <v>390163.86820000003</v>
      </c>
    </row>
    <row r="520" spans="1:15" x14ac:dyDescent="0.3">
      <c r="A520" s="2">
        <v>518</v>
      </c>
      <c r="B520" s="3" t="s">
        <v>29</v>
      </c>
      <c r="C520" s="3" t="s">
        <v>132</v>
      </c>
      <c r="D520" s="3" t="s">
        <v>18</v>
      </c>
      <c r="E520" s="3" t="s">
        <v>21</v>
      </c>
      <c r="F520" s="3">
        <f t="shared" si="8"/>
        <v>1</v>
      </c>
      <c r="G520" s="3">
        <v>19516</v>
      </c>
      <c r="H520" s="3">
        <v>3</v>
      </c>
      <c r="I520" s="3">
        <v>60070</v>
      </c>
      <c r="J520" s="3">
        <f>IF(E520="Cold",1,0)</f>
        <v>0</v>
      </c>
      <c r="K520" s="3">
        <f>IF(E520="Hot",1,0)</f>
        <v>1</v>
      </c>
      <c r="L520" s="3">
        <v>1056</v>
      </c>
      <c r="M520" s="3">
        <v>21</v>
      </c>
      <c r="N520" s="4">
        <v>44004</v>
      </c>
      <c r="O520" s="10">
        <v>337503.06060000003</v>
      </c>
    </row>
    <row r="521" spans="1:15" x14ac:dyDescent="0.3">
      <c r="A521" s="2">
        <v>519</v>
      </c>
      <c r="B521" s="3" t="s">
        <v>29</v>
      </c>
      <c r="C521" s="3" t="s">
        <v>188</v>
      </c>
      <c r="D521" s="3" t="s">
        <v>14</v>
      </c>
      <c r="E521" s="3" t="s">
        <v>23</v>
      </c>
      <c r="F521" s="3">
        <f t="shared" si="8"/>
        <v>0</v>
      </c>
      <c r="G521" s="3">
        <v>21194</v>
      </c>
      <c r="H521" s="3">
        <v>5</v>
      </c>
      <c r="I521" s="3">
        <v>90611</v>
      </c>
      <c r="J521" s="3">
        <f>IF(E521="Cold",1,0)</f>
        <v>0</v>
      </c>
      <c r="K521" s="3">
        <f>IF(E521="Hot",1,0)</f>
        <v>0</v>
      </c>
      <c r="L521" s="3">
        <v>1124</v>
      </c>
      <c r="M521" s="3">
        <v>44</v>
      </c>
      <c r="N521" s="4">
        <v>45369</v>
      </c>
      <c r="O521" s="10">
        <v>300752.59419999999</v>
      </c>
    </row>
    <row r="522" spans="1:15" x14ac:dyDescent="0.3">
      <c r="A522" s="2">
        <v>520</v>
      </c>
      <c r="B522" s="3" t="s">
        <v>35</v>
      </c>
      <c r="C522" s="3" t="s">
        <v>191</v>
      </c>
      <c r="D522" s="3" t="s">
        <v>14</v>
      </c>
      <c r="E522" s="3" t="s">
        <v>15</v>
      </c>
      <c r="F522" s="3">
        <f t="shared" si="8"/>
        <v>0</v>
      </c>
      <c r="G522" s="3">
        <v>13900</v>
      </c>
      <c r="H522" s="3">
        <v>7</v>
      </c>
      <c r="I522" s="3">
        <v>95540</v>
      </c>
      <c r="J522" s="3">
        <f>IF(E522="Cold",1,0)</f>
        <v>1</v>
      </c>
      <c r="K522" s="3">
        <f>IF(E522="Hot",1,0)</f>
        <v>0</v>
      </c>
      <c r="L522" s="3">
        <v>2182</v>
      </c>
      <c r="M522" s="3">
        <v>54</v>
      </c>
      <c r="N522" s="4">
        <v>44775</v>
      </c>
      <c r="O522" s="10">
        <v>314182.70169999998</v>
      </c>
    </row>
    <row r="523" spans="1:15" x14ac:dyDescent="0.3">
      <c r="A523" s="2">
        <v>521</v>
      </c>
      <c r="B523" s="3" t="s">
        <v>12</v>
      </c>
      <c r="C523" s="3" t="s">
        <v>76</v>
      </c>
      <c r="D523" s="3" t="s">
        <v>14</v>
      </c>
      <c r="E523" s="3" t="s">
        <v>15</v>
      </c>
      <c r="F523" s="3">
        <f t="shared" si="8"/>
        <v>0</v>
      </c>
      <c r="G523" s="3">
        <v>24122</v>
      </c>
      <c r="H523" s="3">
        <v>1</v>
      </c>
      <c r="I523" s="3">
        <v>79180</v>
      </c>
      <c r="J523" s="3">
        <f>IF(E523="Cold",1,0)</f>
        <v>1</v>
      </c>
      <c r="K523" s="3">
        <f>IF(E523="Hot",1,0)</f>
        <v>0</v>
      </c>
      <c r="L523" s="3">
        <v>1868</v>
      </c>
      <c r="M523" s="3">
        <v>98</v>
      </c>
      <c r="N523" s="4">
        <v>44629</v>
      </c>
      <c r="O523" s="10">
        <v>335352.63179999997</v>
      </c>
    </row>
    <row r="524" spans="1:15" x14ac:dyDescent="0.3">
      <c r="A524" s="2">
        <v>522</v>
      </c>
      <c r="B524" s="3" t="s">
        <v>72</v>
      </c>
      <c r="C524" s="3" t="s">
        <v>96</v>
      </c>
      <c r="D524" s="3" t="s">
        <v>14</v>
      </c>
      <c r="E524" s="3" t="s">
        <v>21</v>
      </c>
      <c r="F524" s="3">
        <f t="shared" si="8"/>
        <v>0</v>
      </c>
      <c r="G524" s="3">
        <v>3286</v>
      </c>
      <c r="H524" s="3">
        <v>9</v>
      </c>
      <c r="I524" s="3">
        <v>54525</v>
      </c>
      <c r="J524" s="3">
        <f>IF(E524="Cold",1,0)</f>
        <v>0</v>
      </c>
      <c r="K524" s="3">
        <f>IF(E524="Hot",1,0)</f>
        <v>1</v>
      </c>
      <c r="L524" s="3">
        <v>1866</v>
      </c>
      <c r="M524" s="3">
        <v>21</v>
      </c>
      <c r="N524" s="4">
        <v>44812</v>
      </c>
      <c r="O524" s="10">
        <v>293241.13919999998</v>
      </c>
    </row>
    <row r="525" spans="1:15" x14ac:dyDescent="0.3">
      <c r="A525" s="2">
        <v>523</v>
      </c>
      <c r="B525" s="3" t="s">
        <v>19</v>
      </c>
      <c r="C525" s="3" t="s">
        <v>179</v>
      </c>
      <c r="D525" s="3" t="s">
        <v>14</v>
      </c>
      <c r="E525" s="3" t="s">
        <v>21</v>
      </c>
      <c r="F525" s="3">
        <f t="shared" si="8"/>
        <v>0</v>
      </c>
      <c r="G525" s="3">
        <v>19890</v>
      </c>
      <c r="H525" s="3">
        <v>9</v>
      </c>
      <c r="I525" s="3">
        <v>65670</v>
      </c>
      <c r="J525" s="3">
        <f>IF(E525="Cold",1,0)</f>
        <v>0</v>
      </c>
      <c r="K525" s="3">
        <f>IF(E525="Hot",1,0)</f>
        <v>1</v>
      </c>
      <c r="L525" s="3">
        <v>2475</v>
      </c>
      <c r="M525" s="3">
        <v>36</v>
      </c>
      <c r="N525" s="4">
        <v>44499</v>
      </c>
      <c r="O525" s="10">
        <v>345732.07030000002</v>
      </c>
    </row>
    <row r="526" spans="1:15" x14ac:dyDescent="0.3">
      <c r="A526" s="2">
        <v>524</v>
      </c>
      <c r="B526" s="3" t="s">
        <v>72</v>
      </c>
      <c r="C526" s="3" t="s">
        <v>180</v>
      </c>
      <c r="D526" s="3" t="s">
        <v>14</v>
      </c>
      <c r="E526" s="3" t="s">
        <v>21</v>
      </c>
      <c r="F526" s="3">
        <f t="shared" si="8"/>
        <v>0</v>
      </c>
      <c r="G526" s="3">
        <v>14490</v>
      </c>
      <c r="H526" s="3">
        <v>8</v>
      </c>
      <c r="I526" s="3">
        <v>81200</v>
      </c>
      <c r="J526" s="3">
        <f>IF(E526="Cold",1,0)</f>
        <v>0</v>
      </c>
      <c r="K526" s="3">
        <f>IF(E526="Hot",1,0)</f>
        <v>1</v>
      </c>
      <c r="L526" s="3">
        <v>2258</v>
      </c>
      <c r="M526" s="3">
        <v>26</v>
      </c>
      <c r="N526" s="4">
        <v>45159</v>
      </c>
      <c r="O526" s="10">
        <v>322566.61099999998</v>
      </c>
    </row>
    <row r="527" spans="1:15" x14ac:dyDescent="0.3">
      <c r="A527" s="2">
        <v>525</v>
      </c>
      <c r="B527" s="3" t="s">
        <v>26</v>
      </c>
      <c r="C527" s="3" t="s">
        <v>69</v>
      </c>
      <c r="D527" s="3" t="s">
        <v>14</v>
      </c>
      <c r="E527" s="3" t="s">
        <v>21</v>
      </c>
      <c r="F527" s="3">
        <f t="shared" si="8"/>
        <v>0</v>
      </c>
      <c r="G527" s="3">
        <v>13425</v>
      </c>
      <c r="H527" s="3">
        <v>3</v>
      </c>
      <c r="I527" s="3">
        <v>91907</v>
      </c>
      <c r="J527" s="3">
        <f>IF(E527="Cold",1,0)</f>
        <v>0</v>
      </c>
      <c r="K527" s="3">
        <f>IF(E527="Hot",1,0)</f>
        <v>1</v>
      </c>
      <c r="L527" s="3">
        <v>2759</v>
      </c>
      <c r="M527" s="3">
        <v>33</v>
      </c>
      <c r="N527" s="4">
        <v>44379</v>
      </c>
      <c r="O527" s="10">
        <v>350049.7782</v>
      </c>
    </row>
    <row r="528" spans="1:15" x14ac:dyDescent="0.3">
      <c r="A528" s="2">
        <v>526</v>
      </c>
      <c r="B528" s="3" t="s">
        <v>74</v>
      </c>
      <c r="C528" s="3" t="s">
        <v>113</v>
      </c>
      <c r="D528" s="3" t="s">
        <v>14</v>
      </c>
      <c r="E528" s="3" t="s">
        <v>15</v>
      </c>
      <c r="F528" s="3">
        <f t="shared" si="8"/>
        <v>0</v>
      </c>
      <c r="G528" s="3">
        <v>12250</v>
      </c>
      <c r="H528" s="3">
        <v>3</v>
      </c>
      <c r="I528" s="3">
        <v>83255</v>
      </c>
      <c r="J528" s="3">
        <f>IF(E528="Cold",1,0)</f>
        <v>1</v>
      </c>
      <c r="K528" s="3">
        <f>IF(E528="Hot",1,0)</f>
        <v>0</v>
      </c>
      <c r="L528" s="3">
        <v>2179</v>
      </c>
      <c r="M528" s="3">
        <v>79</v>
      </c>
      <c r="N528" s="4">
        <v>45407</v>
      </c>
      <c r="O528" s="10">
        <v>332096.28850000002</v>
      </c>
    </row>
    <row r="529" spans="1:15" x14ac:dyDescent="0.3">
      <c r="A529" s="2">
        <v>527</v>
      </c>
      <c r="B529" s="3" t="s">
        <v>57</v>
      </c>
      <c r="C529" s="3" t="s">
        <v>162</v>
      </c>
      <c r="D529" s="3" t="s">
        <v>18</v>
      </c>
      <c r="E529" s="3" t="s">
        <v>21</v>
      </c>
      <c r="F529" s="3">
        <f t="shared" si="8"/>
        <v>1</v>
      </c>
      <c r="G529" s="3">
        <v>14937</v>
      </c>
      <c r="H529" s="3">
        <v>9</v>
      </c>
      <c r="I529" s="3">
        <v>56260</v>
      </c>
      <c r="J529" s="3">
        <f>IF(E529="Cold",1,0)</f>
        <v>0</v>
      </c>
      <c r="K529" s="3">
        <f>IF(E529="Hot",1,0)</f>
        <v>1</v>
      </c>
      <c r="L529" s="3">
        <v>2245</v>
      </c>
      <c r="M529" s="3">
        <v>56</v>
      </c>
      <c r="N529" s="4">
        <v>44407</v>
      </c>
      <c r="O529" s="10">
        <v>402737.68420000002</v>
      </c>
    </row>
    <row r="530" spans="1:15" x14ac:dyDescent="0.3">
      <c r="A530" s="2">
        <v>528</v>
      </c>
      <c r="B530" s="3" t="s">
        <v>122</v>
      </c>
      <c r="C530" s="3" t="s">
        <v>195</v>
      </c>
      <c r="D530" s="3" t="s">
        <v>18</v>
      </c>
      <c r="E530" s="3" t="s">
        <v>15</v>
      </c>
      <c r="F530" s="3">
        <f t="shared" si="8"/>
        <v>1</v>
      </c>
      <c r="G530" s="3">
        <v>6212</v>
      </c>
      <c r="H530" s="3">
        <v>8</v>
      </c>
      <c r="I530" s="3">
        <v>82853</v>
      </c>
      <c r="J530" s="3">
        <f>IF(E530="Cold",1,0)</f>
        <v>1</v>
      </c>
      <c r="K530" s="3">
        <f>IF(E530="Hot",1,0)</f>
        <v>0</v>
      </c>
      <c r="L530" s="3">
        <v>2266</v>
      </c>
      <c r="M530" s="3">
        <v>70</v>
      </c>
      <c r="N530" s="4">
        <v>45097</v>
      </c>
      <c r="O530" s="10">
        <v>400290.10969999997</v>
      </c>
    </row>
    <row r="531" spans="1:15" x14ac:dyDescent="0.3">
      <c r="A531" s="2">
        <v>529</v>
      </c>
      <c r="B531" s="3" t="s">
        <v>28</v>
      </c>
      <c r="C531" s="3" t="s">
        <v>181</v>
      </c>
      <c r="D531" s="3" t="s">
        <v>14</v>
      </c>
      <c r="E531" s="3" t="s">
        <v>21</v>
      </c>
      <c r="F531" s="3">
        <f t="shared" si="8"/>
        <v>0</v>
      </c>
      <c r="G531" s="3">
        <v>17953</v>
      </c>
      <c r="H531" s="3">
        <v>4</v>
      </c>
      <c r="I531" s="3">
        <v>79795</v>
      </c>
      <c r="J531" s="3">
        <f>IF(E531="Cold",1,0)</f>
        <v>0</v>
      </c>
      <c r="K531" s="3">
        <f>IF(E531="Hot",1,0)</f>
        <v>1</v>
      </c>
      <c r="L531" s="3">
        <v>1418</v>
      </c>
      <c r="M531" s="3">
        <v>56</v>
      </c>
      <c r="N531" s="4">
        <v>43897</v>
      </c>
      <c r="O531" s="10">
        <v>331401.9559</v>
      </c>
    </row>
    <row r="532" spans="1:15" x14ac:dyDescent="0.3">
      <c r="A532" s="2">
        <v>530</v>
      </c>
      <c r="B532" s="3" t="s">
        <v>28</v>
      </c>
      <c r="C532" s="3" t="s">
        <v>43</v>
      </c>
      <c r="D532" s="3" t="s">
        <v>14</v>
      </c>
      <c r="E532" s="3" t="s">
        <v>21</v>
      </c>
      <c r="F532" s="3">
        <f t="shared" si="8"/>
        <v>0</v>
      </c>
      <c r="G532" s="3">
        <v>8935</v>
      </c>
      <c r="H532" s="3">
        <v>6</v>
      </c>
      <c r="I532" s="3">
        <v>58111</v>
      </c>
      <c r="J532" s="3">
        <f>IF(E532="Cold",1,0)</f>
        <v>0</v>
      </c>
      <c r="K532" s="3">
        <f>IF(E532="Hot",1,0)</f>
        <v>1</v>
      </c>
      <c r="L532" s="3">
        <v>1063</v>
      </c>
      <c r="M532" s="3">
        <v>56</v>
      </c>
      <c r="N532" s="4">
        <v>44909</v>
      </c>
      <c r="O532" s="10">
        <v>308916.13909999997</v>
      </c>
    </row>
    <row r="533" spans="1:15" x14ac:dyDescent="0.3">
      <c r="A533" s="2">
        <v>531</v>
      </c>
      <c r="B533" s="3" t="s">
        <v>40</v>
      </c>
      <c r="C533" s="3" t="s">
        <v>210</v>
      </c>
      <c r="D533" s="3" t="s">
        <v>14</v>
      </c>
      <c r="E533" s="3" t="s">
        <v>21</v>
      </c>
      <c r="F533" s="3">
        <f t="shared" si="8"/>
        <v>0</v>
      </c>
      <c r="G533" s="3">
        <v>16050</v>
      </c>
      <c r="H533" s="3">
        <v>1</v>
      </c>
      <c r="I533" s="3">
        <v>97828</v>
      </c>
      <c r="J533" s="3">
        <f>IF(E533="Cold",1,0)</f>
        <v>0</v>
      </c>
      <c r="K533" s="3">
        <f>IF(E533="Hot",1,0)</f>
        <v>1</v>
      </c>
      <c r="L533" s="3">
        <v>2327</v>
      </c>
      <c r="M533" s="3">
        <v>95</v>
      </c>
      <c r="N533" s="4">
        <v>44158</v>
      </c>
      <c r="O533" s="10">
        <v>355417.31880000001</v>
      </c>
    </row>
    <row r="534" spans="1:15" x14ac:dyDescent="0.3">
      <c r="A534" s="2">
        <v>532</v>
      </c>
      <c r="B534" s="3" t="s">
        <v>16</v>
      </c>
      <c r="C534" s="3" t="s">
        <v>211</v>
      </c>
      <c r="D534" s="3" t="s">
        <v>18</v>
      </c>
      <c r="E534" s="3" t="s">
        <v>23</v>
      </c>
      <c r="F534" s="3">
        <f t="shared" si="8"/>
        <v>1</v>
      </c>
      <c r="G534" s="3">
        <v>15068</v>
      </c>
      <c r="H534" s="3">
        <v>6</v>
      </c>
      <c r="I534" s="3">
        <v>86477</v>
      </c>
      <c r="J534" s="3">
        <f>IF(E534="Cold",1,0)</f>
        <v>0</v>
      </c>
      <c r="K534" s="3">
        <f>IF(E534="Hot",1,0)</f>
        <v>0</v>
      </c>
      <c r="L534" s="3">
        <v>1943</v>
      </c>
      <c r="M534" s="3">
        <v>24</v>
      </c>
      <c r="N534" s="4">
        <v>44687</v>
      </c>
      <c r="O534" s="10">
        <v>367255.04489999998</v>
      </c>
    </row>
    <row r="535" spans="1:15" x14ac:dyDescent="0.3">
      <c r="A535" s="2">
        <v>533</v>
      </c>
      <c r="B535" s="3" t="s">
        <v>35</v>
      </c>
      <c r="C535" s="3" t="s">
        <v>200</v>
      </c>
      <c r="D535" s="3" t="s">
        <v>18</v>
      </c>
      <c r="E535" s="3" t="s">
        <v>21</v>
      </c>
      <c r="F535" s="3">
        <f t="shared" si="8"/>
        <v>1</v>
      </c>
      <c r="G535" s="3">
        <v>9868</v>
      </c>
      <c r="H535" s="3">
        <v>3</v>
      </c>
      <c r="I535" s="3">
        <v>97967</v>
      </c>
      <c r="J535" s="3">
        <f>IF(E535="Cold",1,0)</f>
        <v>0</v>
      </c>
      <c r="K535" s="3">
        <f>IF(E535="Hot",1,0)</f>
        <v>1</v>
      </c>
      <c r="L535" s="3">
        <v>1350</v>
      </c>
      <c r="M535" s="3">
        <v>75</v>
      </c>
      <c r="N535" s="4">
        <v>44088</v>
      </c>
      <c r="O535" s="10">
        <v>350839.82049999997</v>
      </c>
    </row>
    <row r="536" spans="1:15" x14ac:dyDescent="0.3">
      <c r="A536" s="2">
        <v>534</v>
      </c>
      <c r="B536" s="3" t="s">
        <v>37</v>
      </c>
      <c r="C536" s="3" t="s">
        <v>128</v>
      </c>
      <c r="D536" s="3" t="s">
        <v>14</v>
      </c>
      <c r="E536" s="3" t="s">
        <v>15</v>
      </c>
      <c r="F536" s="3">
        <f t="shared" si="8"/>
        <v>0</v>
      </c>
      <c r="G536" s="3">
        <v>28137</v>
      </c>
      <c r="H536" s="3">
        <v>1</v>
      </c>
      <c r="I536" s="3">
        <v>84806</v>
      </c>
      <c r="J536" s="3">
        <f>IF(E536="Cold",1,0)</f>
        <v>1</v>
      </c>
      <c r="K536" s="3">
        <f>IF(E536="Hot",1,0)</f>
        <v>0</v>
      </c>
      <c r="L536" s="3">
        <v>1109</v>
      </c>
      <c r="M536" s="3">
        <v>24</v>
      </c>
      <c r="N536" s="4">
        <v>45016</v>
      </c>
      <c r="O536" s="10">
        <v>292172.04029999999</v>
      </c>
    </row>
    <row r="537" spans="1:15" x14ac:dyDescent="0.3">
      <c r="A537" s="2">
        <v>535</v>
      </c>
      <c r="B537" s="3" t="s">
        <v>26</v>
      </c>
      <c r="C537" s="3" t="s">
        <v>93</v>
      </c>
      <c r="D537" s="3" t="s">
        <v>14</v>
      </c>
      <c r="E537" s="3" t="s">
        <v>23</v>
      </c>
      <c r="F537" s="3">
        <f t="shared" si="8"/>
        <v>0</v>
      </c>
      <c r="G537" s="3">
        <v>1349</v>
      </c>
      <c r="H537" s="3">
        <v>5</v>
      </c>
      <c r="I537" s="3">
        <v>66250</v>
      </c>
      <c r="J537" s="3">
        <f>IF(E537="Cold",1,0)</f>
        <v>0</v>
      </c>
      <c r="K537" s="3">
        <f>IF(E537="Hot",1,0)</f>
        <v>0</v>
      </c>
      <c r="L537" s="3">
        <v>2541</v>
      </c>
      <c r="M537" s="3">
        <v>47</v>
      </c>
      <c r="N537" s="4">
        <v>45362</v>
      </c>
      <c r="O537" s="10">
        <v>339163.53330000001</v>
      </c>
    </row>
    <row r="538" spans="1:15" x14ac:dyDescent="0.3">
      <c r="A538" s="2">
        <v>536</v>
      </c>
      <c r="B538" s="3" t="s">
        <v>74</v>
      </c>
      <c r="C538" s="3" t="s">
        <v>106</v>
      </c>
      <c r="D538" s="3" t="s">
        <v>18</v>
      </c>
      <c r="E538" s="3" t="s">
        <v>23</v>
      </c>
      <c r="F538" s="3">
        <f t="shared" si="8"/>
        <v>1</v>
      </c>
      <c r="G538" s="3">
        <v>7032</v>
      </c>
      <c r="H538" s="3">
        <v>0</v>
      </c>
      <c r="I538" s="3">
        <v>85272</v>
      </c>
      <c r="J538" s="3">
        <f>IF(E538="Cold",1,0)</f>
        <v>0</v>
      </c>
      <c r="K538" s="3">
        <f>IF(E538="Hot",1,0)</f>
        <v>0</v>
      </c>
      <c r="L538" s="3">
        <v>2795</v>
      </c>
      <c r="M538" s="3">
        <v>46</v>
      </c>
      <c r="N538" s="4">
        <v>44472</v>
      </c>
      <c r="O538" s="10">
        <v>407596.4375</v>
      </c>
    </row>
    <row r="539" spans="1:15" x14ac:dyDescent="0.3">
      <c r="A539" s="2">
        <v>537</v>
      </c>
      <c r="B539" s="3" t="s">
        <v>35</v>
      </c>
      <c r="C539" s="3" t="s">
        <v>139</v>
      </c>
      <c r="D539" s="3" t="s">
        <v>18</v>
      </c>
      <c r="E539" s="3" t="s">
        <v>15</v>
      </c>
      <c r="F539" s="3">
        <f t="shared" si="8"/>
        <v>1</v>
      </c>
      <c r="G539" s="3">
        <v>14937</v>
      </c>
      <c r="H539" s="3">
        <v>0</v>
      </c>
      <c r="I539" s="3">
        <v>69228</v>
      </c>
      <c r="J539" s="3">
        <f>IF(E539="Cold",1,0)</f>
        <v>1</v>
      </c>
      <c r="K539" s="3">
        <f>IF(E539="Hot",1,0)</f>
        <v>0</v>
      </c>
      <c r="L539" s="3">
        <v>1662</v>
      </c>
      <c r="M539" s="3">
        <v>40</v>
      </c>
      <c r="N539" s="4">
        <v>45016</v>
      </c>
      <c r="O539" s="10">
        <v>359593.04810000001</v>
      </c>
    </row>
    <row r="540" spans="1:15" x14ac:dyDescent="0.3">
      <c r="A540" s="2">
        <v>538</v>
      </c>
      <c r="B540" s="3" t="s">
        <v>57</v>
      </c>
      <c r="C540" s="3" t="s">
        <v>206</v>
      </c>
      <c r="D540" s="3" t="s">
        <v>14</v>
      </c>
      <c r="E540" s="3" t="s">
        <v>15</v>
      </c>
      <c r="F540" s="3">
        <f t="shared" si="8"/>
        <v>0</v>
      </c>
      <c r="G540" s="3">
        <v>9841</v>
      </c>
      <c r="H540" s="3">
        <v>9</v>
      </c>
      <c r="I540" s="3">
        <v>91693</v>
      </c>
      <c r="J540" s="3">
        <f>IF(E540="Cold",1,0)</f>
        <v>1</v>
      </c>
      <c r="K540" s="3">
        <f>IF(E540="Hot",1,0)</f>
        <v>0</v>
      </c>
      <c r="L540" s="3">
        <v>2920</v>
      </c>
      <c r="M540" s="3">
        <v>60</v>
      </c>
      <c r="N540" s="4">
        <v>44588</v>
      </c>
      <c r="O540" s="10">
        <v>330672.10769999999</v>
      </c>
    </row>
    <row r="541" spans="1:15" x14ac:dyDescent="0.3">
      <c r="A541" s="2">
        <v>539</v>
      </c>
      <c r="B541" s="3" t="s">
        <v>33</v>
      </c>
      <c r="C541" s="3" t="s">
        <v>184</v>
      </c>
      <c r="D541" s="3" t="s">
        <v>14</v>
      </c>
      <c r="E541" s="3" t="s">
        <v>15</v>
      </c>
      <c r="F541" s="3">
        <f t="shared" si="8"/>
        <v>0</v>
      </c>
      <c r="G541" s="3">
        <v>16390</v>
      </c>
      <c r="H541" s="3">
        <v>9</v>
      </c>
      <c r="I541" s="3">
        <v>74594</v>
      </c>
      <c r="J541" s="3">
        <f>IF(E541="Cold",1,0)</f>
        <v>1</v>
      </c>
      <c r="K541" s="3">
        <f>IF(E541="Hot",1,0)</f>
        <v>0</v>
      </c>
      <c r="L541" s="3">
        <v>2554</v>
      </c>
      <c r="M541" s="3">
        <v>99</v>
      </c>
      <c r="N541" s="4">
        <v>44107</v>
      </c>
      <c r="O541" s="10">
        <v>340403.27169999998</v>
      </c>
    </row>
    <row r="542" spans="1:15" x14ac:dyDescent="0.3">
      <c r="A542" s="2">
        <v>540</v>
      </c>
      <c r="B542" s="3" t="s">
        <v>28</v>
      </c>
      <c r="C542" s="3" t="s">
        <v>187</v>
      </c>
      <c r="D542" s="3" t="s">
        <v>18</v>
      </c>
      <c r="E542" s="3" t="s">
        <v>15</v>
      </c>
      <c r="F542" s="3">
        <f t="shared" si="8"/>
        <v>1</v>
      </c>
      <c r="G542" s="3">
        <v>15918</v>
      </c>
      <c r="H542" s="3">
        <v>4</v>
      </c>
      <c r="I542" s="3">
        <v>77404</v>
      </c>
      <c r="J542" s="3">
        <f>IF(E542="Cold",1,0)</f>
        <v>1</v>
      </c>
      <c r="K542" s="3">
        <f>IF(E542="Hot",1,0)</f>
        <v>0</v>
      </c>
      <c r="L542" s="3">
        <v>1497</v>
      </c>
      <c r="M542" s="3">
        <v>21</v>
      </c>
      <c r="N542" s="4">
        <v>44933</v>
      </c>
      <c r="O542" s="10">
        <v>311936.0171</v>
      </c>
    </row>
    <row r="543" spans="1:15" x14ac:dyDescent="0.3">
      <c r="A543" s="2">
        <v>541</v>
      </c>
      <c r="B543" s="3" t="s">
        <v>33</v>
      </c>
      <c r="C543" s="3" t="s">
        <v>91</v>
      </c>
      <c r="D543" s="3" t="s">
        <v>14</v>
      </c>
      <c r="E543" s="3" t="s">
        <v>23</v>
      </c>
      <c r="F543" s="3">
        <f t="shared" si="8"/>
        <v>0</v>
      </c>
      <c r="G543" s="3">
        <v>26957</v>
      </c>
      <c r="H543" s="3">
        <v>6</v>
      </c>
      <c r="I543" s="3">
        <v>90802</v>
      </c>
      <c r="J543" s="3">
        <f>IF(E543="Cold",1,0)</f>
        <v>0</v>
      </c>
      <c r="K543" s="3">
        <f>IF(E543="Hot",1,0)</f>
        <v>0</v>
      </c>
      <c r="L543" s="3">
        <v>1725</v>
      </c>
      <c r="M543" s="3">
        <v>55</v>
      </c>
      <c r="N543" s="4">
        <v>45210</v>
      </c>
      <c r="O543" s="10">
        <v>341399.71399999998</v>
      </c>
    </row>
    <row r="544" spans="1:15" x14ac:dyDescent="0.3">
      <c r="A544" s="2">
        <v>542</v>
      </c>
      <c r="B544" s="3" t="s">
        <v>31</v>
      </c>
      <c r="C544" s="3" t="s">
        <v>146</v>
      </c>
      <c r="D544" s="3" t="s">
        <v>18</v>
      </c>
      <c r="E544" s="3" t="s">
        <v>15</v>
      </c>
      <c r="F544" s="3">
        <f t="shared" si="8"/>
        <v>1</v>
      </c>
      <c r="G544" s="3">
        <v>21843</v>
      </c>
      <c r="H544" s="3">
        <v>0</v>
      </c>
      <c r="I544" s="3">
        <v>87146</v>
      </c>
      <c r="J544" s="3">
        <f>IF(E544="Cold",1,0)</f>
        <v>1</v>
      </c>
      <c r="K544" s="3">
        <f>IF(E544="Hot",1,0)</f>
        <v>0</v>
      </c>
      <c r="L544" s="3">
        <v>2328</v>
      </c>
      <c r="M544" s="3">
        <v>51</v>
      </c>
      <c r="N544" s="4">
        <v>45171</v>
      </c>
      <c r="O544" s="10">
        <v>346603.33630000002</v>
      </c>
    </row>
    <row r="545" spans="1:15" x14ac:dyDescent="0.3">
      <c r="A545" s="2">
        <v>543</v>
      </c>
      <c r="B545" s="3" t="s">
        <v>72</v>
      </c>
      <c r="C545" s="3" t="s">
        <v>151</v>
      </c>
      <c r="D545" s="3" t="s">
        <v>18</v>
      </c>
      <c r="E545" s="3" t="s">
        <v>21</v>
      </c>
      <c r="F545" s="3">
        <f t="shared" si="8"/>
        <v>1</v>
      </c>
      <c r="G545" s="3">
        <v>16942</v>
      </c>
      <c r="H545" s="3">
        <v>7</v>
      </c>
      <c r="I545" s="3">
        <v>68324</v>
      </c>
      <c r="J545" s="3">
        <f>IF(E545="Cold",1,0)</f>
        <v>0</v>
      </c>
      <c r="K545" s="3">
        <f>IF(E545="Hot",1,0)</f>
        <v>1</v>
      </c>
      <c r="L545" s="3">
        <v>2928</v>
      </c>
      <c r="M545" s="3">
        <v>63</v>
      </c>
      <c r="N545" s="4">
        <v>43871</v>
      </c>
      <c r="O545" s="10">
        <v>400666.90960000001</v>
      </c>
    </row>
    <row r="546" spans="1:15" x14ac:dyDescent="0.3">
      <c r="A546" s="2">
        <v>544</v>
      </c>
      <c r="B546" s="3" t="s">
        <v>29</v>
      </c>
      <c r="C546" s="3" t="s">
        <v>83</v>
      </c>
      <c r="D546" s="3" t="s">
        <v>14</v>
      </c>
      <c r="E546" s="3" t="s">
        <v>15</v>
      </c>
      <c r="F546" s="3">
        <f t="shared" si="8"/>
        <v>0</v>
      </c>
      <c r="G546" s="3">
        <v>9787</v>
      </c>
      <c r="H546" s="3">
        <v>9</v>
      </c>
      <c r="I546" s="3">
        <v>70703</v>
      </c>
      <c r="J546" s="3">
        <f>IF(E546="Cold",1,0)</f>
        <v>1</v>
      </c>
      <c r="K546" s="3">
        <f>IF(E546="Hot",1,0)</f>
        <v>0</v>
      </c>
      <c r="L546" s="3">
        <v>1121</v>
      </c>
      <c r="M546" s="3">
        <v>30</v>
      </c>
      <c r="N546" s="4">
        <v>44977</v>
      </c>
      <c r="O546" s="10">
        <v>282177.29070000001</v>
      </c>
    </row>
    <row r="547" spans="1:15" x14ac:dyDescent="0.3">
      <c r="A547" s="2">
        <v>545</v>
      </c>
      <c r="B547" s="3" t="s">
        <v>28</v>
      </c>
      <c r="C547" s="3" t="s">
        <v>187</v>
      </c>
      <c r="D547" s="3" t="s">
        <v>14</v>
      </c>
      <c r="E547" s="3" t="s">
        <v>23</v>
      </c>
      <c r="F547" s="3">
        <f t="shared" si="8"/>
        <v>0</v>
      </c>
      <c r="G547" s="3">
        <v>7329</v>
      </c>
      <c r="H547" s="3">
        <v>1</v>
      </c>
      <c r="I547" s="3">
        <v>90957</v>
      </c>
      <c r="J547" s="3">
        <f>IF(E547="Cold",1,0)</f>
        <v>0</v>
      </c>
      <c r="K547" s="3">
        <f>IF(E547="Hot",1,0)</f>
        <v>0</v>
      </c>
      <c r="L547" s="3">
        <v>1832</v>
      </c>
      <c r="M547" s="3">
        <v>55</v>
      </c>
      <c r="N547" s="4">
        <v>45477</v>
      </c>
      <c r="O547" s="10">
        <v>347689.6017</v>
      </c>
    </row>
    <row r="548" spans="1:15" x14ac:dyDescent="0.3">
      <c r="A548" s="2">
        <v>546</v>
      </c>
      <c r="B548" s="3" t="s">
        <v>33</v>
      </c>
      <c r="C548" s="3" t="s">
        <v>91</v>
      </c>
      <c r="D548" s="3" t="s">
        <v>18</v>
      </c>
      <c r="E548" s="3" t="s">
        <v>23</v>
      </c>
      <c r="F548" s="3">
        <f t="shared" si="8"/>
        <v>1</v>
      </c>
      <c r="G548" s="3">
        <v>23958</v>
      </c>
      <c r="H548" s="3">
        <v>3</v>
      </c>
      <c r="I548" s="3">
        <v>75394</v>
      </c>
      <c r="J548" s="3">
        <f>IF(E548="Cold",1,0)</f>
        <v>0</v>
      </c>
      <c r="K548" s="3">
        <f>IF(E548="Hot",1,0)</f>
        <v>0</v>
      </c>
      <c r="L548" s="3">
        <v>2587</v>
      </c>
      <c r="M548" s="3">
        <v>81</v>
      </c>
      <c r="N548" s="4">
        <v>44729</v>
      </c>
      <c r="O548" s="10">
        <v>405137.35239999997</v>
      </c>
    </row>
    <row r="549" spans="1:15" x14ac:dyDescent="0.3">
      <c r="A549" s="2">
        <v>547</v>
      </c>
      <c r="B549" s="3" t="s">
        <v>55</v>
      </c>
      <c r="C549" s="3" t="s">
        <v>67</v>
      </c>
      <c r="D549" s="3" t="s">
        <v>14</v>
      </c>
      <c r="E549" s="3" t="s">
        <v>23</v>
      </c>
      <c r="F549" s="3">
        <f t="shared" si="8"/>
        <v>0</v>
      </c>
      <c r="G549" s="3">
        <v>2687</v>
      </c>
      <c r="H549" s="3">
        <v>7</v>
      </c>
      <c r="I549" s="3">
        <v>69171</v>
      </c>
      <c r="J549" s="3">
        <f>IF(E549="Cold",1,0)</f>
        <v>0</v>
      </c>
      <c r="K549" s="3">
        <f>IF(E549="Hot",1,0)</f>
        <v>0</v>
      </c>
      <c r="L549" s="3">
        <v>1466</v>
      </c>
      <c r="M549" s="3">
        <v>38</v>
      </c>
      <c r="N549" s="4">
        <v>44854</v>
      </c>
      <c r="O549" s="10">
        <v>318452.8628</v>
      </c>
    </row>
    <row r="550" spans="1:15" x14ac:dyDescent="0.3">
      <c r="A550" s="2">
        <v>548</v>
      </c>
      <c r="B550" s="3" t="s">
        <v>19</v>
      </c>
      <c r="C550" s="3" t="s">
        <v>179</v>
      </c>
      <c r="D550" s="3" t="s">
        <v>14</v>
      </c>
      <c r="E550" s="3" t="s">
        <v>21</v>
      </c>
      <c r="F550" s="3">
        <f t="shared" si="8"/>
        <v>0</v>
      </c>
      <c r="G550" s="3">
        <v>27325</v>
      </c>
      <c r="H550" s="3">
        <v>8</v>
      </c>
      <c r="I550" s="3">
        <v>82681</v>
      </c>
      <c r="J550" s="3">
        <f>IF(E550="Cold",1,0)</f>
        <v>0</v>
      </c>
      <c r="K550" s="3">
        <f>IF(E550="Hot",1,0)</f>
        <v>1</v>
      </c>
      <c r="L550" s="3">
        <v>2577</v>
      </c>
      <c r="M550" s="3">
        <v>80</v>
      </c>
      <c r="N550" s="4">
        <v>45327</v>
      </c>
      <c r="O550" s="10">
        <v>344585.40769999998</v>
      </c>
    </row>
    <row r="551" spans="1:15" x14ac:dyDescent="0.3">
      <c r="A551" s="2">
        <v>549</v>
      </c>
      <c r="B551" s="3" t="s">
        <v>12</v>
      </c>
      <c r="C551" s="3" t="s">
        <v>76</v>
      </c>
      <c r="D551" s="3" t="s">
        <v>18</v>
      </c>
      <c r="E551" s="3" t="s">
        <v>15</v>
      </c>
      <c r="F551" s="3">
        <f t="shared" si="8"/>
        <v>1</v>
      </c>
      <c r="G551" s="3">
        <v>7873</v>
      </c>
      <c r="H551" s="3">
        <v>0</v>
      </c>
      <c r="I551" s="3">
        <v>91494</v>
      </c>
      <c r="J551" s="3">
        <f>IF(E551="Cold",1,0)</f>
        <v>1</v>
      </c>
      <c r="K551" s="3">
        <f>IF(E551="Hot",1,0)</f>
        <v>0</v>
      </c>
      <c r="L551" s="3">
        <v>2908</v>
      </c>
      <c r="M551" s="3">
        <v>96</v>
      </c>
      <c r="N551" s="4">
        <v>44271</v>
      </c>
      <c r="O551" s="10">
        <v>394543.54639999999</v>
      </c>
    </row>
    <row r="552" spans="1:15" x14ac:dyDescent="0.3">
      <c r="A552" s="2">
        <v>550</v>
      </c>
      <c r="B552" s="3" t="s">
        <v>44</v>
      </c>
      <c r="C552" s="3" t="s">
        <v>82</v>
      </c>
      <c r="D552" s="3" t="s">
        <v>14</v>
      </c>
      <c r="E552" s="3" t="s">
        <v>15</v>
      </c>
      <c r="F552" s="3">
        <f t="shared" si="8"/>
        <v>0</v>
      </c>
      <c r="G552" s="3">
        <v>21310</v>
      </c>
      <c r="H552" s="3">
        <v>4</v>
      </c>
      <c r="I552" s="3">
        <v>64682</v>
      </c>
      <c r="J552" s="3">
        <f>IF(E552="Cold",1,0)</f>
        <v>1</v>
      </c>
      <c r="K552" s="3">
        <f>IF(E552="Hot",1,0)</f>
        <v>0</v>
      </c>
      <c r="L552" s="3">
        <v>2218</v>
      </c>
      <c r="M552" s="3">
        <v>45</v>
      </c>
      <c r="N552" s="4">
        <v>45397</v>
      </c>
      <c r="O552" s="10">
        <v>307350.14179999998</v>
      </c>
    </row>
    <row r="553" spans="1:15" x14ac:dyDescent="0.3">
      <c r="A553" s="2">
        <v>551</v>
      </c>
      <c r="B553" s="3" t="s">
        <v>37</v>
      </c>
      <c r="C553" s="3" t="s">
        <v>127</v>
      </c>
      <c r="D553" s="3" t="s">
        <v>18</v>
      </c>
      <c r="E553" s="3" t="s">
        <v>23</v>
      </c>
      <c r="F553" s="3">
        <f t="shared" si="8"/>
        <v>1</v>
      </c>
      <c r="G553" s="3">
        <v>27584</v>
      </c>
      <c r="H553" s="3">
        <v>9</v>
      </c>
      <c r="I553" s="3">
        <v>88044</v>
      </c>
      <c r="J553" s="3">
        <f>IF(E553="Cold",1,0)</f>
        <v>0</v>
      </c>
      <c r="K553" s="3">
        <f>IF(E553="Hot",1,0)</f>
        <v>0</v>
      </c>
      <c r="L553" s="3">
        <v>2895</v>
      </c>
      <c r="M553" s="3">
        <v>61</v>
      </c>
      <c r="N553" s="4">
        <v>45058</v>
      </c>
      <c r="O553" s="10">
        <v>416331.26750000002</v>
      </c>
    </row>
    <row r="554" spans="1:15" x14ac:dyDescent="0.3">
      <c r="A554" s="2">
        <v>552</v>
      </c>
      <c r="B554" s="3" t="s">
        <v>16</v>
      </c>
      <c r="C554" s="3" t="s">
        <v>22</v>
      </c>
      <c r="D554" s="3" t="s">
        <v>18</v>
      </c>
      <c r="E554" s="3" t="s">
        <v>15</v>
      </c>
      <c r="F554" s="3">
        <f t="shared" si="8"/>
        <v>1</v>
      </c>
      <c r="G554" s="3">
        <v>4457</v>
      </c>
      <c r="H554" s="3">
        <v>5</v>
      </c>
      <c r="I554" s="3">
        <v>96968</v>
      </c>
      <c r="J554" s="3">
        <f>IF(E554="Cold",1,0)</f>
        <v>1</v>
      </c>
      <c r="K554" s="3">
        <f>IF(E554="Hot",1,0)</f>
        <v>0</v>
      </c>
      <c r="L554" s="3">
        <v>2608</v>
      </c>
      <c r="M554" s="3">
        <v>89</v>
      </c>
      <c r="N554" s="4">
        <v>45047</v>
      </c>
      <c r="O554" s="10">
        <v>388285.85119999998</v>
      </c>
    </row>
    <row r="555" spans="1:15" x14ac:dyDescent="0.3">
      <c r="A555" s="2">
        <v>553</v>
      </c>
      <c r="B555" s="3" t="s">
        <v>53</v>
      </c>
      <c r="C555" s="3" t="s">
        <v>157</v>
      </c>
      <c r="D555" s="3" t="s">
        <v>14</v>
      </c>
      <c r="E555" s="3" t="s">
        <v>21</v>
      </c>
      <c r="F555" s="3">
        <f t="shared" si="8"/>
        <v>0</v>
      </c>
      <c r="G555" s="3">
        <v>5407</v>
      </c>
      <c r="H555" s="3">
        <v>2</v>
      </c>
      <c r="I555" s="3">
        <v>97679</v>
      </c>
      <c r="J555" s="3">
        <f>IF(E555="Cold",1,0)</f>
        <v>0</v>
      </c>
      <c r="K555" s="3">
        <f>IF(E555="Hot",1,0)</f>
        <v>1</v>
      </c>
      <c r="L555" s="3">
        <v>1899</v>
      </c>
      <c r="M555" s="3">
        <v>47</v>
      </c>
      <c r="N555" s="4">
        <v>44841</v>
      </c>
      <c r="O555" s="10">
        <v>343747.86249999999</v>
      </c>
    </row>
    <row r="556" spans="1:15" x14ac:dyDescent="0.3">
      <c r="A556" s="2">
        <v>554</v>
      </c>
      <c r="B556" s="3" t="s">
        <v>31</v>
      </c>
      <c r="C556" s="3" t="s">
        <v>146</v>
      </c>
      <c r="D556" s="3" t="s">
        <v>14</v>
      </c>
      <c r="E556" s="3" t="s">
        <v>21</v>
      </c>
      <c r="F556" s="3">
        <f t="shared" si="8"/>
        <v>0</v>
      </c>
      <c r="G556" s="3">
        <v>12618</v>
      </c>
      <c r="H556" s="3">
        <v>6</v>
      </c>
      <c r="I556" s="3">
        <v>90350</v>
      </c>
      <c r="J556" s="3">
        <f>IF(E556="Cold",1,0)</f>
        <v>0</v>
      </c>
      <c r="K556" s="3">
        <f>IF(E556="Hot",1,0)</f>
        <v>1</v>
      </c>
      <c r="L556" s="3">
        <v>2318</v>
      </c>
      <c r="M556" s="3">
        <v>33</v>
      </c>
      <c r="N556" s="4">
        <v>44809</v>
      </c>
      <c r="O556" s="10">
        <v>331388.69900000002</v>
      </c>
    </row>
    <row r="557" spans="1:15" x14ac:dyDescent="0.3">
      <c r="A557" s="2">
        <v>555</v>
      </c>
      <c r="B557" s="3" t="s">
        <v>40</v>
      </c>
      <c r="C557" s="3" t="s">
        <v>103</v>
      </c>
      <c r="D557" s="3" t="s">
        <v>14</v>
      </c>
      <c r="E557" s="3" t="s">
        <v>21</v>
      </c>
      <c r="F557" s="3">
        <f t="shared" si="8"/>
        <v>0</v>
      </c>
      <c r="G557" s="3">
        <v>18256</v>
      </c>
      <c r="H557" s="3">
        <v>6</v>
      </c>
      <c r="I557" s="3">
        <v>98459</v>
      </c>
      <c r="J557" s="3">
        <f>IF(E557="Cold",1,0)</f>
        <v>0</v>
      </c>
      <c r="K557" s="3">
        <f>IF(E557="Hot",1,0)</f>
        <v>1</v>
      </c>
      <c r="L557" s="3">
        <v>2696</v>
      </c>
      <c r="M557" s="3">
        <v>83</v>
      </c>
      <c r="N557" s="4">
        <v>45171</v>
      </c>
      <c r="O557" s="10">
        <v>364265.04710000003</v>
      </c>
    </row>
    <row r="558" spans="1:15" x14ac:dyDescent="0.3">
      <c r="A558" s="2">
        <v>556</v>
      </c>
      <c r="B558" s="3" t="s">
        <v>44</v>
      </c>
      <c r="C558" s="3" t="s">
        <v>201</v>
      </c>
      <c r="D558" s="3" t="s">
        <v>14</v>
      </c>
      <c r="E558" s="3" t="s">
        <v>23</v>
      </c>
      <c r="F558" s="3">
        <f t="shared" si="8"/>
        <v>0</v>
      </c>
      <c r="G558" s="3">
        <v>16219</v>
      </c>
      <c r="H558" s="3">
        <v>8</v>
      </c>
      <c r="I558" s="3">
        <v>94559</v>
      </c>
      <c r="J558" s="3">
        <f>IF(E558="Cold",1,0)</f>
        <v>0</v>
      </c>
      <c r="K558" s="3">
        <f>IF(E558="Hot",1,0)</f>
        <v>0</v>
      </c>
      <c r="L558" s="3">
        <v>2042</v>
      </c>
      <c r="M558" s="3">
        <v>33</v>
      </c>
      <c r="N558" s="4">
        <v>44466</v>
      </c>
      <c r="O558" s="10">
        <v>345101.16979999997</v>
      </c>
    </row>
    <row r="559" spans="1:15" x14ac:dyDescent="0.3">
      <c r="A559" s="2">
        <v>557</v>
      </c>
      <c r="B559" s="3" t="s">
        <v>53</v>
      </c>
      <c r="C559" s="3" t="s">
        <v>212</v>
      </c>
      <c r="D559" s="3" t="s">
        <v>18</v>
      </c>
      <c r="E559" s="3" t="s">
        <v>21</v>
      </c>
      <c r="F559" s="3">
        <f t="shared" si="8"/>
        <v>1</v>
      </c>
      <c r="G559" s="3">
        <v>16975</v>
      </c>
      <c r="H559" s="3">
        <v>1</v>
      </c>
      <c r="I559" s="3">
        <v>75436</v>
      </c>
      <c r="J559" s="3">
        <f>IF(E559="Cold",1,0)</f>
        <v>0</v>
      </c>
      <c r="K559" s="3">
        <f>IF(E559="Hot",1,0)</f>
        <v>1</v>
      </c>
      <c r="L559" s="3">
        <v>2933</v>
      </c>
      <c r="M559" s="3">
        <v>52</v>
      </c>
      <c r="N559" s="4">
        <v>44002</v>
      </c>
      <c r="O559" s="10">
        <v>401214.09820000001</v>
      </c>
    </row>
    <row r="560" spans="1:15" x14ac:dyDescent="0.3">
      <c r="A560" s="2">
        <v>558</v>
      </c>
      <c r="B560" s="3" t="s">
        <v>40</v>
      </c>
      <c r="C560" s="3" t="s">
        <v>41</v>
      </c>
      <c r="D560" s="3" t="s">
        <v>14</v>
      </c>
      <c r="E560" s="3" t="s">
        <v>23</v>
      </c>
      <c r="F560" s="3">
        <f t="shared" si="8"/>
        <v>0</v>
      </c>
      <c r="G560" s="3">
        <v>14600</v>
      </c>
      <c r="H560" s="3">
        <v>3</v>
      </c>
      <c r="I560" s="3">
        <v>94640</v>
      </c>
      <c r="J560" s="3">
        <f>IF(E560="Cold",1,0)</f>
        <v>0</v>
      </c>
      <c r="K560" s="3">
        <f>IF(E560="Hot",1,0)</f>
        <v>0</v>
      </c>
      <c r="L560" s="3">
        <v>2583</v>
      </c>
      <c r="M560" s="3">
        <v>40</v>
      </c>
      <c r="N560" s="4">
        <v>44944</v>
      </c>
      <c r="O560" s="10">
        <v>320211.62400000001</v>
      </c>
    </row>
    <row r="561" spans="1:15" x14ac:dyDescent="0.3">
      <c r="A561" s="2">
        <v>559</v>
      </c>
      <c r="B561" s="3" t="s">
        <v>122</v>
      </c>
      <c r="C561" s="3" t="s">
        <v>208</v>
      </c>
      <c r="D561" s="3" t="s">
        <v>18</v>
      </c>
      <c r="E561" s="3" t="s">
        <v>23</v>
      </c>
      <c r="F561" s="3">
        <f t="shared" si="8"/>
        <v>1</v>
      </c>
      <c r="G561" s="3">
        <v>858</v>
      </c>
      <c r="H561" s="3">
        <v>8</v>
      </c>
      <c r="I561" s="3">
        <v>72803</v>
      </c>
      <c r="J561" s="3">
        <f>IF(E561="Cold",1,0)</f>
        <v>0</v>
      </c>
      <c r="K561" s="3">
        <f>IF(E561="Hot",1,0)</f>
        <v>0</v>
      </c>
      <c r="L561" s="3">
        <v>2378</v>
      </c>
      <c r="M561" s="3">
        <v>39</v>
      </c>
      <c r="N561" s="4">
        <v>43902</v>
      </c>
      <c r="O561" s="10">
        <v>369657.04950000002</v>
      </c>
    </row>
    <row r="562" spans="1:15" x14ac:dyDescent="0.3">
      <c r="A562" s="2">
        <v>560</v>
      </c>
      <c r="B562" s="3" t="s">
        <v>55</v>
      </c>
      <c r="C562" s="3" t="s">
        <v>67</v>
      </c>
      <c r="D562" s="3" t="s">
        <v>18</v>
      </c>
      <c r="E562" s="3" t="s">
        <v>21</v>
      </c>
      <c r="F562" s="3">
        <f t="shared" si="8"/>
        <v>1</v>
      </c>
      <c r="G562" s="3">
        <v>8410</v>
      </c>
      <c r="H562" s="3">
        <v>8</v>
      </c>
      <c r="I562" s="3">
        <v>52488</v>
      </c>
      <c r="J562" s="3">
        <f>IF(E562="Cold",1,0)</f>
        <v>0</v>
      </c>
      <c r="K562" s="3">
        <f>IF(E562="Hot",1,0)</f>
        <v>1</v>
      </c>
      <c r="L562" s="3">
        <v>1281</v>
      </c>
      <c r="M562" s="3">
        <v>90</v>
      </c>
      <c r="N562" s="4">
        <v>44810</v>
      </c>
      <c r="O562" s="10">
        <v>356611.73710000003</v>
      </c>
    </row>
    <row r="563" spans="1:15" x14ac:dyDescent="0.3">
      <c r="A563" s="2">
        <v>561</v>
      </c>
      <c r="B563" s="3" t="s">
        <v>72</v>
      </c>
      <c r="C563" s="3" t="s">
        <v>213</v>
      </c>
      <c r="D563" s="3" t="s">
        <v>18</v>
      </c>
      <c r="E563" s="3" t="s">
        <v>21</v>
      </c>
      <c r="F563" s="3">
        <f t="shared" si="8"/>
        <v>1</v>
      </c>
      <c r="G563" s="3">
        <v>13140</v>
      </c>
      <c r="H563" s="3">
        <v>4</v>
      </c>
      <c r="I563" s="3">
        <v>74228</v>
      </c>
      <c r="J563" s="3">
        <f>IF(E563="Cold",1,0)</f>
        <v>0</v>
      </c>
      <c r="K563" s="3">
        <f>IF(E563="Hot",1,0)</f>
        <v>1</v>
      </c>
      <c r="L563" s="3">
        <v>2631</v>
      </c>
      <c r="M563" s="3">
        <v>37</v>
      </c>
      <c r="N563" s="4">
        <v>43943</v>
      </c>
      <c r="O563" s="10">
        <v>369568.05379999999</v>
      </c>
    </row>
    <row r="564" spans="1:15" x14ac:dyDescent="0.3">
      <c r="A564" s="2">
        <v>562</v>
      </c>
      <c r="B564" s="3" t="s">
        <v>28</v>
      </c>
      <c r="C564" s="3" t="s">
        <v>46</v>
      </c>
      <c r="D564" s="3" t="s">
        <v>14</v>
      </c>
      <c r="E564" s="3" t="s">
        <v>15</v>
      </c>
      <c r="F564" s="3">
        <f t="shared" si="8"/>
        <v>0</v>
      </c>
      <c r="G564" s="3">
        <v>2364</v>
      </c>
      <c r="H564" s="3">
        <v>3</v>
      </c>
      <c r="I564" s="3">
        <v>84700</v>
      </c>
      <c r="J564" s="3">
        <f>IF(E564="Cold",1,0)</f>
        <v>1</v>
      </c>
      <c r="K564" s="3">
        <f>IF(E564="Hot",1,0)</f>
        <v>0</v>
      </c>
      <c r="L564" s="3">
        <v>2416</v>
      </c>
      <c r="M564" s="3">
        <v>61</v>
      </c>
      <c r="N564" s="4">
        <v>45275</v>
      </c>
      <c r="O564" s="10">
        <v>329368.89549999998</v>
      </c>
    </row>
    <row r="565" spans="1:15" x14ac:dyDescent="0.3">
      <c r="A565" s="2">
        <v>563</v>
      </c>
      <c r="B565" s="3" t="s">
        <v>35</v>
      </c>
      <c r="C565" s="3" t="s">
        <v>200</v>
      </c>
      <c r="D565" s="3" t="s">
        <v>18</v>
      </c>
      <c r="E565" s="3" t="s">
        <v>21</v>
      </c>
      <c r="F565" s="3">
        <f t="shared" si="8"/>
        <v>1</v>
      </c>
      <c r="G565" s="3">
        <v>23936</v>
      </c>
      <c r="H565" s="3">
        <v>2</v>
      </c>
      <c r="I565" s="3">
        <v>87630</v>
      </c>
      <c r="J565" s="3">
        <f>IF(E565="Cold",1,0)</f>
        <v>0</v>
      </c>
      <c r="K565" s="3">
        <f>IF(E565="Hot",1,0)</f>
        <v>1</v>
      </c>
      <c r="L565" s="3">
        <v>2796</v>
      </c>
      <c r="M565" s="3">
        <v>90</v>
      </c>
      <c r="N565" s="4">
        <v>44817</v>
      </c>
      <c r="O565" s="10">
        <v>421427.30229999998</v>
      </c>
    </row>
    <row r="566" spans="1:15" x14ac:dyDescent="0.3">
      <c r="A566" s="2">
        <v>564</v>
      </c>
      <c r="B566" s="3" t="s">
        <v>16</v>
      </c>
      <c r="C566" s="3" t="s">
        <v>211</v>
      </c>
      <c r="D566" s="3" t="s">
        <v>18</v>
      </c>
      <c r="E566" s="3" t="s">
        <v>23</v>
      </c>
      <c r="F566" s="3">
        <f t="shared" si="8"/>
        <v>1</v>
      </c>
      <c r="G566" s="3">
        <v>12369</v>
      </c>
      <c r="H566" s="3">
        <v>0</v>
      </c>
      <c r="I566" s="3">
        <v>92599</v>
      </c>
      <c r="J566" s="3">
        <f>IF(E566="Cold",1,0)</f>
        <v>0</v>
      </c>
      <c r="K566" s="3">
        <f>IF(E566="Hot",1,0)</f>
        <v>0</v>
      </c>
      <c r="L566" s="3">
        <v>2899</v>
      </c>
      <c r="M566" s="3">
        <v>80</v>
      </c>
      <c r="N566" s="4">
        <v>45264</v>
      </c>
      <c r="O566" s="10">
        <v>414938.94280000002</v>
      </c>
    </row>
    <row r="567" spans="1:15" x14ac:dyDescent="0.3">
      <c r="A567" s="2">
        <v>565</v>
      </c>
      <c r="B567" s="3" t="s">
        <v>31</v>
      </c>
      <c r="C567" s="3" t="s">
        <v>165</v>
      </c>
      <c r="D567" s="3" t="s">
        <v>18</v>
      </c>
      <c r="E567" s="3" t="s">
        <v>21</v>
      </c>
      <c r="F567" s="3">
        <f t="shared" si="8"/>
        <v>1</v>
      </c>
      <c r="G567" s="3">
        <v>20391</v>
      </c>
      <c r="H567" s="3">
        <v>9</v>
      </c>
      <c r="I567" s="3">
        <v>65221</v>
      </c>
      <c r="J567" s="3">
        <f>IF(E567="Cold",1,0)</f>
        <v>0</v>
      </c>
      <c r="K567" s="3">
        <f>IF(E567="Hot",1,0)</f>
        <v>1</v>
      </c>
      <c r="L567" s="3">
        <v>1634</v>
      </c>
      <c r="M567" s="3">
        <v>26</v>
      </c>
      <c r="N567" s="4">
        <v>44899</v>
      </c>
      <c r="O567" s="10">
        <v>329599.66090000002</v>
      </c>
    </row>
    <row r="568" spans="1:15" x14ac:dyDescent="0.3">
      <c r="A568" s="2">
        <v>566</v>
      </c>
      <c r="B568" s="3" t="s">
        <v>24</v>
      </c>
      <c r="C568" s="3" t="s">
        <v>94</v>
      </c>
      <c r="D568" s="3" t="s">
        <v>18</v>
      </c>
      <c r="E568" s="3" t="s">
        <v>21</v>
      </c>
      <c r="F568" s="3">
        <f t="shared" si="8"/>
        <v>1</v>
      </c>
      <c r="G568" s="3">
        <v>20343</v>
      </c>
      <c r="H568" s="3">
        <v>5</v>
      </c>
      <c r="I568" s="3">
        <v>63824</v>
      </c>
      <c r="J568" s="3">
        <f>IF(E568="Cold",1,0)</f>
        <v>0</v>
      </c>
      <c r="K568" s="3">
        <f>IF(E568="Hot",1,0)</f>
        <v>1</v>
      </c>
      <c r="L568" s="3">
        <v>1977</v>
      </c>
      <c r="M568" s="3">
        <v>35</v>
      </c>
      <c r="N568" s="4">
        <v>45505</v>
      </c>
      <c r="O568" s="10">
        <v>383612.8407</v>
      </c>
    </row>
    <row r="569" spans="1:15" x14ac:dyDescent="0.3">
      <c r="A569" s="2">
        <v>567</v>
      </c>
      <c r="B569" s="3" t="s">
        <v>12</v>
      </c>
      <c r="C569" s="3" t="s">
        <v>13</v>
      </c>
      <c r="D569" s="3" t="s">
        <v>14</v>
      </c>
      <c r="E569" s="3" t="s">
        <v>15</v>
      </c>
      <c r="F569" s="3">
        <f t="shared" si="8"/>
        <v>0</v>
      </c>
      <c r="G569" s="3">
        <v>25113</v>
      </c>
      <c r="H569" s="3">
        <v>1</v>
      </c>
      <c r="I569" s="3">
        <v>92655</v>
      </c>
      <c r="J569" s="3">
        <f>IF(E569="Cold",1,0)</f>
        <v>1</v>
      </c>
      <c r="K569" s="3">
        <f>IF(E569="Hot",1,0)</f>
        <v>0</v>
      </c>
      <c r="L569" s="3">
        <v>1014</v>
      </c>
      <c r="M569" s="3">
        <v>72</v>
      </c>
      <c r="N569" s="4">
        <v>43976</v>
      </c>
      <c r="O569" s="10">
        <v>327230.51750000002</v>
      </c>
    </row>
    <row r="570" spans="1:15" x14ac:dyDescent="0.3">
      <c r="A570" s="2">
        <v>568</v>
      </c>
      <c r="B570" s="3" t="s">
        <v>16</v>
      </c>
      <c r="C570" s="3" t="s">
        <v>176</v>
      </c>
      <c r="D570" s="3" t="s">
        <v>14</v>
      </c>
      <c r="E570" s="3" t="s">
        <v>21</v>
      </c>
      <c r="F570" s="3">
        <f t="shared" si="8"/>
        <v>0</v>
      </c>
      <c r="G570" s="3">
        <v>20547</v>
      </c>
      <c r="H570" s="3">
        <v>6</v>
      </c>
      <c r="I570" s="3">
        <v>59695</v>
      </c>
      <c r="J570" s="3">
        <f>IF(E570="Cold",1,0)</f>
        <v>0</v>
      </c>
      <c r="K570" s="3">
        <f>IF(E570="Hot",1,0)</f>
        <v>1</v>
      </c>
      <c r="L570" s="3">
        <v>2954</v>
      </c>
      <c r="M570" s="3">
        <v>43</v>
      </c>
      <c r="N570" s="4">
        <v>44136</v>
      </c>
      <c r="O570" s="10">
        <v>345537.48180000001</v>
      </c>
    </row>
    <row r="571" spans="1:15" x14ac:dyDescent="0.3">
      <c r="A571" s="2">
        <v>569</v>
      </c>
      <c r="B571" s="3" t="s">
        <v>40</v>
      </c>
      <c r="C571" s="3" t="s">
        <v>121</v>
      </c>
      <c r="D571" s="3" t="s">
        <v>14</v>
      </c>
      <c r="E571" s="3" t="s">
        <v>15</v>
      </c>
      <c r="F571" s="3">
        <f t="shared" si="8"/>
        <v>0</v>
      </c>
      <c r="G571" s="3">
        <v>3554</v>
      </c>
      <c r="H571" s="3">
        <v>6</v>
      </c>
      <c r="I571" s="3">
        <v>64576</v>
      </c>
      <c r="J571" s="3">
        <f>IF(E571="Cold",1,0)</f>
        <v>1</v>
      </c>
      <c r="K571" s="3">
        <f>IF(E571="Hot",1,0)</f>
        <v>0</v>
      </c>
      <c r="L571" s="3">
        <v>2160</v>
      </c>
      <c r="M571" s="3">
        <v>90</v>
      </c>
      <c r="N571" s="4">
        <v>44448</v>
      </c>
      <c r="O571" s="10">
        <v>315737.91850000003</v>
      </c>
    </row>
    <row r="572" spans="1:15" x14ac:dyDescent="0.3">
      <c r="A572" s="2">
        <v>570</v>
      </c>
      <c r="B572" s="3" t="s">
        <v>16</v>
      </c>
      <c r="C572" s="3" t="s">
        <v>87</v>
      </c>
      <c r="D572" s="3" t="s">
        <v>18</v>
      </c>
      <c r="E572" s="3" t="s">
        <v>23</v>
      </c>
      <c r="F572" s="3">
        <f t="shared" si="8"/>
        <v>1</v>
      </c>
      <c r="G572" s="3">
        <v>4797</v>
      </c>
      <c r="H572" s="3">
        <v>0</v>
      </c>
      <c r="I572" s="3">
        <v>52257</v>
      </c>
      <c r="J572" s="3">
        <f>IF(E572="Cold",1,0)</f>
        <v>0</v>
      </c>
      <c r="K572" s="3">
        <f>IF(E572="Hot",1,0)</f>
        <v>0</v>
      </c>
      <c r="L572" s="3">
        <v>2512</v>
      </c>
      <c r="M572" s="3">
        <v>35</v>
      </c>
      <c r="N572" s="4">
        <v>44115</v>
      </c>
      <c r="O572" s="10">
        <v>377262.38329999999</v>
      </c>
    </row>
    <row r="573" spans="1:15" x14ac:dyDescent="0.3">
      <c r="A573" s="2">
        <v>571</v>
      </c>
      <c r="B573" s="3" t="s">
        <v>35</v>
      </c>
      <c r="C573" s="3" t="s">
        <v>150</v>
      </c>
      <c r="D573" s="3" t="s">
        <v>14</v>
      </c>
      <c r="E573" s="3" t="s">
        <v>21</v>
      </c>
      <c r="F573" s="3">
        <f t="shared" si="8"/>
        <v>0</v>
      </c>
      <c r="G573" s="3">
        <v>25974</v>
      </c>
      <c r="H573" s="3">
        <v>8</v>
      </c>
      <c r="I573" s="3">
        <v>69317</v>
      </c>
      <c r="J573" s="3">
        <f>IF(E573="Cold",1,0)</f>
        <v>0</v>
      </c>
      <c r="K573" s="3">
        <f>IF(E573="Hot",1,0)</f>
        <v>1</v>
      </c>
      <c r="L573" s="3">
        <v>1783</v>
      </c>
      <c r="M573" s="3">
        <v>96</v>
      </c>
      <c r="N573" s="4">
        <v>44872</v>
      </c>
      <c r="O573" s="10">
        <v>358738.15350000001</v>
      </c>
    </row>
    <row r="574" spans="1:15" x14ac:dyDescent="0.3">
      <c r="A574" s="2">
        <v>572</v>
      </c>
      <c r="B574" s="3" t="s">
        <v>33</v>
      </c>
      <c r="C574" s="3" t="s">
        <v>88</v>
      </c>
      <c r="D574" s="3" t="s">
        <v>14</v>
      </c>
      <c r="E574" s="3" t="s">
        <v>15</v>
      </c>
      <c r="F574" s="3">
        <f t="shared" si="8"/>
        <v>0</v>
      </c>
      <c r="G574" s="3">
        <v>8761</v>
      </c>
      <c r="H574" s="3">
        <v>0</v>
      </c>
      <c r="I574" s="3">
        <v>77075</v>
      </c>
      <c r="J574" s="3">
        <f>IF(E574="Cold",1,0)</f>
        <v>1</v>
      </c>
      <c r="K574" s="3">
        <f>IF(E574="Hot",1,0)</f>
        <v>0</v>
      </c>
      <c r="L574" s="3">
        <v>2764</v>
      </c>
      <c r="M574" s="3">
        <v>53</v>
      </c>
      <c r="N574" s="4">
        <v>44812</v>
      </c>
      <c r="O574" s="10">
        <v>322905.32809999998</v>
      </c>
    </row>
    <row r="575" spans="1:15" x14ac:dyDescent="0.3">
      <c r="A575" s="2">
        <v>573</v>
      </c>
      <c r="B575" s="3" t="s">
        <v>12</v>
      </c>
      <c r="C575" s="3" t="s">
        <v>50</v>
      </c>
      <c r="D575" s="3" t="s">
        <v>18</v>
      </c>
      <c r="E575" s="3" t="s">
        <v>15</v>
      </c>
      <c r="F575" s="3">
        <f t="shared" si="8"/>
        <v>1</v>
      </c>
      <c r="G575" s="3">
        <v>7031</v>
      </c>
      <c r="H575" s="3">
        <v>0</v>
      </c>
      <c r="I575" s="3">
        <v>82244</v>
      </c>
      <c r="J575" s="3">
        <f>IF(E575="Cold",1,0)</f>
        <v>1</v>
      </c>
      <c r="K575" s="3">
        <f>IF(E575="Hot",1,0)</f>
        <v>0</v>
      </c>
      <c r="L575" s="3">
        <v>2705</v>
      </c>
      <c r="M575" s="3">
        <v>54</v>
      </c>
      <c r="N575" s="4">
        <v>44232</v>
      </c>
      <c r="O575" s="10">
        <v>363113.43359999999</v>
      </c>
    </row>
    <row r="576" spans="1:15" x14ac:dyDescent="0.3">
      <c r="A576" s="2">
        <v>574</v>
      </c>
      <c r="B576" s="3" t="s">
        <v>108</v>
      </c>
      <c r="C576" s="3" t="s">
        <v>214</v>
      </c>
      <c r="D576" s="3" t="s">
        <v>18</v>
      </c>
      <c r="E576" s="3" t="s">
        <v>23</v>
      </c>
      <c r="F576" s="3">
        <f t="shared" si="8"/>
        <v>1</v>
      </c>
      <c r="G576" s="3">
        <v>4150</v>
      </c>
      <c r="H576" s="3">
        <v>5</v>
      </c>
      <c r="I576" s="3">
        <v>81827</v>
      </c>
      <c r="J576" s="3">
        <f>IF(E576="Cold",1,0)</f>
        <v>0</v>
      </c>
      <c r="K576" s="3">
        <f>IF(E576="Hot",1,0)</f>
        <v>0</v>
      </c>
      <c r="L576" s="3">
        <v>1172</v>
      </c>
      <c r="M576" s="3">
        <v>31</v>
      </c>
      <c r="N576" s="4">
        <v>45477</v>
      </c>
      <c r="O576" s="10">
        <v>336605.24770000001</v>
      </c>
    </row>
    <row r="577" spans="1:15" x14ac:dyDescent="0.3">
      <c r="A577" s="2">
        <v>575</v>
      </c>
      <c r="B577" s="3" t="s">
        <v>74</v>
      </c>
      <c r="C577" s="3" t="s">
        <v>89</v>
      </c>
      <c r="D577" s="3" t="s">
        <v>14</v>
      </c>
      <c r="E577" s="3" t="s">
        <v>23</v>
      </c>
      <c r="F577" s="3">
        <f t="shared" si="8"/>
        <v>0</v>
      </c>
      <c r="G577" s="3">
        <v>26863</v>
      </c>
      <c r="H577" s="3">
        <v>7</v>
      </c>
      <c r="I577" s="3">
        <v>63405</v>
      </c>
      <c r="J577" s="3">
        <f>IF(E577="Cold",1,0)</f>
        <v>0</v>
      </c>
      <c r="K577" s="3">
        <f>IF(E577="Hot",1,0)</f>
        <v>0</v>
      </c>
      <c r="L577" s="3">
        <v>2155</v>
      </c>
      <c r="M577" s="3">
        <v>93</v>
      </c>
      <c r="N577" s="4">
        <v>44903</v>
      </c>
      <c r="O577" s="10">
        <v>345800.5564</v>
      </c>
    </row>
    <row r="578" spans="1:15" x14ac:dyDescent="0.3">
      <c r="A578" s="2">
        <v>576</v>
      </c>
      <c r="B578" s="3" t="s">
        <v>74</v>
      </c>
      <c r="C578" s="3" t="s">
        <v>75</v>
      </c>
      <c r="D578" s="3" t="s">
        <v>18</v>
      </c>
      <c r="E578" s="3" t="s">
        <v>23</v>
      </c>
      <c r="F578" s="3">
        <f t="shared" si="8"/>
        <v>1</v>
      </c>
      <c r="G578" s="3">
        <v>6181</v>
      </c>
      <c r="H578" s="3">
        <v>3</v>
      </c>
      <c r="I578" s="3">
        <v>80379</v>
      </c>
      <c r="J578" s="3">
        <f>IF(E578="Cold",1,0)</f>
        <v>0</v>
      </c>
      <c r="K578" s="3">
        <f>IF(E578="Hot",1,0)</f>
        <v>0</v>
      </c>
      <c r="L578" s="3">
        <v>1371</v>
      </c>
      <c r="M578" s="3">
        <v>95</v>
      </c>
      <c r="N578" s="4">
        <v>45095</v>
      </c>
      <c r="O578" s="10">
        <v>343825.72269999998</v>
      </c>
    </row>
    <row r="579" spans="1:15" x14ac:dyDescent="0.3">
      <c r="A579" s="2">
        <v>577</v>
      </c>
      <c r="B579" s="3" t="s">
        <v>122</v>
      </c>
      <c r="C579" s="3" t="s">
        <v>98</v>
      </c>
      <c r="D579" s="3" t="s">
        <v>18</v>
      </c>
      <c r="E579" s="3" t="s">
        <v>21</v>
      </c>
      <c r="F579" s="3">
        <f t="shared" ref="F579:F642" si="9">IF(D579=$F$1,1,0)</f>
        <v>1</v>
      </c>
      <c r="G579" s="3">
        <v>932</v>
      </c>
      <c r="H579" s="3">
        <v>0</v>
      </c>
      <c r="I579" s="3">
        <v>87509</v>
      </c>
      <c r="J579" s="3">
        <f>IF(E579="Cold",1,0)</f>
        <v>0</v>
      </c>
      <c r="K579" s="3">
        <f>IF(E579="Hot",1,0)</f>
        <v>1</v>
      </c>
      <c r="L579" s="3">
        <v>1347</v>
      </c>
      <c r="M579" s="3">
        <v>73</v>
      </c>
      <c r="N579" s="4">
        <v>44023</v>
      </c>
      <c r="O579" s="10">
        <v>396993.4535</v>
      </c>
    </row>
    <row r="580" spans="1:15" x14ac:dyDescent="0.3">
      <c r="A580" s="2">
        <v>578</v>
      </c>
      <c r="B580" s="3" t="s">
        <v>28</v>
      </c>
      <c r="C580" s="3" t="s">
        <v>43</v>
      </c>
      <c r="D580" s="3" t="s">
        <v>14</v>
      </c>
      <c r="E580" s="3" t="s">
        <v>23</v>
      </c>
      <c r="F580" s="3">
        <f t="shared" si="9"/>
        <v>0</v>
      </c>
      <c r="G580" s="3">
        <v>7274</v>
      </c>
      <c r="H580" s="3">
        <v>6</v>
      </c>
      <c r="I580" s="3">
        <v>72476</v>
      </c>
      <c r="J580" s="3">
        <f>IF(E580="Cold",1,0)</f>
        <v>0</v>
      </c>
      <c r="K580" s="3">
        <f>IF(E580="Hot",1,0)</f>
        <v>0</v>
      </c>
      <c r="L580" s="3">
        <v>2953</v>
      </c>
      <c r="M580" s="3">
        <v>26</v>
      </c>
      <c r="N580" s="4">
        <v>44194</v>
      </c>
      <c r="O580" s="10">
        <v>351744.62540000002</v>
      </c>
    </row>
    <row r="581" spans="1:15" x14ac:dyDescent="0.3">
      <c r="A581" s="2">
        <v>579</v>
      </c>
      <c r="B581" s="3" t="s">
        <v>29</v>
      </c>
      <c r="C581" s="3" t="s">
        <v>110</v>
      </c>
      <c r="D581" s="3" t="s">
        <v>18</v>
      </c>
      <c r="E581" s="3" t="s">
        <v>15</v>
      </c>
      <c r="F581" s="3">
        <f t="shared" si="9"/>
        <v>1</v>
      </c>
      <c r="G581" s="3">
        <v>21906</v>
      </c>
      <c r="H581" s="3">
        <v>3</v>
      </c>
      <c r="I581" s="3">
        <v>94364</v>
      </c>
      <c r="J581" s="3">
        <f>IF(E581="Cold",1,0)</f>
        <v>1</v>
      </c>
      <c r="K581" s="3">
        <f>IF(E581="Hot",1,0)</f>
        <v>0</v>
      </c>
      <c r="L581" s="3">
        <v>1017</v>
      </c>
      <c r="M581" s="3">
        <v>95</v>
      </c>
      <c r="N581" s="4">
        <v>44668</v>
      </c>
      <c r="O581" s="10">
        <v>368324.03230000002</v>
      </c>
    </row>
    <row r="582" spans="1:15" x14ac:dyDescent="0.3">
      <c r="A582" s="2">
        <v>580</v>
      </c>
      <c r="B582" s="3" t="s">
        <v>35</v>
      </c>
      <c r="C582" s="3" t="s">
        <v>148</v>
      </c>
      <c r="D582" s="3" t="s">
        <v>14</v>
      </c>
      <c r="E582" s="3" t="s">
        <v>21</v>
      </c>
      <c r="F582" s="3">
        <f t="shared" si="9"/>
        <v>0</v>
      </c>
      <c r="G582" s="3">
        <v>19792</v>
      </c>
      <c r="H582" s="3">
        <v>0</v>
      </c>
      <c r="I582" s="3">
        <v>95054</v>
      </c>
      <c r="J582" s="3">
        <f>IF(E582="Cold",1,0)</f>
        <v>0</v>
      </c>
      <c r="K582" s="3">
        <f>IF(E582="Hot",1,0)</f>
        <v>1</v>
      </c>
      <c r="L582" s="3">
        <v>1600</v>
      </c>
      <c r="M582" s="3">
        <v>86</v>
      </c>
      <c r="N582" s="4">
        <v>45018</v>
      </c>
      <c r="O582" s="10">
        <v>350392.89529999997</v>
      </c>
    </row>
    <row r="583" spans="1:15" x14ac:dyDescent="0.3">
      <c r="A583" s="2">
        <v>581</v>
      </c>
      <c r="B583" s="3" t="s">
        <v>122</v>
      </c>
      <c r="C583" s="3" t="s">
        <v>189</v>
      </c>
      <c r="D583" s="3" t="s">
        <v>14</v>
      </c>
      <c r="E583" s="3" t="s">
        <v>21</v>
      </c>
      <c r="F583" s="3">
        <f t="shared" si="9"/>
        <v>0</v>
      </c>
      <c r="G583" s="3">
        <v>3902</v>
      </c>
      <c r="H583" s="3">
        <v>8</v>
      </c>
      <c r="I583" s="3">
        <v>82760</v>
      </c>
      <c r="J583" s="3">
        <f>IF(E583="Cold",1,0)</f>
        <v>0</v>
      </c>
      <c r="K583" s="3">
        <f>IF(E583="Hot",1,0)</f>
        <v>1</v>
      </c>
      <c r="L583" s="3">
        <v>2000</v>
      </c>
      <c r="M583" s="3">
        <v>38</v>
      </c>
      <c r="N583" s="4">
        <v>45195</v>
      </c>
      <c r="O583" s="10">
        <v>338835.5428</v>
      </c>
    </row>
    <row r="584" spans="1:15" x14ac:dyDescent="0.3">
      <c r="A584" s="2">
        <v>582</v>
      </c>
      <c r="B584" s="3" t="s">
        <v>53</v>
      </c>
      <c r="C584" s="3" t="s">
        <v>157</v>
      </c>
      <c r="D584" s="3" t="s">
        <v>14</v>
      </c>
      <c r="E584" s="3" t="s">
        <v>15</v>
      </c>
      <c r="F584" s="3">
        <f t="shared" si="9"/>
        <v>0</v>
      </c>
      <c r="G584" s="3">
        <v>6815</v>
      </c>
      <c r="H584" s="3">
        <v>1</v>
      </c>
      <c r="I584" s="3">
        <v>80350</v>
      </c>
      <c r="J584" s="3">
        <f>IF(E584="Cold",1,0)</f>
        <v>1</v>
      </c>
      <c r="K584" s="3">
        <f>IF(E584="Hot",1,0)</f>
        <v>0</v>
      </c>
      <c r="L584" s="3">
        <v>1664</v>
      </c>
      <c r="M584" s="3">
        <v>43</v>
      </c>
      <c r="N584" s="4">
        <v>43860</v>
      </c>
      <c r="O584" s="10">
        <v>296554.2672</v>
      </c>
    </row>
    <row r="585" spans="1:15" x14ac:dyDescent="0.3">
      <c r="A585" s="2">
        <v>583</v>
      </c>
      <c r="B585" s="3" t="s">
        <v>40</v>
      </c>
      <c r="C585" s="3" t="s">
        <v>103</v>
      </c>
      <c r="D585" s="3" t="s">
        <v>14</v>
      </c>
      <c r="E585" s="3" t="s">
        <v>15</v>
      </c>
      <c r="F585" s="3">
        <f t="shared" si="9"/>
        <v>0</v>
      </c>
      <c r="G585" s="3">
        <v>10434</v>
      </c>
      <c r="H585" s="3">
        <v>5</v>
      </c>
      <c r="I585" s="3">
        <v>65661</v>
      </c>
      <c r="J585" s="3">
        <f>IF(E585="Cold",1,0)</f>
        <v>1</v>
      </c>
      <c r="K585" s="3">
        <f>IF(E585="Hot",1,0)</f>
        <v>0</v>
      </c>
      <c r="L585" s="3">
        <v>1240</v>
      </c>
      <c r="M585" s="3">
        <v>41</v>
      </c>
      <c r="N585" s="4">
        <v>43869</v>
      </c>
      <c r="O585" s="10">
        <v>304815.63290000003</v>
      </c>
    </row>
    <row r="586" spans="1:15" x14ac:dyDescent="0.3">
      <c r="A586" s="2">
        <v>584</v>
      </c>
      <c r="B586" s="3" t="s">
        <v>44</v>
      </c>
      <c r="C586" s="3" t="s">
        <v>201</v>
      </c>
      <c r="D586" s="3" t="s">
        <v>18</v>
      </c>
      <c r="E586" s="3" t="s">
        <v>21</v>
      </c>
      <c r="F586" s="3">
        <f t="shared" si="9"/>
        <v>1</v>
      </c>
      <c r="G586" s="3">
        <v>13535</v>
      </c>
      <c r="H586" s="3">
        <v>0</v>
      </c>
      <c r="I586" s="3">
        <v>69786</v>
      </c>
      <c r="J586" s="3">
        <f>IF(E586="Cold",1,0)</f>
        <v>0</v>
      </c>
      <c r="K586" s="3">
        <f>IF(E586="Hot",1,0)</f>
        <v>1</v>
      </c>
      <c r="L586" s="3">
        <v>1132</v>
      </c>
      <c r="M586" s="3">
        <v>46</v>
      </c>
      <c r="N586" s="4">
        <v>43884</v>
      </c>
      <c r="O586" s="10">
        <v>357312.641</v>
      </c>
    </row>
    <row r="587" spans="1:15" x14ac:dyDescent="0.3">
      <c r="A587" s="2">
        <v>585</v>
      </c>
      <c r="B587" s="3" t="s">
        <v>74</v>
      </c>
      <c r="C587" s="3" t="s">
        <v>89</v>
      </c>
      <c r="D587" s="3" t="s">
        <v>14</v>
      </c>
      <c r="E587" s="3" t="s">
        <v>21</v>
      </c>
      <c r="F587" s="3">
        <f t="shared" si="9"/>
        <v>0</v>
      </c>
      <c r="G587" s="3">
        <v>3245</v>
      </c>
      <c r="H587" s="3">
        <v>5</v>
      </c>
      <c r="I587" s="3">
        <v>93819</v>
      </c>
      <c r="J587" s="3">
        <f>IF(E587="Cold",1,0)</f>
        <v>0</v>
      </c>
      <c r="K587" s="3">
        <f>IF(E587="Hot",1,0)</f>
        <v>1</v>
      </c>
      <c r="L587" s="3">
        <v>2168</v>
      </c>
      <c r="M587" s="3">
        <v>90</v>
      </c>
      <c r="N587" s="4">
        <v>44129</v>
      </c>
      <c r="O587" s="10">
        <v>372708.09529999999</v>
      </c>
    </row>
    <row r="588" spans="1:15" x14ac:dyDescent="0.3">
      <c r="A588" s="2">
        <v>586</v>
      </c>
      <c r="B588" s="3" t="s">
        <v>12</v>
      </c>
      <c r="C588" s="3" t="s">
        <v>95</v>
      </c>
      <c r="D588" s="3" t="s">
        <v>18</v>
      </c>
      <c r="E588" s="3" t="s">
        <v>15</v>
      </c>
      <c r="F588" s="3">
        <f t="shared" si="9"/>
        <v>1</v>
      </c>
      <c r="G588" s="3">
        <v>18913</v>
      </c>
      <c r="H588" s="3">
        <v>7</v>
      </c>
      <c r="I588" s="3">
        <v>50927</v>
      </c>
      <c r="J588" s="3">
        <f>IF(E588="Cold",1,0)</f>
        <v>1</v>
      </c>
      <c r="K588" s="3">
        <f>IF(E588="Hot",1,0)</f>
        <v>0</v>
      </c>
      <c r="L588" s="3">
        <v>2717</v>
      </c>
      <c r="M588" s="3">
        <v>57</v>
      </c>
      <c r="N588" s="4">
        <v>45540</v>
      </c>
      <c r="O588" s="10">
        <v>364979.36229999998</v>
      </c>
    </row>
    <row r="589" spans="1:15" x14ac:dyDescent="0.3">
      <c r="A589" s="2">
        <v>587</v>
      </c>
      <c r="B589" s="3" t="s">
        <v>19</v>
      </c>
      <c r="C589" s="3" t="s">
        <v>20</v>
      </c>
      <c r="D589" s="3" t="s">
        <v>14</v>
      </c>
      <c r="E589" s="3" t="s">
        <v>21</v>
      </c>
      <c r="F589" s="3">
        <f t="shared" si="9"/>
        <v>0</v>
      </c>
      <c r="G589" s="3">
        <v>6779</v>
      </c>
      <c r="H589" s="3">
        <v>8</v>
      </c>
      <c r="I589" s="3">
        <v>95280</v>
      </c>
      <c r="J589" s="3">
        <f>IF(E589="Cold",1,0)</f>
        <v>0</v>
      </c>
      <c r="K589" s="3">
        <f>IF(E589="Hot",1,0)</f>
        <v>1</v>
      </c>
      <c r="L589" s="3">
        <v>1454</v>
      </c>
      <c r="M589" s="3">
        <v>64</v>
      </c>
      <c r="N589" s="4">
        <v>43918</v>
      </c>
      <c r="O589" s="10">
        <v>327567.52669999999</v>
      </c>
    </row>
    <row r="590" spans="1:15" x14ac:dyDescent="0.3">
      <c r="A590" s="2">
        <v>588</v>
      </c>
      <c r="B590" s="3" t="s">
        <v>122</v>
      </c>
      <c r="C590" s="3" t="s">
        <v>208</v>
      </c>
      <c r="D590" s="3" t="s">
        <v>18</v>
      </c>
      <c r="E590" s="3" t="s">
        <v>21</v>
      </c>
      <c r="F590" s="3">
        <f t="shared" si="9"/>
        <v>1</v>
      </c>
      <c r="G590" s="3">
        <v>8900</v>
      </c>
      <c r="H590" s="3">
        <v>4</v>
      </c>
      <c r="I590" s="3">
        <v>93706</v>
      </c>
      <c r="J590" s="3">
        <f>IF(E590="Cold",1,0)</f>
        <v>0</v>
      </c>
      <c r="K590" s="3">
        <f>IF(E590="Hot",1,0)</f>
        <v>1</v>
      </c>
      <c r="L590" s="3">
        <v>1529</v>
      </c>
      <c r="M590" s="3">
        <v>39</v>
      </c>
      <c r="N590" s="4">
        <v>45047</v>
      </c>
      <c r="O590" s="10">
        <v>378125.33750000002</v>
      </c>
    </row>
    <row r="591" spans="1:15" x14ac:dyDescent="0.3">
      <c r="A591" s="2">
        <v>589</v>
      </c>
      <c r="B591" s="3" t="s">
        <v>24</v>
      </c>
      <c r="C591" s="3" t="s">
        <v>25</v>
      </c>
      <c r="D591" s="3" t="s">
        <v>18</v>
      </c>
      <c r="E591" s="3" t="s">
        <v>15</v>
      </c>
      <c r="F591" s="3">
        <f t="shared" si="9"/>
        <v>1</v>
      </c>
      <c r="G591" s="3">
        <v>25042</v>
      </c>
      <c r="H591" s="3">
        <v>1</v>
      </c>
      <c r="I591" s="3">
        <v>61218</v>
      </c>
      <c r="J591" s="3">
        <f>IF(E591="Cold",1,0)</f>
        <v>1</v>
      </c>
      <c r="K591" s="3">
        <f>IF(E591="Hot",1,0)</f>
        <v>0</v>
      </c>
      <c r="L591" s="3">
        <v>1404</v>
      </c>
      <c r="M591" s="3">
        <v>98</v>
      </c>
      <c r="N591" s="4">
        <v>44966</v>
      </c>
      <c r="O591" s="10">
        <v>364337.67599999998</v>
      </c>
    </row>
    <row r="592" spans="1:15" x14ac:dyDescent="0.3">
      <c r="A592" s="2">
        <v>590</v>
      </c>
      <c r="B592" s="3" t="s">
        <v>57</v>
      </c>
      <c r="C592" s="3" t="s">
        <v>58</v>
      </c>
      <c r="D592" s="3" t="s">
        <v>18</v>
      </c>
      <c r="E592" s="3" t="s">
        <v>21</v>
      </c>
      <c r="F592" s="3">
        <f t="shared" si="9"/>
        <v>1</v>
      </c>
      <c r="G592" s="3">
        <v>3889</v>
      </c>
      <c r="H592" s="3">
        <v>5</v>
      </c>
      <c r="I592" s="3">
        <v>97970</v>
      </c>
      <c r="J592" s="3">
        <f>IF(E592="Cold",1,0)</f>
        <v>0</v>
      </c>
      <c r="K592" s="3">
        <f>IF(E592="Hot",1,0)</f>
        <v>1</v>
      </c>
      <c r="L592" s="3">
        <v>1989</v>
      </c>
      <c r="M592" s="3">
        <v>42</v>
      </c>
      <c r="N592" s="4">
        <v>45294</v>
      </c>
      <c r="O592" s="10">
        <v>384101.56459999998</v>
      </c>
    </row>
    <row r="593" spans="1:15" x14ac:dyDescent="0.3">
      <c r="A593" s="2">
        <v>591</v>
      </c>
      <c r="B593" s="3" t="s">
        <v>35</v>
      </c>
      <c r="C593" s="3" t="s">
        <v>177</v>
      </c>
      <c r="D593" s="3" t="s">
        <v>14</v>
      </c>
      <c r="E593" s="3" t="s">
        <v>23</v>
      </c>
      <c r="F593" s="3">
        <f t="shared" si="9"/>
        <v>0</v>
      </c>
      <c r="G593" s="3">
        <v>12218</v>
      </c>
      <c r="H593" s="3">
        <v>4</v>
      </c>
      <c r="I593" s="3">
        <v>83997</v>
      </c>
      <c r="J593" s="3">
        <f>IF(E593="Cold",1,0)</f>
        <v>0</v>
      </c>
      <c r="K593" s="3">
        <f>IF(E593="Hot",1,0)</f>
        <v>0</v>
      </c>
      <c r="L593" s="3">
        <v>1005</v>
      </c>
      <c r="M593" s="3">
        <v>37</v>
      </c>
      <c r="N593" s="4">
        <v>44573</v>
      </c>
      <c r="O593" s="10">
        <v>298909.61259999999</v>
      </c>
    </row>
    <row r="594" spans="1:15" x14ac:dyDescent="0.3">
      <c r="A594" s="2">
        <v>592</v>
      </c>
      <c r="B594" s="3" t="s">
        <v>29</v>
      </c>
      <c r="C594" s="3" t="s">
        <v>132</v>
      </c>
      <c r="D594" s="3" t="s">
        <v>18</v>
      </c>
      <c r="E594" s="3" t="s">
        <v>21</v>
      </c>
      <c r="F594" s="3">
        <f t="shared" si="9"/>
        <v>1</v>
      </c>
      <c r="G594" s="3">
        <v>20171</v>
      </c>
      <c r="H594" s="3">
        <v>7</v>
      </c>
      <c r="I594" s="3">
        <v>71887</v>
      </c>
      <c r="J594" s="3">
        <f>IF(E594="Cold",1,0)</f>
        <v>0</v>
      </c>
      <c r="K594" s="3">
        <f>IF(E594="Hot",1,0)</f>
        <v>1</v>
      </c>
      <c r="L594" s="3">
        <v>1900</v>
      </c>
      <c r="M594" s="3">
        <v>69</v>
      </c>
      <c r="N594" s="4">
        <v>43986</v>
      </c>
      <c r="O594" s="10">
        <v>369286.23599999998</v>
      </c>
    </row>
    <row r="595" spans="1:15" x14ac:dyDescent="0.3">
      <c r="A595" s="2">
        <v>593</v>
      </c>
      <c r="B595" s="3" t="s">
        <v>26</v>
      </c>
      <c r="C595" s="3" t="s">
        <v>27</v>
      </c>
      <c r="D595" s="3" t="s">
        <v>18</v>
      </c>
      <c r="E595" s="3" t="s">
        <v>21</v>
      </c>
      <c r="F595" s="3">
        <f t="shared" si="9"/>
        <v>1</v>
      </c>
      <c r="G595" s="3">
        <v>11479</v>
      </c>
      <c r="H595" s="3">
        <v>1</v>
      </c>
      <c r="I595" s="3">
        <v>63550</v>
      </c>
      <c r="J595" s="3">
        <f>IF(E595="Cold",1,0)</f>
        <v>0</v>
      </c>
      <c r="K595" s="3">
        <f>IF(E595="Hot",1,0)</f>
        <v>1</v>
      </c>
      <c r="L595" s="3">
        <v>2303</v>
      </c>
      <c r="M595" s="3">
        <v>89</v>
      </c>
      <c r="N595" s="4">
        <v>45328</v>
      </c>
      <c r="O595" s="10">
        <v>413437.21779999998</v>
      </c>
    </row>
    <row r="596" spans="1:15" x14ac:dyDescent="0.3">
      <c r="A596" s="2">
        <v>594</v>
      </c>
      <c r="B596" s="3" t="s">
        <v>33</v>
      </c>
      <c r="C596" s="3" t="s">
        <v>88</v>
      </c>
      <c r="D596" s="3" t="s">
        <v>18</v>
      </c>
      <c r="E596" s="3" t="s">
        <v>15</v>
      </c>
      <c r="F596" s="3">
        <f t="shared" si="9"/>
        <v>1</v>
      </c>
      <c r="G596" s="3">
        <v>19243</v>
      </c>
      <c r="H596" s="3">
        <v>3</v>
      </c>
      <c r="I596" s="3">
        <v>50948</v>
      </c>
      <c r="J596" s="3">
        <f>IF(E596="Cold",1,0)</f>
        <v>1</v>
      </c>
      <c r="K596" s="3">
        <f>IF(E596="Hot",1,0)</f>
        <v>0</v>
      </c>
      <c r="L596" s="3">
        <v>2687</v>
      </c>
      <c r="M596" s="3">
        <v>28</v>
      </c>
      <c r="N596" s="4">
        <v>44338</v>
      </c>
      <c r="O596" s="10">
        <v>369238.00540000002</v>
      </c>
    </row>
    <row r="597" spans="1:15" x14ac:dyDescent="0.3">
      <c r="A597" s="2">
        <v>595</v>
      </c>
      <c r="B597" s="3" t="s">
        <v>57</v>
      </c>
      <c r="C597" s="3" t="s">
        <v>215</v>
      </c>
      <c r="D597" s="3" t="s">
        <v>18</v>
      </c>
      <c r="E597" s="3" t="s">
        <v>15</v>
      </c>
      <c r="F597" s="3">
        <f t="shared" si="9"/>
        <v>1</v>
      </c>
      <c r="G597" s="3">
        <v>18270</v>
      </c>
      <c r="H597" s="3">
        <v>4</v>
      </c>
      <c r="I597" s="3">
        <v>60706</v>
      </c>
      <c r="J597" s="3">
        <f>IF(E597="Cold",1,0)</f>
        <v>1</v>
      </c>
      <c r="K597" s="3">
        <f>IF(E597="Hot",1,0)</f>
        <v>0</v>
      </c>
      <c r="L597" s="3">
        <v>1479</v>
      </c>
      <c r="M597" s="3">
        <v>39</v>
      </c>
      <c r="N597" s="4">
        <v>44878</v>
      </c>
      <c r="O597" s="10">
        <v>359818.28769999999</v>
      </c>
    </row>
    <row r="598" spans="1:15" x14ac:dyDescent="0.3">
      <c r="A598" s="2">
        <v>596</v>
      </c>
      <c r="B598" s="3" t="s">
        <v>72</v>
      </c>
      <c r="C598" s="3" t="s">
        <v>145</v>
      </c>
      <c r="D598" s="3" t="s">
        <v>14</v>
      </c>
      <c r="E598" s="3" t="s">
        <v>15</v>
      </c>
      <c r="F598" s="3">
        <f t="shared" si="9"/>
        <v>0</v>
      </c>
      <c r="G598" s="3">
        <v>18330</v>
      </c>
      <c r="H598" s="3">
        <v>5</v>
      </c>
      <c r="I598" s="3">
        <v>55916</v>
      </c>
      <c r="J598" s="3">
        <f>IF(E598="Cold",1,0)</f>
        <v>1</v>
      </c>
      <c r="K598" s="3">
        <f>IF(E598="Hot",1,0)</f>
        <v>0</v>
      </c>
      <c r="L598" s="3">
        <v>2512</v>
      </c>
      <c r="M598" s="3">
        <v>80</v>
      </c>
      <c r="N598" s="4">
        <v>45049</v>
      </c>
      <c r="O598" s="10">
        <v>329091.8504</v>
      </c>
    </row>
    <row r="599" spans="1:15" x14ac:dyDescent="0.3">
      <c r="A599" s="2">
        <v>597</v>
      </c>
      <c r="B599" s="3" t="s">
        <v>55</v>
      </c>
      <c r="C599" s="3" t="s">
        <v>169</v>
      </c>
      <c r="D599" s="3" t="s">
        <v>14</v>
      </c>
      <c r="E599" s="3" t="s">
        <v>21</v>
      </c>
      <c r="F599" s="3">
        <f t="shared" si="9"/>
        <v>0</v>
      </c>
      <c r="G599" s="3">
        <v>13596</v>
      </c>
      <c r="H599" s="3">
        <v>6</v>
      </c>
      <c r="I599" s="3">
        <v>82431</v>
      </c>
      <c r="J599" s="3">
        <f>IF(E599="Cold",1,0)</f>
        <v>0</v>
      </c>
      <c r="K599" s="3">
        <f>IF(E599="Hot",1,0)</f>
        <v>1</v>
      </c>
      <c r="L599" s="3">
        <v>2956</v>
      </c>
      <c r="M599" s="3">
        <v>40</v>
      </c>
      <c r="N599" s="4">
        <v>44992</v>
      </c>
      <c r="O599" s="10">
        <v>352439.05859999999</v>
      </c>
    </row>
    <row r="600" spans="1:15" x14ac:dyDescent="0.3">
      <c r="A600" s="2">
        <v>598</v>
      </c>
      <c r="B600" s="3" t="s">
        <v>37</v>
      </c>
      <c r="C600" s="3" t="s">
        <v>90</v>
      </c>
      <c r="D600" s="3" t="s">
        <v>18</v>
      </c>
      <c r="E600" s="3" t="s">
        <v>15</v>
      </c>
      <c r="F600" s="3">
        <f t="shared" si="9"/>
        <v>1</v>
      </c>
      <c r="G600" s="3">
        <v>11980</v>
      </c>
      <c r="H600" s="3">
        <v>1</v>
      </c>
      <c r="I600" s="3">
        <v>61020</v>
      </c>
      <c r="J600" s="3">
        <f>IF(E600="Cold",1,0)</f>
        <v>1</v>
      </c>
      <c r="K600" s="3">
        <f>IF(E600="Hot",1,0)</f>
        <v>0</v>
      </c>
      <c r="L600" s="3">
        <v>1932</v>
      </c>
      <c r="M600" s="3">
        <v>91</v>
      </c>
      <c r="N600" s="4">
        <v>44440</v>
      </c>
      <c r="O600" s="10">
        <v>365759.80190000002</v>
      </c>
    </row>
    <row r="601" spans="1:15" x14ac:dyDescent="0.3">
      <c r="A601" s="2">
        <v>599</v>
      </c>
      <c r="B601" s="3" t="s">
        <v>122</v>
      </c>
      <c r="C601" s="3" t="s">
        <v>208</v>
      </c>
      <c r="D601" s="3" t="s">
        <v>18</v>
      </c>
      <c r="E601" s="3" t="s">
        <v>21</v>
      </c>
      <c r="F601" s="3">
        <f t="shared" si="9"/>
        <v>1</v>
      </c>
      <c r="G601" s="3">
        <v>9946</v>
      </c>
      <c r="H601" s="3">
        <v>1</v>
      </c>
      <c r="I601" s="3">
        <v>81265</v>
      </c>
      <c r="J601" s="3">
        <f>IF(E601="Cold",1,0)</f>
        <v>0</v>
      </c>
      <c r="K601" s="3">
        <f>IF(E601="Hot",1,0)</f>
        <v>1</v>
      </c>
      <c r="L601" s="3">
        <v>1245</v>
      </c>
      <c r="M601" s="3">
        <v>38</v>
      </c>
      <c r="N601" s="4">
        <v>44972</v>
      </c>
      <c r="O601" s="10">
        <v>374117.48220000003</v>
      </c>
    </row>
    <row r="602" spans="1:15" x14ac:dyDescent="0.3">
      <c r="A602" s="2">
        <v>600</v>
      </c>
      <c r="B602" s="3" t="s">
        <v>16</v>
      </c>
      <c r="C602" s="3" t="s">
        <v>171</v>
      </c>
      <c r="D602" s="3" t="s">
        <v>18</v>
      </c>
      <c r="E602" s="3" t="s">
        <v>23</v>
      </c>
      <c r="F602" s="3">
        <f t="shared" si="9"/>
        <v>1</v>
      </c>
      <c r="G602" s="3">
        <v>8460</v>
      </c>
      <c r="H602" s="3">
        <v>4</v>
      </c>
      <c r="I602" s="3">
        <v>89727</v>
      </c>
      <c r="J602" s="3">
        <f>IF(E602="Cold",1,0)</f>
        <v>0</v>
      </c>
      <c r="K602" s="3">
        <f>IF(E602="Hot",1,0)</f>
        <v>0</v>
      </c>
      <c r="L602" s="3">
        <v>2059</v>
      </c>
      <c r="M602" s="3">
        <v>81</v>
      </c>
      <c r="N602" s="4">
        <v>44081</v>
      </c>
      <c r="O602" s="10">
        <v>406361.98499999999</v>
      </c>
    </row>
    <row r="603" spans="1:15" x14ac:dyDescent="0.3">
      <c r="A603" s="2">
        <v>601</v>
      </c>
      <c r="B603" s="3" t="s">
        <v>12</v>
      </c>
      <c r="C603" s="3" t="s">
        <v>47</v>
      </c>
      <c r="D603" s="3" t="s">
        <v>14</v>
      </c>
      <c r="E603" s="3" t="s">
        <v>21</v>
      </c>
      <c r="F603" s="3">
        <f t="shared" si="9"/>
        <v>0</v>
      </c>
      <c r="G603" s="3">
        <v>27777</v>
      </c>
      <c r="H603" s="3">
        <v>6</v>
      </c>
      <c r="I603" s="3">
        <v>77035</v>
      </c>
      <c r="J603" s="3">
        <f>IF(E603="Cold",1,0)</f>
        <v>0</v>
      </c>
      <c r="K603" s="3">
        <f>IF(E603="Hot",1,0)</f>
        <v>1</v>
      </c>
      <c r="L603" s="3">
        <v>1138</v>
      </c>
      <c r="M603" s="3">
        <v>53</v>
      </c>
      <c r="N603" s="4">
        <v>44266</v>
      </c>
      <c r="O603" s="10">
        <v>315296.03409999999</v>
      </c>
    </row>
    <row r="604" spans="1:15" x14ac:dyDescent="0.3">
      <c r="A604" s="2">
        <v>602</v>
      </c>
      <c r="B604" s="3" t="s">
        <v>12</v>
      </c>
      <c r="C604" s="3" t="s">
        <v>85</v>
      </c>
      <c r="D604" s="3" t="s">
        <v>18</v>
      </c>
      <c r="E604" s="3" t="s">
        <v>15</v>
      </c>
      <c r="F604" s="3">
        <f t="shared" si="9"/>
        <v>1</v>
      </c>
      <c r="G604" s="3">
        <v>18980</v>
      </c>
      <c r="H604" s="3">
        <v>7</v>
      </c>
      <c r="I604" s="3">
        <v>85429</v>
      </c>
      <c r="J604" s="3">
        <f>IF(E604="Cold",1,0)</f>
        <v>1</v>
      </c>
      <c r="K604" s="3">
        <f>IF(E604="Hot",1,0)</f>
        <v>0</v>
      </c>
      <c r="L604" s="3">
        <v>1261</v>
      </c>
      <c r="M604" s="3">
        <v>96</v>
      </c>
      <c r="N604" s="4">
        <v>45081</v>
      </c>
      <c r="O604" s="10">
        <v>342775.30820000003</v>
      </c>
    </row>
    <row r="605" spans="1:15" x14ac:dyDescent="0.3">
      <c r="A605" s="2">
        <v>603</v>
      </c>
      <c r="B605" s="3" t="s">
        <v>33</v>
      </c>
      <c r="C605" s="3" t="s">
        <v>91</v>
      </c>
      <c r="D605" s="3" t="s">
        <v>18</v>
      </c>
      <c r="E605" s="3" t="s">
        <v>23</v>
      </c>
      <c r="F605" s="3">
        <f t="shared" si="9"/>
        <v>1</v>
      </c>
      <c r="G605" s="3">
        <v>10985</v>
      </c>
      <c r="H605" s="3">
        <v>2</v>
      </c>
      <c r="I605" s="3">
        <v>50699</v>
      </c>
      <c r="J605" s="3">
        <f>IF(E605="Cold",1,0)</f>
        <v>0</v>
      </c>
      <c r="K605" s="3">
        <f>IF(E605="Hot",1,0)</f>
        <v>0</v>
      </c>
      <c r="L605" s="3">
        <v>2454</v>
      </c>
      <c r="M605" s="3">
        <v>66</v>
      </c>
      <c r="N605" s="4">
        <v>44319</v>
      </c>
      <c r="O605" s="10">
        <v>395830.51770000003</v>
      </c>
    </row>
    <row r="606" spans="1:15" x14ac:dyDescent="0.3">
      <c r="A606" s="2">
        <v>604</v>
      </c>
      <c r="B606" s="3" t="s">
        <v>19</v>
      </c>
      <c r="C606" s="3" t="s">
        <v>216</v>
      </c>
      <c r="D606" s="3" t="s">
        <v>14</v>
      </c>
      <c r="E606" s="3" t="s">
        <v>23</v>
      </c>
      <c r="F606" s="3">
        <f t="shared" si="9"/>
        <v>0</v>
      </c>
      <c r="G606" s="3">
        <v>13172</v>
      </c>
      <c r="H606" s="3">
        <v>5</v>
      </c>
      <c r="I606" s="3">
        <v>84388</v>
      </c>
      <c r="J606" s="3">
        <f>IF(E606="Cold",1,0)</f>
        <v>0</v>
      </c>
      <c r="K606" s="3">
        <f>IF(E606="Hot",1,0)</f>
        <v>0</v>
      </c>
      <c r="L606" s="3">
        <v>2813</v>
      </c>
      <c r="M606" s="3">
        <v>39</v>
      </c>
      <c r="N606" s="4">
        <v>44489</v>
      </c>
      <c r="O606" s="10">
        <v>340137.73940000002</v>
      </c>
    </row>
    <row r="607" spans="1:15" x14ac:dyDescent="0.3">
      <c r="A607" s="2">
        <v>605</v>
      </c>
      <c r="B607" s="3" t="s">
        <v>12</v>
      </c>
      <c r="C607" s="3" t="s">
        <v>95</v>
      </c>
      <c r="D607" s="3" t="s">
        <v>14</v>
      </c>
      <c r="E607" s="3" t="s">
        <v>15</v>
      </c>
      <c r="F607" s="3">
        <f t="shared" si="9"/>
        <v>0</v>
      </c>
      <c r="G607" s="3">
        <v>6296</v>
      </c>
      <c r="H607" s="3">
        <v>9</v>
      </c>
      <c r="I607" s="3">
        <v>70383</v>
      </c>
      <c r="J607" s="3">
        <f>IF(E607="Cold",1,0)</f>
        <v>1</v>
      </c>
      <c r="K607" s="3">
        <f>IF(E607="Hot",1,0)</f>
        <v>0</v>
      </c>
      <c r="L607" s="3">
        <v>2998</v>
      </c>
      <c r="M607" s="3">
        <v>91</v>
      </c>
      <c r="N607" s="4">
        <v>44277</v>
      </c>
      <c r="O607" s="10">
        <v>346377.58880000003</v>
      </c>
    </row>
    <row r="608" spans="1:15" x14ac:dyDescent="0.3">
      <c r="A608" s="2">
        <v>606</v>
      </c>
      <c r="B608" s="3" t="s">
        <v>29</v>
      </c>
      <c r="C608" s="3" t="s">
        <v>164</v>
      </c>
      <c r="D608" s="3" t="s">
        <v>14</v>
      </c>
      <c r="E608" s="3" t="s">
        <v>23</v>
      </c>
      <c r="F608" s="3">
        <f t="shared" si="9"/>
        <v>0</v>
      </c>
      <c r="G608" s="3">
        <v>7787</v>
      </c>
      <c r="H608" s="3">
        <v>4</v>
      </c>
      <c r="I608" s="3">
        <v>68095</v>
      </c>
      <c r="J608" s="3">
        <f>IF(E608="Cold",1,0)</f>
        <v>0</v>
      </c>
      <c r="K608" s="3">
        <f>IF(E608="Hot",1,0)</f>
        <v>0</v>
      </c>
      <c r="L608" s="3">
        <v>2110</v>
      </c>
      <c r="M608" s="3">
        <v>38</v>
      </c>
      <c r="N608" s="4">
        <v>44827</v>
      </c>
      <c r="O608" s="10">
        <v>335521.45990000002</v>
      </c>
    </row>
    <row r="609" spans="1:15" x14ac:dyDescent="0.3">
      <c r="A609" s="2">
        <v>607</v>
      </c>
      <c r="B609" s="3" t="s">
        <v>44</v>
      </c>
      <c r="C609" s="3" t="s">
        <v>217</v>
      </c>
      <c r="D609" s="3" t="s">
        <v>14</v>
      </c>
      <c r="E609" s="3" t="s">
        <v>23</v>
      </c>
      <c r="F609" s="3">
        <f t="shared" si="9"/>
        <v>0</v>
      </c>
      <c r="G609" s="3">
        <v>15738</v>
      </c>
      <c r="H609" s="3">
        <v>8</v>
      </c>
      <c r="I609" s="3">
        <v>65814</v>
      </c>
      <c r="J609" s="3">
        <f>IF(E609="Cold",1,0)</f>
        <v>0</v>
      </c>
      <c r="K609" s="3">
        <f>IF(E609="Hot",1,0)</f>
        <v>0</v>
      </c>
      <c r="L609" s="3">
        <v>2224</v>
      </c>
      <c r="M609" s="3">
        <v>83</v>
      </c>
      <c r="N609" s="4">
        <v>44335</v>
      </c>
      <c r="O609" s="10">
        <v>344776.2328</v>
      </c>
    </row>
    <row r="610" spans="1:15" x14ac:dyDescent="0.3">
      <c r="A610" s="2">
        <v>608</v>
      </c>
      <c r="B610" s="3" t="s">
        <v>57</v>
      </c>
      <c r="C610" s="3" t="s">
        <v>162</v>
      </c>
      <c r="D610" s="3" t="s">
        <v>14</v>
      </c>
      <c r="E610" s="3" t="s">
        <v>15</v>
      </c>
      <c r="F610" s="3">
        <f t="shared" si="9"/>
        <v>0</v>
      </c>
      <c r="G610" s="3">
        <v>23790</v>
      </c>
      <c r="H610" s="3">
        <v>4</v>
      </c>
      <c r="I610" s="3">
        <v>58375</v>
      </c>
      <c r="J610" s="3">
        <f>IF(E610="Cold",1,0)</f>
        <v>1</v>
      </c>
      <c r="K610" s="3">
        <f>IF(E610="Hot",1,0)</f>
        <v>0</v>
      </c>
      <c r="L610" s="3">
        <v>1547</v>
      </c>
      <c r="M610" s="3">
        <v>52</v>
      </c>
      <c r="N610" s="4">
        <v>44068</v>
      </c>
      <c r="O610" s="10">
        <v>325735.23690000002</v>
      </c>
    </row>
    <row r="611" spans="1:15" x14ac:dyDescent="0.3">
      <c r="A611" s="2">
        <v>609</v>
      </c>
      <c r="B611" s="3" t="s">
        <v>35</v>
      </c>
      <c r="C611" s="3" t="s">
        <v>62</v>
      </c>
      <c r="D611" s="3" t="s">
        <v>14</v>
      </c>
      <c r="E611" s="3" t="s">
        <v>23</v>
      </c>
      <c r="F611" s="3">
        <f t="shared" si="9"/>
        <v>0</v>
      </c>
      <c r="G611" s="3">
        <v>6594</v>
      </c>
      <c r="H611" s="3">
        <v>9</v>
      </c>
      <c r="I611" s="3">
        <v>82983</v>
      </c>
      <c r="J611" s="3">
        <f>IF(E611="Cold",1,0)</f>
        <v>0</v>
      </c>
      <c r="K611" s="3">
        <f>IF(E611="Hot",1,0)</f>
        <v>0</v>
      </c>
      <c r="L611" s="3">
        <v>1597</v>
      </c>
      <c r="M611" s="3">
        <v>31</v>
      </c>
      <c r="N611" s="4">
        <v>45261</v>
      </c>
      <c r="O611" s="10">
        <v>326080.71100000001</v>
      </c>
    </row>
    <row r="612" spans="1:15" x14ac:dyDescent="0.3">
      <c r="A612" s="2">
        <v>610</v>
      </c>
      <c r="B612" s="3" t="s">
        <v>28</v>
      </c>
      <c r="C612" s="3" t="s">
        <v>112</v>
      </c>
      <c r="D612" s="3" t="s">
        <v>14</v>
      </c>
      <c r="E612" s="3" t="s">
        <v>15</v>
      </c>
      <c r="F612" s="3">
        <f t="shared" si="9"/>
        <v>0</v>
      </c>
      <c r="G612" s="3">
        <v>13939</v>
      </c>
      <c r="H612" s="3">
        <v>0</v>
      </c>
      <c r="I612" s="3">
        <v>54537</v>
      </c>
      <c r="J612" s="3">
        <f>IF(E612="Cold",1,0)</f>
        <v>1</v>
      </c>
      <c r="K612" s="3">
        <f>IF(E612="Hot",1,0)</f>
        <v>0</v>
      </c>
      <c r="L612" s="3">
        <v>1700</v>
      </c>
      <c r="M612" s="3">
        <v>30</v>
      </c>
      <c r="N612" s="4">
        <v>44589</v>
      </c>
      <c r="O612" s="10">
        <v>313754.76120000001</v>
      </c>
    </row>
    <row r="613" spans="1:15" x14ac:dyDescent="0.3">
      <c r="A613" s="2">
        <v>611</v>
      </c>
      <c r="B613" s="3" t="s">
        <v>108</v>
      </c>
      <c r="C613" s="3" t="s">
        <v>161</v>
      </c>
      <c r="D613" s="3" t="s">
        <v>18</v>
      </c>
      <c r="E613" s="3" t="s">
        <v>21</v>
      </c>
      <c r="F613" s="3">
        <f t="shared" si="9"/>
        <v>1</v>
      </c>
      <c r="G613" s="3">
        <v>7589</v>
      </c>
      <c r="H613" s="3">
        <v>7</v>
      </c>
      <c r="I613" s="3">
        <v>89316</v>
      </c>
      <c r="J613" s="3">
        <f>IF(E613="Cold",1,0)</f>
        <v>0</v>
      </c>
      <c r="K613" s="3">
        <f>IF(E613="Hot",1,0)</f>
        <v>1</v>
      </c>
      <c r="L613" s="3">
        <v>1272</v>
      </c>
      <c r="M613" s="3">
        <v>50</v>
      </c>
      <c r="N613" s="4">
        <v>44343</v>
      </c>
      <c r="O613" s="10">
        <v>365720.09389999998</v>
      </c>
    </row>
    <row r="614" spans="1:15" x14ac:dyDescent="0.3">
      <c r="A614" s="2">
        <v>612</v>
      </c>
      <c r="B614" s="3" t="s">
        <v>57</v>
      </c>
      <c r="C614" s="3" t="s">
        <v>67</v>
      </c>
      <c r="D614" s="3" t="s">
        <v>18</v>
      </c>
      <c r="E614" s="3" t="s">
        <v>21</v>
      </c>
      <c r="F614" s="3">
        <f t="shared" si="9"/>
        <v>1</v>
      </c>
      <c r="G614" s="3">
        <v>628</v>
      </c>
      <c r="H614" s="3">
        <v>7</v>
      </c>
      <c r="I614" s="3">
        <v>86141</v>
      </c>
      <c r="J614" s="3">
        <f>IF(E614="Cold",1,0)</f>
        <v>0</v>
      </c>
      <c r="K614" s="3">
        <f>IF(E614="Hot",1,0)</f>
        <v>1</v>
      </c>
      <c r="L614" s="3">
        <v>2310</v>
      </c>
      <c r="M614" s="3">
        <v>66</v>
      </c>
      <c r="N614" s="4">
        <v>45439</v>
      </c>
      <c r="O614" s="10">
        <v>381958.13620000001</v>
      </c>
    </row>
    <row r="615" spans="1:15" x14ac:dyDescent="0.3">
      <c r="A615" s="2">
        <v>613</v>
      </c>
      <c r="B615" s="3" t="s">
        <v>122</v>
      </c>
      <c r="C615" s="3" t="s">
        <v>194</v>
      </c>
      <c r="D615" s="3" t="s">
        <v>14</v>
      </c>
      <c r="E615" s="3" t="s">
        <v>21</v>
      </c>
      <c r="F615" s="3">
        <f t="shared" si="9"/>
        <v>0</v>
      </c>
      <c r="G615" s="3">
        <v>7264</v>
      </c>
      <c r="H615" s="3">
        <v>1</v>
      </c>
      <c r="I615" s="3">
        <v>80928</v>
      </c>
      <c r="J615" s="3">
        <f>IF(E615="Cold",1,0)</f>
        <v>0</v>
      </c>
      <c r="K615" s="3">
        <f>IF(E615="Hot",1,0)</f>
        <v>1</v>
      </c>
      <c r="L615" s="3">
        <v>2080</v>
      </c>
      <c r="M615" s="3">
        <v>85</v>
      </c>
      <c r="N615" s="4">
        <v>44957</v>
      </c>
      <c r="O615" s="10">
        <v>337975.65110000002</v>
      </c>
    </row>
    <row r="616" spans="1:15" x14ac:dyDescent="0.3">
      <c r="A616" s="2">
        <v>614</v>
      </c>
      <c r="B616" s="3" t="s">
        <v>24</v>
      </c>
      <c r="C616" s="3" t="s">
        <v>134</v>
      </c>
      <c r="D616" s="3" t="s">
        <v>14</v>
      </c>
      <c r="E616" s="3" t="s">
        <v>21</v>
      </c>
      <c r="F616" s="3">
        <f t="shared" si="9"/>
        <v>0</v>
      </c>
      <c r="G616" s="3">
        <v>11523</v>
      </c>
      <c r="H616" s="3">
        <v>2</v>
      </c>
      <c r="I616" s="3">
        <v>65792</v>
      </c>
      <c r="J616" s="3">
        <f>IF(E616="Cold",1,0)</f>
        <v>0</v>
      </c>
      <c r="K616" s="3">
        <f>IF(E616="Hot",1,0)</f>
        <v>1</v>
      </c>
      <c r="L616" s="3">
        <v>1417</v>
      </c>
      <c r="M616" s="3">
        <v>60</v>
      </c>
      <c r="N616" s="4">
        <v>45281</v>
      </c>
      <c r="O616" s="10">
        <v>321160.0245</v>
      </c>
    </row>
    <row r="617" spans="1:15" x14ac:dyDescent="0.3">
      <c r="A617" s="2">
        <v>615</v>
      </c>
      <c r="B617" s="3" t="s">
        <v>28</v>
      </c>
      <c r="C617" s="3" t="s">
        <v>49</v>
      </c>
      <c r="D617" s="3" t="s">
        <v>18</v>
      </c>
      <c r="E617" s="3" t="s">
        <v>21</v>
      </c>
      <c r="F617" s="3">
        <f t="shared" si="9"/>
        <v>1</v>
      </c>
      <c r="G617" s="3">
        <v>19079</v>
      </c>
      <c r="H617" s="3">
        <v>6</v>
      </c>
      <c r="I617" s="3">
        <v>86331</v>
      </c>
      <c r="J617" s="3">
        <f>IF(E617="Cold",1,0)</f>
        <v>0</v>
      </c>
      <c r="K617" s="3">
        <f>IF(E617="Hot",1,0)</f>
        <v>1</v>
      </c>
      <c r="L617" s="3">
        <v>1175</v>
      </c>
      <c r="M617" s="3">
        <v>21</v>
      </c>
      <c r="N617" s="4">
        <v>43835</v>
      </c>
      <c r="O617" s="10">
        <v>362958.50630000001</v>
      </c>
    </row>
    <row r="618" spans="1:15" x14ac:dyDescent="0.3">
      <c r="A618" s="2">
        <v>616</v>
      </c>
      <c r="B618" s="3" t="s">
        <v>44</v>
      </c>
      <c r="C618" s="3" t="s">
        <v>143</v>
      </c>
      <c r="D618" s="3" t="s">
        <v>14</v>
      </c>
      <c r="E618" s="3" t="s">
        <v>23</v>
      </c>
      <c r="F618" s="3">
        <f t="shared" si="9"/>
        <v>0</v>
      </c>
      <c r="G618" s="3">
        <v>1001</v>
      </c>
      <c r="H618" s="3">
        <v>9</v>
      </c>
      <c r="I618" s="3">
        <v>54581</v>
      </c>
      <c r="J618" s="3">
        <f>IF(E618="Cold",1,0)</f>
        <v>0</v>
      </c>
      <c r="K618" s="3">
        <f>IF(E618="Hot",1,0)</f>
        <v>0</v>
      </c>
      <c r="L618" s="3">
        <v>2560</v>
      </c>
      <c r="M618" s="3">
        <v>74</v>
      </c>
      <c r="N618" s="4">
        <v>44608</v>
      </c>
      <c r="O618" s="10">
        <v>338163.47210000001</v>
      </c>
    </row>
    <row r="619" spans="1:15" x14ac:dyDescent="0.3">
      <c r="A619" s="2">
        <v>617</v>
      </c>
      <c r="B619" s="3" t="s">
        <v>40</v>
      </c>
      <c r="C619" s="3" t="s">
        <v>182</v>
      </c>
      <c r="D619" s="3" t="s">
        <v>14</v>
      </c>
      <c r="E619" s="3" t="s">
        <v>21</v>
      </c>
      <c r="F619" s="3">
        <f t="shared" si="9"/>
        <v>0</v>
      </c>
      <c r="G619" s="3">
        <v>27533</v>
      </c>
      <c r="H619" s="3">
        <v>0</v>
      </c>
      <c r="I619" s="3">
        <v>85259</v>
      </c>
      <c r="J619" s="3">
        <f>IF(E619="Cold",1,0)</f>
        <v>0</v>
      </c>
      <c r="K619" s="3">
        <f>IF(E619="Hot",1,0)</f>
        <v>1</v>
      </c>
      <c r="L619" s="3">
        <v>1362</v>
      </c>
      <c r="M619" s="3">
        <v>69</v>
      </c>
      <c r="N619" s="4">
        <v>45531</v>
      </c>
      <c r="O619" s="10">
        <v>335942.56060000003</v>
      </c>
    </row>
    <row r="620" spans="1:15" x14ac:dyDescent="0.3">
      <c r="A620" s="2">
        <v>618</v>
      </c>
      <c r="B620" s="3" t="s">
        <v>33</v>
      </c>
      <c r="C620" s="3" t="s">
        <v>184</v>
      </c>
      <c r="D620" s="3" t="s">
        <v>18</v>
      </c>
      <c r="E620" s="3" t="s">
        <v>23</v>
      </c>
      <c r="F620" s="3">
        <f t="shared" si="9"/>
        <v>1</v>
      </c>
      <c r="G620" s="3">
        <v>6176</v>
      </c>
      <c r="H620" s="3">
        <v>1</v>
      </c>
      <c r="I620" s="3">
        <v>91582</v>
      </c>
      <c r="J620" s="3">
        <f>IF(E620="Cold",1,0)</f>
        <v>0</v>
      </c>
      <c r="K620" s="3">
        <f>IF(E620="Hot",1,0)</f>
        <v>0</v>
      </c>
      <c r="L620" s="3">
        <v>2699</v>
      </c>
      <c r="M620" s="3">
        <v>48</v>
      </c>
      <c r="N620" s="4">
        <v>43902</v>
      </c>
      <c r="O620" s="10">
        <v>383839.63030000002</v>
      </c>
    </row>
    <row r="621" spans="1:15" x14ac:dyDescent="0.3">
      <c r="A621" s="2">
        <v>619</v>
      </c>
      <c r="B621" s="3" t="s">
        <v>24</v>
      </c>
      <c r="C621" s="3" t="s">
        <v>94</v>
      </c>
      <c r="D621" s="3" t="s">
        <v>14</v>
      </c>
      <c r="E621" s="3" t="s">
        <v>15</v>
      </c>
      <c r="F621" s="3">
        <f t="shared" si="9"/>
        <v>0</v>
      </c>
      <c r="G621" s="3">
        <v>6194</v>
      </c>
      <c r="H621" s="3">
        <v>7</v>
      </c>
      <c r="I621" s="3">
        <v>95556</v>
      </c>
      <c r="J621" s="3">
        <f>IF(E621="Cold",1,0)</f>
        <v>1</v>
      </c>
      <c r="K621" s="3">
        <f>IF(E621="Hot",1,0)</f>
        <v>0</v>
      </c>
      <c r="L621" s="3">
        <v>1563</v>
      </c>
      <c r="M621" s="3">
        <v>97</v>
      </c>
      <c r="N621" s="4">
        <v>44120</v>
      </c>
      <c r="O621" s="10">
        <v>341950.94900000002</v>
      </c>
    </row>
    <row r="622" spans="1:15" x14ac:dyDescent="0.3">
      <c r="A622" s="2">
        <v>620</v>
      </c>
      <c r="B622" s="3" t="s">
        <v>122</v>
      </c>
      <c r="C622" s="3" t="s">
        <v>138</v>
      </c>
      <c r="D622" s="3" t="s">
        <v>14</v>
      </c>
      <c r="E622" s="3" t="s">
        <v>23</v>
      </c>
      <c r="F622" s="3">
        <f t="shared" si="9"/>
        <v>0</v>
      </c>
      <c r="G622" s="3">
        <v>20241</v>
      </c>
      <c r="H622" s="3">
        <v>6</v>
      </c>
      <c r="I622" s="3">
        <v>99072</v>
      </c>
      <c r="J622" s="3">
        <f>IF(E622="Cold",1,0)</f>
        <v>0</v>
      </c>
      <c r="K622" s="3">
        <f>IF(E622="Hot",1,0)</f>
        <v>0</v>
      </c>
      <c r="L622" s="3">
        <v>2069</v>
      </c>
      <c r="M622" s="3">
        <v>49</v>
      </c>
      <c r="N622" s="4">
        <v>44743</v>
      </c>
      <c r="O622" s="10">
        <v>337505.6765</v>
      </c>
    </row>
    <row r="623" spans="1:15" x14ac:dyDescent="0.3">
      <c r="A623" s="2">
        <v>621</v>
      </c>
      <c r="B623" s="3" t="s">
        <v>40</v>
      </c>
      <c r="C623" s="3" t="s">
        <v>71</v>
      </c>
      <c r="D623" s="3" t="s">
        <v>18</v>
      </c>
      <c r="E623" s="3" t="s">
        <v>23</v>
      </c>
      <c r="F623" s="3">
        <f t="shared" si="9"/>
        <v>1</v>
      </c>
      <c r="G623" s="3">
        <v>11002</v>
      </c>
      <c r="H623" s="3">
        <v>1</v>
      </c>
      <c r="I623" s="3">
        <v>74431</v>
      </c>
      <c r="J623" s="3">
        <f>IF(E623="Cold",1,0)</f>
        <v>0</v>
      </c>
      <c r="K623" s="3">
        <f>IF(E623="Hot",1,0)</f>
        <v>0</v>
      </c>
      <c r="L623" s="3">
        <v>2439</v>
      </c>
      <c r="M623" s="3">
        <v>44</v>
      </c>
      <c r="N623" s="4">
        <v>44475</v>
      </c>
      <c r="O623" s="10">
        <v>357276.97220000002</v>
      </c>
    </row>
    <row r="624" spans="1:15" x14ac:dyDescent="0.3">
      <c r="A624" s="2">
        <v>622</v>
      </c>
      <c r="B624" s="3" t="s">
        <v>57</v>
      </c>
      <c r="C624" s="3" t="s">
        <v>78</v>
      </c>
      <c r="D624" s="3" t="s">
        <v>18</v>
      </c>
      <c r="E624" s="3" t="s">
        <v>15</v>
      </c>
      <c r="F624" s="3">
        <f t="shared" si="9"/>
        <v>1</v>
      </c>
      <c r="G624" s="3">
        <v>21571</v>
      </c>
      <c r="H624" s="3">
        <v>6</v>
      </c>
      <c r="I624" s="3">
        <v>65328</v>
      </c>
      <c r="J624" s="3">
        <f>IF(E624="Cold",1,0)</f>
        <v>1</v>
      </c>
      <c r="K624" s="3">
        <f>IF(E624="Hot",1,0)</f>
        <v>0</v>
      </c>
      <c r="L624" s="3">
        <v>2704</v>
      </c>
      <c r="M624" s="3">
        <v>72</v>
      </c>
      <c r="N624" s="4">
        <v>44665</v>
      </c>
      <c r="O624" s="10">
        <v>377324.26760000002</v>
      </c>
    </row>
    <row r="625" spans="1:15" x14ac:dyDescent="0.3">
      <c r="A625" s="2">
        <v>623</v>
      </c>
      <c r="B625" s="3" t="s">
        <v>35</v>
      </c>
      <c r="C625" s="3" t="s">
        <v>177</v>
      </c>
      <c r="D625" s="3" t="s">
        <v>18</v>
      </c>
      <c r="E625" s="3" t="s">
        <v>23</v>
      </c>
      <c r="F625" s="3">
        <f t="shared" si="9"/>
        <v>1</v>
      </c>
      <c r="G625" s="3">
        <v>13029</v>
      </c>
      <c r="H625" s="3">
        <v>1</v>
      </c>
      <c r="I625" s="3">
        <v>74021</v>
      </c>
      <c r="J625" s="3">
        <f>IF(E625="Cold",1,0)</f>
        <v>0</v>
      </c>
      <c r="K625" s="3">
        <f>IF(E625="Hot",1,0)</f>
        <v>0</v>
      </c>
      <c r="L625" s="3">
        <v>1483</v>
      </c>
      <c r="M625" s="3">
        <v>96</v>
      </c>
      <c r="N625" s="4">
        <v>44597</v>
      </c>
      <c r="O625" s="10">
        <v>381964.64370000002</v>
      </c>
    </row>
    <row r="626" spans="1:15" x14ac:dyDescent="0.3">
      <c r="A626" s="2">
        <v>624</v>
      </c>
      <c r="B626" s="3" t="s">
        <v>55</v>
      </c>
      <c r="C626" s="3" t="s">
        <v>169</v>
      </c>
      <c r="D626" s="3" t="s">
        <v>18</v>
      </c>
      <c r="E626" s="3" t="s">
        <v>21</v>
      </c>
      <c r="F626" s="3">
        <f t="shared" si="9"/>
        <v>1</v>
      </c>
      <c r="G626" s="3">
        <v>22930</v>
      </c>
      <c r="H626" s="3">
        <v>1</v>
      </c>
      <c r="I626" s="3">
        <v>96458</v>
      </c>
      <c r="J626" s="3">
        <f>IF(E626="Cold",1,0)</f>
        <v>0</v>
      </c>
      <c r="K626" s="3">
        <f>IF(E626="Hot",1,0)</f>
        <v>1</v>
      </c>
      <c r="L626" s="3">
        <v>1620</v>
      </c>
      <c r="M626" s="3">
        <v>65</v>
      </c>
      <c r="N626" s="4">
        <v>44202</v>
      </c>
      <c r="O626" s="10">
        <v>385737.78629999998</v>
      </c>
    </row>
    <row r="627" spans="1:15" x14ac:dyDescent="0.3">
      <c r="A627" s="2">
        <v>625</v>
      </c>
      <c r="B627" s="3" t="s">
        <v>31</v>
      </c>
      <c r="C627" s="3" t="s">
        <v>125</v>
      </c>
      <c r="D627" s="3" t="s">
        <v>14</v>
      </c>
      <c r="E627" s="3" t="s">
        <v>23</v>
      </c>
      <c r="F627" s="3">
        <f t="shared" si="9"/>
        <v>0</v>
      </c>
      <c r="G627" s="3">
        <v>26330</v>
      </c>
      <c r="H627" s="3">
        <v>4</v>
      </c>
      <c r="I627" s="3">
        <v>65750</v>
      </c>
      <c r="J627" s="3">
        <f>IF(E627="Cold",1,0)</f>
        <v>0</v>
      </c>
      <c r="K627" s="3">
        <f>IF(E627="Hot",1,0)</f>
        <v>0</v>
      </c>
      <c r="L627" s="3">
        <v>2062</v>
      </c>
      <c r="M627" s="3">
        <v>88</v>
      </c>
      <c r="N627" s="4">
        <v>45490</v>
      </c>
      <c r="O627" s="10">
        <v>359521.72989999998</v>
      </c>
    </row>
    <row r="628" spans="1:15" x14ac:dyDescent="0.3">
      <c r="A628" s="2">
        <v>626</v>
      </c>
      <c r="B628" s="3" t="s">
        <v>55</v>
      </c>
      <c r="C628" s="3" t="s">
        <v>105</v>
      </c>
      <c r="D628" s="3" t="s">
        <v>14</v>
      </c>
      <c r="E628" s="3" t="s">
        <v>21</v>
      </c>
      <c r="F628" s="3">
        <f t="shared" si="9"/>
        <v>0</v>
      </c>
      <c r="G628" s="3">
        <v>22672</v>
      </c>
      <c r="H628" s="3">
        <v>6</v>
      </c>
      <c r="I628" s="3">
        <v>64229</v>
      </c>
      <c r="J628" s="3">
        <f>IF(E628="Cold",1,0)</f>
        <v>0</v>
      </c>
      <c r="K628" s="3">
        <f>IF(E628="Hot",1,0)</f>
        <v>1</v>
      </c>
      <c r="L628" s="3">
        <v>1858</v>
      </c>
      <c r="M628" s="3">
        <v>72</v>
      </c>
      <c r="N628" s="4">
        <v>44806</v>
      </c>
      <c r="O628" s="10">
        <v>357841.0269</v>
      </c>
    </row>
    <row r="629" spans="1:15" x14ac:dyDescent="0.3">
      <c r="A629" s="2">
        <v>627</v>
      </c>
      <c r="B629" s="3" t="s">
        <v>12</v>
      </c>
      <c r="C629" s="3" t="s">
        <v>173</v>
      </c>
      <c r="D629" s="3" t="s">
        <v>14</v>
      </c>
      <c r="E629" s="3" t="s">
        <v>15</v>
      </c>
      <c r="F629" s="3">
        <f t="shared" si="9"/>
        <v>0</v>
      </c>
      <c r="G629" s="3">
        <v>19244</v>
      </c>
      <c r="H629" s="3">
        <v>3</v>
      </c>
      <c r="I629" s="3">
        <v>70308</v>
      </c>
      <c r="J629" s="3">
        <f>IF(E629="Cold",1,0)</f>
        <v>1</v>
      </c>
      <c r="K629" s="3">
        <f>IF(E629="Hot",1,0)</f>
        <v>0</v>
      </c>
      <c r="L629" s="3">
        <v>1972</v>
      </c>
      <c r="M629" s="3">
        <v>38</v>
      </c>
      <c r="N629" s="4">
        <v>44858</v>
      </c>
      <c r="O629" s="10">
        <v>310288.24410000001</v>
      </c>
    </row>
    <row r="630" spans="1:15" x14ac:dyDescent="0.3">
      <c r="A630" s="2">
        <v>628</v>
      </c>
      <c r="B630" s="3" t="s">
        <v>57</v>
      </c>
      <c r="C630" s="3" t="s">
        <v>116</v>
      </c>
      <c r="D630" s="3" t="s">
        <v>14</v>
      </c>
      <c r="E630" s="3" t="s">
        <v>21</v>
      </c>
      <c r="F630" s="3">
        <f t="shared" si="9"/>
        <v>0</v>
      </c>
      <c r="G630" s="3">
        <v>18062</v>
      </c>
      <c r="H630" s="3">
        <v>0</v>
      </c>
      <c r="I630" s="3">
        <v>87903</v>
      </c>
      <c r="J630" s="3">
        <f>IF(E630="Cold",1,0)</f>
        <v>0</v>
      </c>
      <c r="K630" s="3">
        <f>IF(E630="Hot",1,0)</f>
        <v>1</v>
      </c>
      <c r="L630" s="3">
        <v>2640</v>
      </c>
      <c r="M630" s="3">
        <v>81</v>
      </c>
      <c r="N630" s="4">
        <v>44003</v>
      </c>
      <c r="O630" s="10">
        <v>375545.12910000002</v>
      </c>
    </row>
    <row r="631" spans="1:15" x14ac:dyDescent="0.3">
      <c r="A631" s="2">
        <v>629</v>
      </c>
      <c r="B631" s="3" t="s">
        <v>35</v>
      </c>
      <c r="C631" s="3" t="s">
        <v>200</v>
      </c>
      <c r="D631" s="3" t="s">
        <v>18</v>
      </c>
      <c r="E631" s="3" t="s">
        <v>15</v>
      </c>
      <c r="F631" s="3">
        <f t="shared" si="9"/>
        <v>1</v>
      </c>
      <c r="G631" s="3">
        <v>16760</v>
      </c>
      <c r="H631" s="3">
        <v>4</v>
      </c>
      <c r="I631" s="3">
        <v>53471</v>
      </c>
      <c r="J631" s="3">
        <f>IF(E631="Cold",1,0)</f>
        <v>1</v>
      </c>
      <c r="K631" s="3">
        <f>IF(E631="Hot",1,0)</f>
        <v>0</v>
      </c>
      <c r="L631" s="3">
        <v>1850</v>
      </c>
      <c r="M631" s="3">
        <v>26</v>
      </c>
      <c r="N631" s="4">
        <v>43962</v>
      </c>
      <c r="O631" s="10">
        <v>342119.54430000001</v>
      </c>
    </row>
    <row r="632" spans="1:15" x14ac:dyDescent="0.3">
      <c r="A632" s="2">
        <v>630</v>
      </c>
      <c r="B632" s="3" t="s">
        <v>19</v>
      </c>
      <c r="C632" s="3" t="s">
        <v>218</v>
      </c>
      <c r="D632" s="3" t="s">
        <v>14</v>
      </c>
      <c r="E632" s="3" t="s">
        <v>21</v>
      </c>
      <c r="F632" s="3">
        <f t="shared" si="9"/>
        <v>0</v>
      </c>
      <c r="G632" s="3">
        <v>24663</v>
      </c>
      <c r="H632" s="3">
        <v>7</v>
      </c>
      <c r="I632" s="3">
        <v>60170</v>
      </c>
      <c r="J632" s="3">
        <f>IF(E632="Cold",1,0)</f>
        <v>0</v>
      </c>
      <c r="K632" s="3">
        <f>IF(E632="Hot",1,0)</f>
        <v>1</v>
      </c>
      <c r="L632" s="3">
        <v>1765</v>
      </c>
      <c r="M632" s="3">
        <v>94</v>
      </c>
      <c r="N632" s="4">
        <v>44430</v>
      </c>
      <c r="O632" s="10">
        <v>355872.25469999999</v>
      </c>
    </row>
    <row r="633" spans="1:15" x14ac:dyDescent="0.3">
      <c r="A633" s="2">
        <v>631</v>
      </c>
      <c r="B633" s="3" t="s">
        <v>40</v>
      </c>
      <c r="C633" s="3" t="s">
        <v>70</v>
      </c>
      <c r="D633" s="3" t="s">
        <v>14</v>
      </c>
      <c r="E633" s="3" t="s">
        <v>15</v>
      </c>
      <c r="F633" s="3">
        <f t="shared" si="9"/>
        <v>0</v>
      </c>
      <c r="G633" s="3">
        <v>24245</v>
      </c>
      <c r="H633" s="3">
        <v>3</v>
      </c>
      <c r="I633" s="3">
        <v>84205</v>
      </c>
      <c r="J633" s="3">
        <f>IF(E633="Cold",1,0)</f>
        <v>1</v>
      </c>
      <c r="K633" s="3">
        <f>IF(E633="Hot",1,0)</f>
        <v>0</v>
      </c>
      <c r="L633" s="3">
        <v>2309</v>
      </c>
      <c r="M633" s="3">
        <v>82</v>
      </c>
      <c r="N633" s="4">
        <v>43884</v>
      </c>
      <c r="O633" s="10">
        <v>344976.81719999999</v>
      </c>
    </row>
    <row r="634" spans="1:15" x14ac:dyDescent="0.3">
      <c r="A634" s="2">
        <v>632</v>
      </c>
      <c r="B634" s="3" t="s">
        <v>57</v>
      </c>
      <c r="C634" s="3" t="s">
        <v>86</v>
      </c>
      <c r="D634" s="3" t="s">
        <v>18</v>
      </c>
      <c r="E634" s="3" t="s">
        <v>21</v>
      </c>
      <c r="F634" s="3">
        <f t="shared" si="9"/>
        <v>1</v>
      </c>
      <c r="G634" s="3">
        <v>29655</v>
      </c>
      <c r="H634" s="3">
        <v>3</v>
      </c>
      <c r="I634" s="3">
        <v>76674</v>
      </c>
      <c r="J634" s="3">
        <f>IF(E634="Cold",1,0)</f>
        <v>0</v>
      </c>
      <c r="K634" s="3">
        <f>IF(E634="Hot",1,0)</f>
        <v>1</v>
      </c>
      <c r="L634" s="3">
        <v>1379</v>
      </c>
      <c r="M634" s="3">
        <v>89</v>
      </c>
      <c r="N634" s="4">
        <v>44083</v>
      </c>
      <c r="O634" s="10">
        <v>373957.76439999999</v>
      </c>
    </row>
    <row r="635" spans="1:15" x14ac:dyDescent="0.3">
      <c r="A635" s="2">
        <v>633</v>
      </c>
      <c r="B635" s="3" t="s">
        <v>108</v>
      </c>
      <c r="C635" s="3" t="s">
        <v>142</v>
      </c>
      <c r="D635" s="3" t="s">
        <v>18</v>
      </c>
      <c r="E635" s="3" t="s">
        <v>23</v>
      </c>
      <c r="F635" s="3">
        <f t="shared" si="9"/>
        <v>1</v>
      </c>
      <c r="G635" s="3">
        <v>7675</v>
      </c>
      <c r="H635" s="3">
        <v>3</v>
      </c>
      <c r="I635" s="3">
        <v>63344</v>
      </c>
      <c r="J635" s="3">
        <f>IF(E635="Cold",1,0)</f>
        <v>0</v>
      </c>
      <c r="K635" s="3">
        <f>IF(E635="Hot",1,0)</f>
        <v>0</v>
      </c>
      <c r="L635" s="3">
        <v>2332</v>
      </c>
      <c r="M635" s="3">
        <v>43</v>
      </c>
      <c r="N635" s="4">
        <v>45496</v>
      </c>
      <c r="O635" s="10">
        <v>375148.05109999998</v>
      </c>
    </row>
    <row r="636" spans="1:15" x14ac:dyDescent="0.3">
      <c r="A636" s="2">
        <v>634</v>
      </c>
      <c r="B636" s="3" t="s">
        <v>29</v>
      </c>
      <c r="C636" s="3" t="s">
        <v>132</v>
      </c>
      <c r="D636" s="3" t="s">
        <v>14</v>
      </c>
      <c r="E636" s="3" t="s">
        <v>23</v>
      </c>
      <c r="F636" s="3">
        <f t="shared" si="9"/>
        <v>0</v>
      </c>
      <c r="G636" s="3">
        <v>28838</v>
      </c>
      <c r="H636" s="3">
        <v>5</v>
      </c>
      <c r="I636" s="3">
        <v>54464</v>
      </c>
      <c r="J636" s="3">
        <f>IF(E636="Cold",1,0)</f>
        <v>0</v>
      </c>
      <c r="K636" s="3">
        <f>IF(E636="Hot",1,0)</f>
        <v>0</v>
      </c>
      <c r="L636" s="3">
        <v>2231</v>
      </c>
      <c r="M636" s="3">
        <v>37</v>
      </c>
      <c r="N636" s="4">
        <v>44370</v>
      </c>
      <c r="O636" s="10">
        <v>335085.76160000003</v>
      </c>
    </row>
    <row r="637" spans="1:15" x14ac:dyDescent="0.3">
      <c r="A637" s="2">
        <v>635</v>
      </c>
      <c r="B637" s="3" t="s">
        <v>16</v>
      </c>
      <c r="C637" s="3" t="s">
        <v>51</v>
      </c>
      <c r="D637" s="3" t="s">
        <v>18</v>
      </c>
      <c r="E637" s="3" t="s">
        <v>23</v>
      </c>
      <c r="F637" s="3">
        <f t="shared" si="9"/>
        <v>1</v>
      </c>
      <c r="G637" s="3">
        <v>14581</v>
      </c>
      <c r="H637" s="3">
        <v>5</v>
      </c>
      <c r="I637" s="3">
        <v>90981</v>
      </c>
      <c r="J637" s="3">
        <f>IF(E637="Cold",1,0)</f>
        <v>0</v>
      </c>
      <c r="K637" s="3">
        <f>IF(E637="Hot",1,0)</f>
        <v>0</v>
      </c>
      <c r="L637" s="3">
        <v>2172</v>
      </c>
      <c r="M637" s="3">
        <v>94</v>
      </c>
      <c r="N637" s="4">
        <v>44079</v>
      </c>
      <c r="O637" s="10">
        <v>409610.95020000002</v>
      </c>
    </row>
    <row r="638" spans="1:15" x14ac:dyDescent="0.3">
      <c r="A638" s="2">
        <v>636</v>
      </c>
      <c r="B638" s="3" t="s">
        <v>31</v>
      </c>
      <c r="C638" s="3" t="s">
        <v>146</v>
      </c>
      <c r="D638" s="3" t="s">
        <v>18</v>
      </c>
      <c r="E638" s="3" t="s">
        <v>21</v>
      </c>
      <c r="F638" s="3">
        <f t="shared" si="9"/>
        <v>1</v>
      </c>
      <c r="G638" s="3">
        <v>1580</v>
      </c>
      <c r="H638" s="3">
        <v>8</v>
      </c>
      <c r="I638" s="3">
        <v>90740</v>
      </c>
      <c r="J638" s="3">
        <f>IF(E638="Cold",1,0)</f>
        <v>0</v>
      </c>
      <c r="K638" s="3">
        <f>IF(E638="Hot",1,0)</f>
        <v>1</v>
      </c>
      <c r="L638" s="3">
        <v>2612</v>
      </c>
      <c r="M638" s="3">
        <v>53</v>
      </c>
      <c r="N638" s="4">
        <v>44800</v>
      </c>
      <c r="O638" s="10">
        <v>373894.22940000001</v>
      </c>
    </row>
    <row r="639" spans="1:15" x14ac:dyDescent="0.3">
      <c r="A639" s="2">
        <v>637</v>
      </c>
      <c r="B639" s="3" t="s">
        <v>74</v>
      </c>
      <c r="C639" s="3" t="s">
        <v>120</v>
      </c>
      <c r="D639" s="3" t="s">
        <v>18</v>
      </c>
      <c r="E639" s="3" t="s">
        <v>21</v>
      </c>
      <c r="F639" s="3">
        <f t="shared" si="9"/>
        <v>1</v>
      </c>
      <c r="G639" s="3">
        <v>18192</v>
      </c>
      <c r="H639" s="3">
        <v>7</v>
      </c>
      <c r="I639" s="3">
        <v>80675</v>
      </c>
      <c r="J639" s="3">
        <f>IF(E639="Cold",1,0)</f>
        <v>0</v>
      </c>
      <c r="K639" s="3">
        <f>IF(E639="Hot",1,0)</f>
        <v>1</v>
      </c>
      <c r="L639" s="3">
        <v>1761</v>
      </c>
      <c r="M639" s="3">
        <v>29</v>
      </c>
      <c r="N639" s="4">
        <v>45502</v>
      </c>
      <c r="O639" s="10">
        <v>371502.9227</v>
      </c>
    </row>
    <row r="640" spans="1:15" x14ac:dyDescent="0.3">
      <c r="A640" s="2">
        <v>638</v>
      </c>
      <c r="B640" s="3" t="s">
        <v>28</v>
      </c>
      <c r="C640" s="3" t="s">
        <v>115</v>
      </c>
      <c r="D640" s="3" t="s">
        <v>18</v>
      </c>
      <c r="E640" s="3" t="s">
        <v>23</v>
      </c>
      <c r="F640" s="3">
        <f t="shared" si="9"/>
        <v>1</v>
      </c>
      <c r="G640" s="3">
        <v>26645</v>
      </c>
      <c r="H640" s="3">
        <v>3</v>
      </c>
      <c r="I640" s="3">
        <v>51877</v>
      </c>
      <c r="J640" s="3">
        <f>IF(E640="Cold",1,0)</f>
        <v>0</v>
      </c>
      <c r="K640" s="3">
        <f>IF(E640="Hot",1,0)</f>
        <v>0</v>
      </c>
      <c r="L640" s="3">
        <v>1579</v>
      </c>
      <c r="M640" s="3">
        <v>62</v>
      </c>
      <c r="N640" s="4">
        <v>44072</v>
      </c>
      <c r="O640" s="10">
        <v>379205.38439999998</v>
      </c>
    </row>
    <row r="641" spans="1:15" x14ac:dyDescent="0.3">
      <c r="A641" s="2">
        <v>639</v>
      </c>
      <c r="B641" s="3" t="s">
        <v>28</v>
      </c>
      <c r="C641" s="3" t="s">
        <v>181</v>
      </c>
      <c r="D641" s="3" t="s">
        <v>14</v>
      </c>
      <c r="E641" s="3" t="s">
        <v>23</v>
      </c>
      <c r="F641" s="3">
        <f t="shared" si="9"/>
        <v>0</v>
      </c>
      <c r="G641" s="3">
        <v>27496</v>
      </c>
      <c r="H641" s="3">
        <v>0</v>
      </c>
      <c r="I641" s="3">
        <v>58355</v>
      </c>
      <c r="J641" s="3">
        <f>IF(E641="Cold",1,0)</f>
        <v>0</v>
      </c>
      <c r="K641" s="3">
        <f>IF(E641="Hot",1,0)</f>
        <v>0</v>
      </c>
      <c r="L641" s="3">
        <v>1021</v>
      </c>
      <c r="M641" s="3">
        <v>70</v>
      </c>
      <c r="N641" s="4">
        <v>44560</v>
      </c>
      <c r="O641" s="10">
        <v>315709.93920000002</v>
      </c>
    </row>
    <row r="642" spans="1:15" x14ac:dyDescent="0.3">
      <c r="A642" s="2">
        <v>640</v>
      </c>
      <c r="B642" s="3" t="s">
        <v>74</v>
      </c>
      <c r="C642" s="3" t="s">
        <v>219</v>
      </c>
      <c r="D642" s="3" t="s">
        <v>18</v>
      </c>
      <c r="E642" s="3" t="s">
        <v>21</v>
      </c>
      <c r="F642" s="3">
        <f t="shared" si="9"/>
        <v>1</v>
      </c>
      <c r="G642" s="3">
        <v>10752</v>
      </c>
      <c r="H642" s="3">
        <v>2</v>
      </c>
      <c r="I642" s="3">
        <v>97514</v>
      </c>
      <c r="J642" s="3">
        <f>IF(E642="Cold",1,0)</f>
        <v>0</v>
      </c>
      <c r="K642" s="3">
        <f>IF(E642="Hot",1,0)</f>
        <v>1</v>
      </c>
      <c r="L642" s="3">
        <v>2060</v>
      </c>
      <c r="M642" s="3">
        <v>29</v>
      </c>
      <c r="N642" s="4">
        <v>45534</v>
      </c>
      <c r="O642" s="10">
        <v>358356.95390000002</v>
      </c>
    </row>
    <row r="643" spans="1:15" x14ac:dyDescent="0.3">
      <c r="A643" s="2">
        <v>641</v>
      </c>
      <c r="B643" s="3" t="s">
        <v>24</v>
      </c>
      <c r="C643" s="3" t="s">
        <v>154</v>
      </c>
      <c r="D643" s="3" t="s">
        <v>18</v>
      </c>
      <c r="E643" s="3" t="s">
        <v>21</v>
      </c>
      <c r="F643" s="3">
        <f t="shared" ref="F643:F706" si="10">IF(D643=$F$1,1,0)</f>
        <v>1</v>
      </c>
      <c r="G643" s="3">
        <v>21929</v>
      </c>
      <c r="H643" s="3">
        <v>4</v>
      </c>
      <c r="I643" s="3">
        <v>87160</v>
      </c>
      <c r="J643" s="3">
        <f>IF(E643="Cold",1,0)</f>
        <v>0</v>
      </c>
      <c r="K643" s="3">
        <f>IF(E643="Hot",1,0)</f>
        <v>1</v>
      </c>
      <c r="L643" s="3">
        <v>2155</v>
      </c>
      <c r="M643" s="3">
        <v>29</v>
      </c>
      <c r="N643" s="4">
        <v>44890</v>
      </c>
      <c r="O643" s="10">
        <v>387075.59749999997</v>
      </c>
    </row>
    <row r="644" spans="1:15" x14ac:dyDescent="0.3">
      <c r="A644" s="2">
        <v>642</v>
      </c>
      <c r="B644" s="3" t="s">
        <v>74</v>
      </c>
      <c r="C644" s="3" t="s">
        <v>75</v>
      </c>
      <c r="D644" s="3" t="s">
        <v>18</v>
      </c>
      <c r="E644" s="3" t="s">
        <v>15</v>
      </c>
      <c r="F644" s="3">
        <f t="shared" si="10"/>
        <v>1</v>
      </c>
      <c r="G644" s="3">
        <v>17920</v>
      </c>
      <c r="H644" s="3">
        <v>6</v>
      </c>
      <c r="I644" s="3">
        <v>97748</v>
      </c>
      <c r="J644" s="3">
        <f>IF(E644="Cold",1,0)</f>
        <v>1</v>
      </c>
      <c r="K644" s="3">
        <f>IF(E644="Hot",1,0)</f>
        <v>0</v>
      </c>
      <c r="L644" s="3">
        <v>1090</v>
      </c>
      <c r="M644" s="3">
        <v>87</v>
      </c>
      <c r="N644" s="4">
        <v>45121</v>
      </c>
      <c r="O644" s="10">
        <v>359280.61969999998</v>
      </c>
    </row>
    <row r="645" spans="1:15" x14ac:dyDescent="0.3">
      <c r="A645" s="2">
        <v>643</v>
      </c>
      <c r="B645" s="3" t="s">
        <v>57</v>
      </c>
      <c r="C645" s="3" t="s">
        <v>78</v>
      </c>
      <c r="D645" s="3" t="s">
        <v>18</v>
      </c>
      <c r="E645" s="3" t="s">
        <v>23</v>
      </c>
      <c r="F645" s="3">
        <f t="shared" si="10"/>
        <v>1</v>
      </c>
      <c r="G645" s="3">
        <v>7315</v>
      </c>
      <c r="H645" s="3">
        <v>0</v>
      </c>
      <c r="I645" s="3">
        <v>96871</v>
      </c>
      <c r="J645" s="3">
        <f>IF(E645="Cold",1,0)</f>
        <v>0</v>
      </c>
      <c r="K645" s="3">
        <f>IF(E645="Hot",1,0)</f>
        <v>0</v>
      </c>
      <c r="L645" s="3">
        <v>1019</v>
      </c>
      <c r="M645" s="3">
        <v>78</v>
      </c>
      <c r="N645" s="4">
        <v>44396</v>
      </c>
      <c r="O645" s="10">
        <v>373723.22129999998</v>
      </c>
    </row>
    <row r="646" spans="1:15" x14ac:dyDescent="0.3">
      <c r="A646" s="2">
        <v>644</v>
      </c>
      <c r="B646" s="3" t="s">
        <v>28</v>
      </c>
      <c r="C646" s="3" t="s">
        <v>43</v>
      </c>
      <c r="D646" s="3" t="s">
        <v>14</v>
      </c>
      <c r="E646" s="3" t="s">
        <v>21</v>
      </c>
      <c r="F646" s="3">
        <f t="shared" si="10"/>
        <v>0</v>
      </c>
      <c r="G646" s="3">
        <v>16711</v>
      </c>
      <c r="H646" s="3">
        <v>5</v>
      </c>
      <c r="I646" s="3">
        <v>88651</v>
      </c>
      <c r="J646" s="3">
        <f>IF(E646="Cold",1,0)</f>
        <v>0</v>
      </c>
      <c r="K646" s="3">
        <f>IF(E646="Hot",1,0)</f>
        <v>1</v>
      </c>
      <c r="L646" s="3">
        <v>1531</v>
      </c>
      <c r="M646" s="3">
        <v>56</v>
      </c>
      <c r="N646" s="4">
        <v>44025</v>
      </c>
      <c r="O646" s="10">
        <v>317267.7574</v>
      </c>
    </row>
    <row r="647" spans="1:15" x14ac:dyDescent="0.3">
      <c r="A647" s="2">
        <v>645</v>
      </c>
      <c r="B647" s="3" t="s">
        <v>37</v>
      </c>
      <c r="C647" s="3" t="s">
        <v>114</v>
      </c>
      <c r="D647" s="3" t="s">
        <v>14</v>
      </c>
      <c r="E647" s="3" t="s">
        <v>15</v>
      </c>
      <c r="F647" s="3">
        <f t="shared" si="10"/>
        <v>0</v>
      </c>
      <c r="G647" s="3">
        <v>2626</v>
      </c>
      <c r="H647" s="3">
        <v>9</v>
      </c>
      <c r="I647" s="3">
        <v>71175</v>
      </c>
      <c r="J647" s="3">
        <f>IF(E647="Cold",1,0)</f>
        <v>1</v>
      </c>
      <c r="K647" s="3">
        <f>IF(E647="Hot",1,0)</f>
        <v>0</v>
      </c>
      <c r="L647" s="3">
        <v>2203</v>
      </c>
      <c r="M647" s="3">
        <v>33</v>
      </c>
      <c r="N647" s="4">
        <v>44680</v>
      </c>
      <c r="O647" s="10">
        <v>324022.46919999999</v>
      </c>
    </row>
    <row r="648" spans="1:15" x14ac:dyDescent="0.3">
      <c r="A648" s="2">
        <v>646</v>
      </c>
      <c r="B648" s="3" t="s">
        <v>35</v>
      </c>
      <c r="C648" s="3" t="s">
        <v>139</v>
      </c>
      <c r="D648" s="3" t="s">
        <v>18</v>
      </c>
      <c r="E648" s="3" t="s">
        <v>15</v>
      </c>
      <c r="F648" s="3">
        <f t="shared" si="10"/>
        <v>1</v>
      </c>
      <c r="G648" s="3">
        <v>22558</v>
      </c>
      <c r="H648" s="3">
        <v>0</v>
      </c>
      <c r="I648" s="3">
        <v>97009</v>
      </c>
      <c r="J648" s="3">
        <f>IF(E648="Cold",1,0)</f>
        <v>1</v>
      </c>
      <c r="K648" s="3">
        <f>IF(E648="Hot",1,0)</f>
        <v>0</v>
      </c>
      <c r="L648" s="3">
        <v>1176</v>
      </c>
      <c r="M648" s="3">
        <v>31</v>
      </c>
      <c r="N648" s="4">
        <v>44610</v>
      </c>
      <c r="O648" s="10">
        <v>349520.64740000002</v>
      </c>
    </row>
    <row r="649" spans="1:15" x14ac:dyDescent="0.3">
      <c r="A649" s="2">
        <v>647</v>
      </c>
      <c r="B649" s="3" t="s">
        <v>26</v>
      </c>
      <c r="C649" s="3" t="s">
        <v>99</v>
      </c>
      <c r="D649" s="3" t="s">
        <v>18</v>
      </c>
      <c r="E649" s="3" t="s">
        <v>23</v>
      </c>
      <c r="F649" s="3">
        <f t="shared" si="10"/>
        <v>1</v>
      </c>
      <c r="G649" s="3">
        <v>28573</v>
      </c>
      <c r="H649" s="3">
        <v>9</v>
      </c>
      <c r="I649" s="3">
        <v>70913</v>
      </c>
      <c r="J649" s="3">
        <f>IF(E649="Cold",1,0)</f>
        <v>0</v>
      </c>
      <c r="K649" s="3">
        <f>IF(E649="Hot",1,0)</f>
        <v>0</v>
      </c>
      <c r="L649" s="3">
        <v>1588</v>
      </c>
      <c r="M649" s="3">
        <v>54</v>
      </c>
      <c r="N649" s="4">
        <v>44435</v>
      </c>
      <c r="O649" s="10">
        <v>372345.67700000003</v>
      </c>
    </row>
    <row r="650" spans="1:15" x14ac:dyDescent="0.3">
      <c r="A650" s="2">
        <v>648</v>
      </c>
      <c r="B650" s="3" t="s">
        <v>31</v>
      </c>
      <c r="C650" s="3" t="s">
        <v>146</v>
      </c>
      <c r="D650" s="3" t="s">
        <v>14</v>
      </c>
      <c r="E650" s="3" t="s">
        <v>15</v>
      </c>
      <c r="F650" s="3">
        <f t="shared" si="10"/>
        <v>0</v>
      </c>
      <c r="G650" s="3">
        <v>6039</v>
      </c>
      <c r="H650" s="3">
        <v>2</v>
      </c>
      <c r="I650" s="3">
        <v>54856</v>
      </c>
      <c r="J650" s="3">
        <f>IF(E650="Cold",1,0)</f>
        <v>1</v>
      </c>
      <c r="K650" s="3">
        <f>IF(E650="Hot",1,0)</f>
        <v>0</v>
      </c>
      <c r="L650" s="3">
        <v>1999</v>
      </c>
      <c r="M650" s="3">
        <v>59</v>
      </c>
      <c r="N650" s="4">
        <v>45391</v>
      </c>
      <c r="O650" s="10">
        <v>328338.23420000001</v>
      </c>
    </row>
    <row r="651" spans="1:15" x14ac:dyDescent="0.3">
      <c r="A651" s="2">
        <v>649</v>
      </c>
      <c r="B651" s="3" t="s">
        <v>74</v>
      </c>
      <c r="C651" s="3" t="s">
        <v>89</v>
      </c>
      <c r="D651" s="3" t="s">
        <v>14</v>
      </c>
      <c r="E651" s="3" t="s">
        <v>23</v>
      </c>
      <c r="F651" s="3">
        <f t="shared" si="10"/>
        <v>0</v>
      </c>
      <c r="G651" s="3">
        <v>21504</v>
      </c>
      <c r="H651" s="3">
        <v>8</v>
      </c>
      <c r="I651" s="3">
        <v>82398</v>
      </c>
      <c r="J651" s="3">
        <f>IF(E651="Cold",1,0)</f>
        <v>0</v>
      </c>
      <c r="K651" s="3">
        <f>IF(E651="Hot",1,0)</f>
        <v>0</v>
      </c>
      <c r="L651" s="3">
        <v>1889</v>
      </c>
      <c r="M651" s="3">
        <v>60</v>
      </c>
      <c r="N651" s="4">
        <v>45370</v>
      </c>
      <c r="O651" s="10">
        <v>328340.9791</v>
      </c>
    </row>
    <row r="652" spans="1:15" x14ac:dyDescent="0.3">
      <c r="A652" s="2">
        <v>650</v>
      </c>
      <c r="B652" s="3" t="s">
        <v>12</v>
      </c>
      <c r="C652" s="3" t="s">
        <v>95</v>
      </c>
      <c r="D652" s="3" t="s">
        <v>14</v>
      </c>
      <c r="E652" s="3" t="s">
        <v>23</v>
      </c>
      <c r="F652" s="3">
        <f t="shared" si="10"/>
        <v>0</v>
      </c>
      <c r="G652" s="3">
        <v>1016</v>
      </c>
      <c r="H652" s="3">
        <v>7</v>
      </c>
      <c r="I652" s="3">
        <v>62477</v>
      </c>
      <c r="J652" s="3">
        <f>IF(E652="Cold",1,0)</f>
        <v>0</v>
      </c>
      <c r="K652" s="3">
        <f>IF(E652="Hot",1,0)</f>
        <v>0</v>
      </c>
      <c r="L652" s="3">
        <v>2590</v>
      </c>
      <c r="M652" s="3">
        <v>62</v>
      </c>
      <c r="N652" s="4">
        <v>44403</v>
      </c>
      <c r="O652" s="10">
        <v>329905.62479999999</v>
      </c>
    </row>
    <row r="653" spans="1:15" x14ac:dyDescent="0.3">
      <c r="A653" s="2">
        <v>651</v>
      </c>
      <c r="B653" s="3" t="s">
        <v>33</v>
      </c>
      <c r="C653" s="3" t="s">
        <v>198</v>
      </c>
      <c r="D653" s="3" t="s">
        <v>14</v>
      </c>
      <c r="E653" s="3" t="s">
        <v>23</v>
      </c>
      <c r="F653" s="3">
        <f t="shared" si="10"/>
        <v>0</v>
      </c>
      <c r="G653" s="3">
        <v>2563</v>
      </c>
      <c r="H653" s="3">
        <v>0</v>
      </c>
      <c r="I653" s="3">
        <v>98901</v>
      </c>
      <c r="J653" s="3">
        <f>IF(E653="Cold",1,0)</f>
        <v>0</v>
      </c>
      <c r="K653" s="3">
        <f>IF(E653="Hot",1,0)</f>
        <v>0</v>
      </c>
      <c r="L653" s="3">
        <v>2259</v>
      </c>
      <c r="M653" s="3">
        <v>26</v>
      </c>
      <c r="N653" s="4">
        <v>44702</v>
      </c>
      <c r="O653" s="10">
        <v>321173.03590000002</v>
      </c>
    </row>
    <row r="654" spans="1:15" x14ac:dyDescent="0.3">
      <c r="A654" s="2">
        <v>652</v>
      </c>
      <c r="B654" s="3" t="s">
        <v>28</v>
      </c>
      <c r="C654" s="3" t="s">
        <v>43</v>
      </c>
      <c r="D654" s="3" t="s">
        <v>14</v>
      </c>
      <c r="E654" s="3" t="s">
        <v>23</v>
      </c>
      <c r="F654" s="3">
        <f t="shared" si="10"/>
        <v>0</v>
      </c>
      <c r="G654" s="3">
        <v>11403</v>
      </c>
      <c r="H654" s="3">
        <v>7</v>
      </c>
      <c r="I654" s="3">
        <v>78574</v>
      </c>
      <c r="J654" s="3">
        <f>IF(E654="Cold",1,0)</f>
        <v>0</v>
      </c>
      <c r="K654" s="3">
        <f>IF(E654="Hot",1,0)</f>
        <v>0</v>
      </c>
      <c r="L654" s="3">
        <v>2786</v>
      </c>
      <c r="M654" s="3">
        <v>96</v>
      </c>
      <c r="N654" s="4">
        <v>43958</v>
      </c>
      <c r="O654" s="10">
        <v>364404.81520000001</v>
      </c>
    </row>
    <row r="655" spans="1:15" x14ac:dyDescent="0.3">
      <c r="A655" s="2">
        <v>653</v>
      </c>
      <c r="B655" s="3" t="s">
        <v>55</v>
      </c>
      <c r="C655" s="3" t="s">
        <v>169</v>
      </c>
      <c r="D655" s="3" t="s">
        <v>14</v>
      </c>
      <c r="E655" s="3" t="s">
        <v>23</v>
      </c>
      <c r="F655" s="3">
        <f t="shared" si="10"/>
        <v>0</v>
      </c>
      <c r="G655" s="3">
        <v>3497</v>
      </c>
      <c r="H655" s="3">
        <v>2</v>
      </c>
      <c r="I655" s="3">
        <v>90219</v>
      </c>
      <c r="J655" s="3">
        <f>IF(E655="Cold",1,0)</f>
        <v>0</v>
      </c>
      <c r="K655" s="3">
        <f>IF(E655="Hot",1,0)</f>
        <v>0</v>
      </c>
      <c r="L655" s="3">
        <v>2038</v>
      </c>
      <c r="M655" s="3">
        <v>31</v>
      </c>
      <c r="N655" s="4">
        <v>44496</v>
      </c>
      <c r="O655" s="10">
        <v>321230.71730000002</v>
      </c>
    </row>
    <row r="656" spans="1:15" x14ac:dyDescent="0.3">
      <c r="A656" s="2">
        <v>654</v>
      </c>
      <c r="B656" s="3" t="s">
        <v>44</v>
      </c>
      <c r="C656" s="3" t="s">
        <v>82</v>
      </c>
      <c r="D656" s="3" t="s">
        <v>18</v>
      </c>
      <c r="E656" s="3" t="s">
        <v>23</v>
      </c>
      <c r="F656" s="3">
        <f t="shared" si="10"/>
        <v>1</v>
      </c>
      <c r="G656" s="3">
        <v>869</v>
      </c>
      <c r="H656" s="3">
        <v>3</v>
      </c>
      <c r="I656" s="3">
        <v>59686</v>
      </c>
      <c r="J656" s="3">
        <f>IF(E656="Cold",1,0)</f>
        <v>0</v>
      </c>
      <c r="K656" s="3">
        <f>IF(E656="Hot",1,0)</f>
        <v>0</v>
      </c>
      <c r="L656" s="3">
        <v>1390</v>
      </c>
      <c r="M656" s="3">
        <v>21</v>
      </c>
      <c r="N656" s="4">
        <v>44888</v>
      </c>
      <c r="O656" s="10">
        <v>354597.81510000001</v>
      </c>
    </row>
    <row r="657" spans="1:15" x14ac:dyDescent="0.3">
      <c r="A657" s="2">
        <v>655</v>
      </c>
      <c r="B657" s="3" t="s">
        <v>24</v>
      </c>
      <c r="C657" s="3" t="s">
        <v>39</v>
      </c>
      <c r="D657" s="3" t="s">
        <v>14</v>
      </c>
      <c r="E657" s="3" t="s">
        <v>21</v>
      </c>
      <c r="F657" s="3">
        <f t="shared" si="10"/>
        <v>0</v>
      </c>
      <c r="G657" s="3">
        <v>8411</v>
      </c>
      <c r="H657" s="3">
        <v>5</v>
      </c>
      <c r="I657" s="3">
        <v>53441</v>
      </c>
      <c r="J657" s="3">
        <f>IF(E657="Cold",1,0)</f>
        <v>0</v>
      </c>
      <c r="K657" s="3">
        <f>IF(E657="Hot",1,0)</f>
        <v>1</v>
      </c>
      <c r="L657" s="3">
        <v>2476</v>
      </c>
      <c r="M657" s="3">
        <v>47</v>
      </c>
      <c r="N657" s="4">
        <v>45045</v>
      </c>
      <c r="O657" s="10">
        <v>337080.6128</v>
      </c>
    </row>
    <row r="658" spans="1:15" x14ac:dyDescent="0.3">
      <c r="A658" s="2">
        <v>656</v>
      </c>
      <c r="B658" s="3" t="s">
        <v>33</v>
      </c>
      <c r="C658" s="3" t="s">
        <v>92</v>
      </c>
      <c r="D658" s="3" t="s">
        <v>14</v>
      </c>
      <c r="E658" s="3" t="s">
        <v>23</v>
      </c>
      <c r="F658" s="3">
        <f t="shared" si="10"/>
        <v>0</v>
      </c>
      <c r="G658" s="3">
        <v>18384</v>
      </c>
      <c r="H658" s="3">
        <v>2</v>
      </c>
      <c r="I658" s="3">
        <v>96331</v>
      </c>
      <c r="J658" s="3">
        <f>IF(E658="Cold",1,0)</f>
        <v>0</v>
      </c>
      <c r="K658" s="3">
        <f>IF(E658="Hot",1,0)</f>
        <v>0</v>
      </c>
      <c r="L658" s="3">
        <v>2336</v>
      </c>
      <c r="M658" s="3">
        <v>98</v>
      </c>
      <c r="N658" s="4">
        <v>44091</v>
      </c>
      <c r="O658" s="10">
        <v>357872.44069999998</v>
      </c>
    </row>
    <row r="659" spans="1:15" x14ac:dyDescent="0.3">
      <c r="A659" s="2">
        <v>657</v>
      </c>
      <c r="B659" s="3" t="s">
        <v>74</v>
      </c>
      <c r="C659" s="3" t="s">
        <v>120</v>
      </c>
      <c r="D659" s="3" t="s">
        <v>14</v>
      </c>
      <c r="E659" s="3" t="s">
        <v>21</v>
      </c>
      <c r="F659" s="3">
        <f t="shared" si="10"/>
        <v>0</v>
      </c>
      <c r="G659" s="3">
        <v>19756</v>
      </c>
      <c r="H659" s="3">
        <v>0</v>
      </c>
      <c r="I659" s="3">
        <v>84028</v>
      </c>
      <c r="J659" s="3">
        <f>IF(E659="Cold",1,0)</f>
        <v>0</v>
      </c>
      <c r="K659" s="3">
        <f>IF(E659="Hot",1,0)</f>
        <v>1</v>
      </c>
      <c r="L659" s="3">
        <v>2681</v>
      </c>
      <c r="M659" s="3">
        <v>51</v>
      </c>
      <c r="N659" s="4">
        <v>44095</v>
      </c>
      <c r="O659" s="10">
        <v>359006.97560000001</v>
      </c>
    </row>
    <row r="660" spans="1:15" x14ac:dyDescent="0.3">
      <c r="A660" s="2">
        <v>658</v>
      </c>
      <c r="B660" s="3" t="s">
        <v>33</v>
      </c>
      <c r="C660" s="3" t="s">
        <v>34</v>
      </c>
      <c r="D660" s="3" t="s">
        <v>18</v>
      </c>
      <c r="E660" s="3" t="s">
        <v>15</v>
      </c>
      <c r="F660" s="3">
        <f t="shared" si="10"/>
        <v>1</v>
      </c>
      <c r="G660" s="3">
        <v>18202</v>
      </c>
      <c r="H660" s="3">
        <v>6</v>
      </c>
      <c r="I660" s="3">
        <v>53485</v>
      </c>
      <c r="J660" s="3">
        <f>IF(E660="Cold",1,0)</f>
        <v>1</v>
      </c>
      <c r="K660" s="3">
        <f>IF(E660="Hot",1,0)</f>
        <v>0</v>
      </c>
      <c r="L660" s="3">
        <v>2018</v>
      </c>
      <c r="M660" s="3">
        <v>79</v>
      </c>
      <c r="N660" s="4">
        <v>44191</v>
      </c>
      <c r="O660" s="10">
        <v>365709.40039999998</v>
      </c>
    </row>
    <row r="661" spans="1:15" x14ac:dyDescent="0.3">
      <c r="A661" s="2">
        <v>659</v>
      </c>
      <c r="B661" s="3" t="s">
        <v>33</v>
      </c>
      <c r="C661" s="3" t="s">
        <v>34</v>
      </c>
      <c r="D661" s="3" t="s">
        <v>14</v>
      </c>
      <c r="E661" s="3" t="s">
        <v>15</v>
      </c>
      <c r="F661" s="3">
        <f t="shared" si="10"/>
        <v>0</v>
      </c>
      <c r="G661" s="3">
        <v>14795</v>
      </c>
      <c r="H661" s="3">
        <v>6</v>
      </c>
      <c r="I661" s="3">
        <v>50537</v>
      </c>
      <c r="J661" s="3">
        <f>IF(E661="Cold",1,0)</f>
        <v>1</v>
      </c>
      <c r="K661" s="3">
        <f>IF(E661="Hot",1,0)</f>
        <v>0</v>
      </c>
      <c r="L661" s="3">
        <v>1684</v>
      </c>
      <c r="M661" s="3">
        <v>81</v>
      </c>
      <c r="N661" s="4">
        <v>44313</v>
      </c>
      <c r="O661" s="10">
        <v>319851.00699999998</v>
      </c>
    </row>
    <row r="662" spans="1:15" x14ac:dyDescent="0.3">
      <c r="A662" s="2">
        <v>660</v>
      </c>
      <c r="B662" s="3" t="s">
        <v>40</v>
      </c>
      <c r="C662" s="3" t="s">
        <v>103</v>
      </c>
      <c r="D662" s="3" t="s">
        <v>18</v>
      </c>
      <c r="E662" s="3" t="s">
        <v>15</v>
      </c>
      <c r="F662" s="3">
        <f t="shared" si="10"/>
        <v>1</v>
      </c>
      <c r="G662" s="3">
        <v>5995</v>
      </c>
      <c r="H662" s="3">
        <v>3</v>
      </c>
      <c r="I662" s="3">
        <v>86960</v>
      </c>
      <c r="J662" s="3">
        <f>IF(E662="Cold",1,0)</f>
        <v>1</v>
      </c>
      <c r="K662" s="3">
        <f>IF(E662="Hot",1,0)</f>
        <v>0</v>
      </c>
      <c r="L662" s="3">
        <v>1185</v>
      </c>
      <c r="M662" s="3">
        <v>70</v>
      </c>
      <c r="N662" s="4">
        <v>44817</v>
      </c>
      <c r="O662" s="10">
        <v>329739.65710000001</v>
      </c>
    </row>
    <row r="663" spans="1:15" x14ac:dyDescent="0.3">
      <c r="A663" s="2">
        <v>661</v>
      </c>
      <c r="B663" s="3" t="s">
        <v>29</v>
      </c>
      <c r="C663" s="3" t="s">
        <v>83</v>
      </c>
      <c r="D663" s="3" t="s">
        <v>18</v>
      </c>
      <c r="E663" s="3" t="s">
        <v>15</v>
      </c>
      <c r="F663" s="3">
        <f t="shared" si="10"/>
        <v>1</v>
      </c>
      <c r="G663" s="3">
        <v>13632</v>
      </c>
      <c r="H663" s="3">
        <v>2</v>
      </c>
      <c r="I663" s="3">
        <v>87277</v>
      </c>
      <c r="J663" s="3">
        <f>IF(E663="Cold",1,0)</f>
        <v>1</v>
      </c>
      <c r="K663" s="3">
        <f>IF(E663="Hot",1,0)</f>
        <v>0</v>
      </c>
      <c r="L663" s="3">
        <v>2280</v>
      </c>
      <c r="M663" s="3">
        <v>78</v>
      </c>
      <c r="N663" s="4">
        <v>44082</v>
      </c>
      <c r="O663" s="10">
        <v>369558.62079999998</v>
      </c>
    </row>
    <row r="664" spans="1:15" x14ac:dyDescent="0.3">
      <c r="A664" s="2">
        <v>662</v>
      </c>
      <c r="B664" s="3" t="s">
        <v>16</v>
      </c>
      <c r="C664" s="3" t="s">
        <v>22</v>
      </c>
      <c r="D664" s="3" t="s">
        <v>14</v>
      </c>
      <c r="E664" s="3" t="s">
        <v>15</v>
      </c>
      <c r="F664" s="3">
        <f t="shared" si="10"/>
        <v>0</v>
      </c>
      <c r="G664" s="3">
        <v>26885</v>
      </c>
      <c r="H664" s="3">
        <v>0</v>
      </c>
      <c r="I664" s="3">
        <v>56518</v>
      </c>
      <c r="J664" s="3">
        <f>IF(E664="Cold",1,0)</f>
        <v>1</v>
      </c>
      <c r="K664" s="3">
        <f>IF(E664="Hot",1,0)</f>
        <v>0</v>
      </c>
      <c r="L664" s="3">
        <v>2391</v>
      </c>
      <c r="M664" s="3">
        <v>76</v>
      </c>
      <c r="N664" s="4">
        <v>44103</v>
      </c>
      <c r="O664" s="10">
        <v>338384.29369999998</v>
      </c>
    </row>
    <row r="665" spans="1:15" x14ac:dyDescent="0.3">
      <c r="A665" s="2">
        <v>663</v>
      </c>
      <c r="B665" s="3" t="s">
        <v>122</v>
      </c>
      <c r="C665" s="3" t="s">
        <v>194</v>
      </c>
      <c r="D665" s="3" t="s">
        <v>18</v>
      </c>
      <c r="E665" s="3" t="s">
        <v>23</v>
      </c>
      <c r="F665" s="3">
        <f t="shared" si="10"/>
        <v>1</v>
      </c>
      <c r="G665" s="3">
        <v>2874</v>
      </c>
      <c r="H665" s="3">
        <v>2</v>
      </c>
      <c r="I665" s="3">
        <v>51981</v>
      </c>
      <c r="J665" s="3">
        <f>IF(E665="Cold",1,0)</f>
        <v>0</v>
      </c>
      <c r="K665" s="3">
        <f>IF(E665="Hot",1,0)</f>
        <v>0</v>
      </c>
      <c r="L665" s="3">
        <v>2280</v>
      </c>
      <c r="M665" s="3">
        <v>68</v>
      </c>
      <c r="N665" s="4">
        <v>43881</v>
      </c>
      <c r="O665" s="10">
        <v>370489.03649999999</v>
      </c>
    </row>
    <row r="666" spans="1:15" x14ac:dyDescent="0.3">
      <c r="A666" s="2">
        <v>664</v>
      </c>
      <c r="B666" s="3" t="s">
        <v>16</v>
      </c>
      <c r="C666" s="3" t="s">
        <v>51</v>
      </c>
      <c r="D666" s="3" t="s">
        <v>18</v>
      </c>
      <c r="E666" s="3" t="s">
        <v>23</v>
      </c>
      <c r="F666" s="3">
        <f t="shared" si="10"/>
        <v>1</v>
      </c>
      <c r="G666" s="3">
        <v>8080</v>
      </c>
      <c r="H666" s="3">
        <v>9</v>
      </c>
      <c r="I666" s="3">
        <v>87482</v>
      </c>
      <c r="J666" s="3">
        <f>IF(E666="Cold",1,0)</f>
        <v>0</v>
      </c>
      <c r="K666" s="3">
        <f>IF(E666="Hot",1,0)</f>
        <v>0</v>
      </c>
      <c r="L666" s="3">
        <v>2084</v>
      </c>
      <c r="M666" s="3">
        <v>63</v>
      </c>
      <c r="N666" s="4">
        <v>44151</v>
      </c>
      <c r="O666" s="10">
        <v>374370.53399999999</v>
      </c>
    </row>
    <row r="667" spans="1:15" x14ac:dyDescent="0.3">
      <c r="A667" s="2">
        <v>665</v>
      </c>
      <c r="B667" s="3" t="s">
        <v>31</v>
      </c>
      <c r="C667" s="3" t="s">
        <v>185</v>
      </c>
      <c r="D667" s="3" t="s">
        <v>14</v>
      </c>
      <c r="E667" s="3" t="s">
        <v>21</v>
      </c>
      <c r="F667" s="3">
        <f t="shared" si="10"/>
        <v>0</v>
      </c>
      <c r="G667" s="3">
        <v>17227</v>
      </c>
      <c r="H667" s="3">
        <v>9</v>
      </c>
      <c r="I667" s="3">
        <v>74717</v>
      </c>
      <c r="J667" s="3">
        <f>IF(E667="Cold",1,0)</f>
        <v>0</v>
      </c>
      <c r="K667" s="3">
        <f>IF(E667="Hot",1,0)</f>
        <v>1</v>
      </c>
      <c r="L667" s="3">
        <v>2721</v>
      </c>
      <c r="M667" s="3">
        <v>77</v>
      </c>
      <c r="N667" s="4">
        <v>44274</v>
      </c>
      <c r="O667" s="10">
        <v>373425.37199999997</v>
      </c>
    </row>
    <row r="668" spans="1:15" x14ac:dyDescent="0.3">
      <c r="A668" s="2">
        <v>666</v>
      </c>
      <c r="B668" s="3" t="s">
        <v>44</v>
      </c>
      <c r="C668" s="3" t="s">
        <v>201</v>
      </c>
      <c r="D668" s="3" t="s">
        <v>18</v>
      </c>
      <c r="E668" s="3" t="s">
        <v>15</v>
      </c>
      <c r="F668" s="3">
        <f t="shared" si="10"/>
        <v>1</v>
      </c>
      <c r="G668" s="3">
        <v>29466</v>
      </c>
      <c r="H668" s="3">
        <v>6</v>
      </c>
      <c r="I668" s="3">
        <v>77212</v>
      </c>
      <c r="J668" s="3">
        <f>IF(E668="Cold",1,0)</f>
        <v>1</v>
      </c>
      <c r="K668" s="3">
        <f>IF(E668="Hot",1,0)</f>
        <v>0</v>
      </c>
      <c r="L668" s="3">
        <v>2494</v>
      </c>
      <c r="M668" s="3">
        <v>43</v>
      </c>
      <c r="N668" s="4">
        <v>44193</v>
      </c>
      <c r="O668" s="10">
        <v>392439.79239999998</v>
      </c>
    </row>
    <row r="669" spans="1:15" x14ac:dyDescent="0.3">
      <c r="A669" s="2">
        <v>667</v>
      </c>
      <c r="B669" s="3" t="s">
        <v>16</v>
      </c>
      <c r="C669" s="3" t="s">
        <v>207</v>
      </c>
      <c r="D669" s="3" t="s">
        <v>18</v>
      </c>
      <c r="E669" s="3" t="s">
        <v>23</v>
      </c>
      <c r="F669" s="3">
        <f t="shared" si="10"/>
        <v>1</v>
      </c>
      <c r="G669" s="3">
        <v>20976</v>
      </c>
      <c r="H669" s="3">
        <v>6</v>
      </c>
      <c r="I669" s="3">
        <v>78707</v>
      </c>
      <c r="J669" s="3">
        <f>IF(E669="Cold",1,0)</f>
        <v>0</v>
      </c>
      <c r="K669" s="3">
        <f>IF(E669="Hot",1,0)</f>
        <v>0</v>
      </c>
      <c r="L669" s="3">
        <v>2821</v>
      </c>
      <c r="M669" s="3">
        <v>32</v>
      </c>
      <c r="N669" s="4">
        <v>45397</v>
      </c>
      <c r="O669" s="10">
        <v>396696.54100000003</v>
      </c>
    </row>
    <row r="670" spans="1:15" x14ac:dyDescent="0.3">
      <c r="A670" s="2">
        <v>668</v>
      </c>
      <c r="B670" s="3" t="s">
        <v>28</v>
      </c>
      <c r="C670" s="3" t="s">
        <v>112</v>
      </c>
      <c r="D670" s="3" t="s">
        <v>14</v>
      </c>
      <c r="E670" s="3" t="s">
        <v>21</v>
      </c>
      <c r="F670" s="3">
        <f t="shared" si="10"/>
        <v>0</v>
      </c>
      <c r="G670" s="3">
        <v>11173</v>
      </c>
      <c r="H670" s="3">
        <v>0</v>
      </c>
      <c r="I670" s="3">
        <v>60781</v>
      </c>
      <c r="J670" s="3">
        <f>IF(E670="Cold",1,0)</f>
        <v>0</v>
      </c>
      <c r="K670" s="3">
        <f>IF(E670="Hot",1,0)</f>
        <v>1</v>
      </c>
      <c r="L670" s="3">
        <v>2992</v>
      </c>
      <c r="M670" s="3">
        <v>71</v>
      </c>
      <c r="N670" s="4">
        <v>44145</v>
      </c>
      <c r="O670" s="10">
        <v>367689.85210000002</v>
      </c>
    </row>
    <row r="671" spans="1:15" x14ac:dyDescent="0.3">
      <c r="A671" s="2">
        <v>669</v>
      </c>
      <c r="B671" s="3" t="s">
        <v>35</v>
      </c>
      <c r="C671" s="3" t="s">
        <v>62</v>
      </c>
      <c r="D671" s="3" t="s">
        <v>18</v>
      </c>
      <c r="E671" s="3" t="s">
        <v>21</v>
      </c>
      <c r="F671" s="3">
        <f t="shared" si="10"/>
        <v>1</v>
      </c>
      <c r="G671" s="3">
        <v>17034</v>
      </c>
      <c r="H671" s="3">
        <v>0</v>
      </c>
      <c r="I671" s="3">
        <v>58207</v>
      </c>
      <c r="J671" s="3">
        <f>IF(E671="Cold",1,0)</f>
        <v>0</v>
      </c>
      <c r="K671" s="3">
        <f>IF(E671="Hot",1,0)</f>
        <v>1</v>
      </c>
      <c r="L671" s="3">
        <v>2757</v>
      </c>
      <c r="M671" s="3">
        <v>29</v>
      </c>
      <c r="N671" s="4">
        <v>44181</v>
      </c>
      <c r="O671" s="10">
        <v>402559.03370000003</v>
      </c>
    </row>
    <row r="672" spans="1:15" x14ac:dyDescent="0.3">
      <c r="A672" s="2">
        <v>670</v>
      </c>
      <c r="B672" s="3" t="s">
        <v>33</v>
      </c>
      <c r="C672" s="3" t="s">
        <v>220</v>
      </c>
      <c r="D672" s="3" t="s">
        <v>18</v>
      </c>
      <c r="E672" s="3" t="s">
        <v>23</v>
      </c>
      <c r="F672" s="3">
        <f t="shared" si="10"/>
        <v>1</v>
      </c>
      <c r="G672" s="3">
        <v>28905</v>
      </c>
      <c r="H672" s="3">
        <v>7</v>
      </c>
      <c r="I672" s="3">
        <v>52932</v>
      </c>
      <c r="J672" s="3">
        <f>IF(E672="Cold",1,0)</f>
        <v>0</v>
      </c>
      <c r="K672" s="3">
        <f>IF(E672="Hot",1,0)</f>
        <v>0</v>
      </c>
      <c r="L672" s="3">
        <v>1518</v>
      </c>
      <c r="M672" s="3">
        <v>28</v>
      </c>
      <c r="N672" s="4">
        <v>43844</v>
      </c>
      <c r="O672" s="10">
        <v>376405.69579999999</v>
      </c>
    </row>
    <row r="673" spans="1:15" x14ac:dyDescent="0.3">
      <c r="A673" s="2">
        <v>671</v>
      </c>
      <c r="B673" s="3" t="s">
        <v>74</v>
      </c>
      <c r="C673" s="3" t="s">
        <v>221</v>
      </c>
      <c r="D673" s="3" t="s">
        <v>14</v>
      </c>
      <c r="E673" s="3" t="s">
        <v>23</v>
      </c>
      <c r="F673" s="3">
        <f t="shared" si="10"/>
        <v>0</v>
      </c>
      <c r="G673" s="3">
        <v>20522</v>
      </c>
      <c r="H673" s="3">
        <v>2</v>
      </c>
      <c r="I673" s="3">
        <v>84097</v>
      </c>
      <c r="J673" s="3">
        <f>IF(E673="Cold",1,0)</f>
        <v>0</v>
      </c>
      <c r="K673" s="3">
        <f>IF(E673="Hot",1,0)</f>
        <v>0</v>
      </c>
      <c r="L673" s="3">
        <v>1623</v>
      </c>
      <c r="M673" s="3">
        <v>95</v>
      </c>
      <c r="N673" s="4">
        <v>45433</v>
      </c>
      <c r="O673" s="10">
        <v>360788.90429999999</v>
      </c>
    </row>
    <row r="674" spans="1:15" x14ac:dyDescent="0.3">
      <c r="A674" s="2">
        <v>672</v>
      </c>
      <c r="B674" s="3" t="s">
        <v>26</v>
      </c>
      <c r="C674" s="3" t="s">
        <v>93</v>
      </c>
      <c r="D674" s="3" t="s">
        <v>18</v>
      </c>
      <c r="E674" s="3" t="s">
        <v>23</v>
      </c>
      <c r="F674" s="3">
        <f t="shared" si="10"/>
        <v>1</v>
      </c>
      <c r="G674" s="3">
        <v>22913</v>
      </c>
      <c r="H674" s="3">
        <v>9</v>
      </c>
      <c r="I674" s="3">
        <v>64796</v>
      </c>
      <c r="J674" s="3">
        <f>IF(E674="Cold",1,0)</f>
        <v>0</v>
      </c>
      <c r="K674" s="3">
        <f>IF(E674="Hot",1,0)</f>
        <v>0</v>
      </c>
      <c r="L674" s="3">
        <v>2721</v>
      </c>
      <c r="M674" s="3">
        <v>56</v>
      </c>
      <c r="N674" s="4">
        <v>45458</v>
      </c>
      <c r="O674" s="10">
        <v>376540.12609999999</v>
      </c>
    </row>
    <row r="675" spans="1:15" x14ac:dyDescent="0.3">
      <c r="A675" s="2">
        <v>673</v>
      </c>
      <c r="B675" s="3" t="s">
        <v>16</v>
      </c>
      <c r="C675" s="3" t="s">
        <v>84</v>
      </c>
      <c r="D675" s="3" t="s">
        <v>18</v>
      </c>
      <c r="E675" s="3" t="s">
        <v>21</v>
      </c>
      <c r="F675" s="3">
        <f t="shared" si="10"/>
        <v>1</v>
      </c>
      <c r="G675" s="3">
        <v>12162</v>
      </c>
      <c r="H675" s="3">
        <v>7</v>
      </c>
      <c r="I675" s="3">
        <v>96337</v>
      </c>
      <c r="J675" s="3">
        <f>IF(E675="Cold",1,0)</f>
        <v>0</v>
      </c>
      <c r="K675" s="3">
        <f>IF(E675="Hot",1,0)</f>
        <v>1</v>
      </c>
      <c r="L675" s="3">
        <v>1131</v>
      </c>
      <c r="M675" s="3">
        <v>46</v>
      </c>
      <c r="N675" s="4">
        <v>45058</v>
      </c>
      <c r="O675" s="10">
        <v>340715.15029999998</v>
      </c>
    </row>
    <row r="676" spans="1:15" x14ac:dyDescent="0.3">
      <c r="A676" s="2">
        <v>674</v>
      </c>
      <c r="B676" s="3" t="s">
        <v>33</v>
      </c>
      <c r="C676" s="3" t="s">
        <v>68</v>
      </c>
      <c r="D676" s="3" t="s">
        <v>14</v>
      </c>
      <c r="E676" s="3" t="s">
        <v>15</v>
      </c>
      <c r="F676" s="3">
        <f t="shared" si="10"/>
        <v>0</v>
      </c>
      <c r="G676" s="3">
        <v>8206</v>
      </c>
      <c r="H676" s="3">
        <v>5</v>
      </c>
      <c r="I676" s="3">
        <v>99868</v>
      </c>
      <c r="J676" s="3">
        <f>IF(E676="Cold",1,0)</f>
        <v>1</v>
      </c>
      <c r="K676" s="3">
        <f>IF(E676="Hot",1,0)</f>
        <v>0</v>
      </c>
      <c r="L676" s="3">
        <v>2219</v>
      </c>
      <c r="M676" s="3">
        <v>45</v>
      </c>
      <c r="N676" s="4">
        <v>45483</v>
      </c>
      <c r="O676" s="10">
        <v>314299.07339999999</v>
      </c>
    </row>
    <row r="677" spans="1:15" x14ac:dyDescent="0.3">
      <c r="A677" s="2">
        <v>675</v>
      </c>
      <c r="B677" s="3" t="s">
        <v>35</v>
      </c>
      <c r="C677" s="3" t="s">
        <v>119</v>
      </c>
      <c r="D677" s="3" t="s">
        <v>14</v>
      </c>
      <c r="E677" s="3" t="s">
        <v>21</v>
      </c>
      <c r="F677" s="3">
        <f t="shared" si="10"/>
        <v>0</v>
      </c>
      <c r="G677" s="3">
        <v>14372</v>
      </c>
      <c r="H677" s="3">
        <v>8</v>
      </c>
      <c r="I677" s="3">
        <v>94006</v>
      </c>
      <c r="J677" s="3">
        <f>IF(E677="Cold",1,0)</f>
        <v>0</v>
      </c>
      <c r="K677" s="3">
        <f>IF(E677="Hot",1,0)</f>
        <v>1</v>
      </c>
      <c r="L677" s="3">
        <v>2050</v>
      </c>
      <c r="M677" s="3">
        <v>87</v>
      </c>
      <c r="N677" s="4">
        <v>44935</v>
      </c>
      <c r="O677" s="10">
        <v>361276.22830000002</v>
      </c>
    </row>
    <row r="678" spans="1:15" x14ac:dyDescent="0.3">
      <c r="A678" s="2">
        <v>676</v>
      </c>
      <c r="B678" s="3" t="s">
        <v>24</v>
      </c>
      <c r="C678" s="3" t="s">
        <v>101</v>
      </c>
      <c r="D678" s="3" t="s">
        <v>18</v>
      </c>
      <c r="E678" s="3" t="s">
        <v>15</v>
      </c>
      <c r="F678" s="3">
        <f t="shared" si="10"/>
        <v>1</v>
      </c>
      <c r="G678" s="3">
        <v>2413</v>
      </c>
      <c r="H678" s="3">
        <v>2</v>
      </c>
      <c r="I678" s="3">
        <v>69619</v>
      </c>
      <c r="J678" s="3">
        <f>IF(E678="Cold",1,0)</f>
        <v>1</v>
      </c>
      <c r="K678" s="3">
        <f>IF(E678="Hot",1,0)</f>
        <v>0</v>
      </c>
      <c r="L678" s="3">
        <v>1267</v>
      </c>
      <c r="M678" s="3">
        <v>51</v>
      </c>
      <c r="N678" s="4">
        <v>44772</v>
      </c>
      <c r="O678" s="10">
        <v>359790.47730000003</v>
      </c>
    </row>
    <row r="679" spans="1:15" x14ac:dyDescent="0.3">
      <c r="A679" s="2">
        <v>677</v>
      </c>
      <c r="B679" s="3" t="s">
        <v>29</v>
      </c>
      <c r="C679" s="3" t="s">
        <v>135</v>
      </c>
      <c r="D679" s="3" t="s">
        <v>18</v>
      </c>
      <c r="E679" s="3" t="s">
        <v>21</v>
      </c>
      <c r="F679" s="3">
        <f t="shared" si="10"/>
        <v>1</v>
      </c>
      <c r="G679" s="3">
        <v>16196</v>
      </c>
      <c r="H679" s="3">
        <v>6</v>
      </c>
      <c r="I679" s="3">
        <v>71155</v>
      </c>
      <c r="J679" s="3">
        <f>IF(E679="Cold",1,0)</f>
        <v>0</v>
      </c>
      <c r="K679" s="3">
        <f>IF(E679="Hot",1,0)</f>
        <v>1</v>
      </c>
      <c r="L679" s="3">
        <v>2980</v>
      </c>
      <c r="M679" s="3">
        <v>75</v>
      </c>
      <c r="N679" s="4">
        <v>44345</v>
      </c>
      <c r="O679" s="10">
        <v>396281.55410000001</v>
      </c>
    </row>
    <row r="680" spans="1:15" x14ac:dyDescent="0.3">
      <c r="A680" s="2">
        <v>678</v>
      </c>
      <c r="B680" s="3" t="s">
        <v>44</v>
      </c>
      <c r="C680" s="3" t="s">
        <v>217</v>
      </c>
      <c r="D680" s="3" t="s">
        <v>14</v>
      </c>
      <c r="E680" s="3" t="s">
        <v>21</v>
      </c>
      <c r="F680" s="3">
        <f t="shared" si="10"/>
        <v>0</v>
      </c>
      <c r="G680" s="3">
        <v>11802</v>
      </c>
      <c r="H680" s="3">
        <v>0</v>
      </c>
      <c r="I680" s="3">
        <v>76271</v>
      </c>
      <c r="J680" s="3">
        <f>IF(E680="Cold",1,0)</f>
        <v>0</v>
      </c>
      <c r="K680" s="3">
        <f>IF(E680="Hot",1,0)</f>
        <v>1</v>
      </c>
      <c r="L680" s="3">
        <v>2661</v>
      </c>
      <c r="M680" s="3">
        <v>49</v>
      </c>
      <c r="N680" s="4">
        <v>44771</v>
      </c>
      <c r="O680" s="10">
        <v>365813.5061</v>
      </c>
    </row>
    <row r="681" spans="1:15" x14ac:dyDescent="0.3">
      <c r="A681" s="2">
        <v>679</v>
      </c>
      <c r="B681" s="3" t="s">
        <v>35</v>
      </c>
      <c r="C681" s="3" t="s">
        <v>62</v>
      </c>
      <c r="D681" s="3" t="s">
        <v>14</v>
      </c>
      <c r="E681" s="3" t="s">
        <v>23</v>
      </c>
      <c r="F681" s="3">
        <f t="shared" si="10"/>
        <v>0</v>
      </c>
      <c r="G681" s="3">
        <v>12823</v>
      </c>
      <c r="H681" s="3">
        <v>7</v>
      </c>
      <c r="I681" s="3">
        <v>93685</v>
      </c>
      <c r="J681" s="3">
        <f>IF(E681="Cold",1,0)</f>
        <v>0</v>
      </c>
      <c r="K681" s="3">
        <f>IF(E681="Hot",1,0)</f>
        <v>0</v>
      </c>
      <c r="L681" s="3">
        <v>1162</v>
      </c>
      <c r="M681" s="3">
        <v>66</v>
      </c>
      <c r="N681" s="4">
        <v>44507</v>
      </c>
      <c r="O681" s="10">
        <v>314412.11739999999</v>
      </c>
    </row>
    <row r="682" spans="1:15" x14ac:dyDescent="0.3">
      <c r="A682" s="2">
        <v>680</v>
      </c>
      <c r="B682" s="3" t="s">
        <v>19</v>
      </c>
      <c r="C682" s="3" t="s">
        <v>199</v>
      </c>
      <c r="D682" s="3" t="s">
        <v>18</v>
      </c>
      <c r="E682" s="3" t="s">
        <v>23</v>
      </c>
      <c r="F682" s="3">
        <f t="shared" si="10"/>
        <v>1</v>
      </c>
      <c r="G682" s="3">
        <v>1129</v>
      </c>
      <c r="H682" s="3">
        <v>2</v>
      </c>
      <c r="I682" s="3">
        <v>76649</v>
      </c>
      <c r="J682" s="3">
        <f>IF(E682="Cold",1,0)</f>
        <v>0</v>
      </c>
      <c r="K682" s="3">
        <f>IF(E682="Hot",1,0)</f>
        <v>0</v>
      </c>
      <c r="L682" s="3">
        <v>1673</v>
      </c>
      <c r="M682" s="3">
        <v>44</v>
      </c>
      <c r="N682" s="4">
        <v>45543</v>
      </c>
      <c r="O682" s="10">
        <v>352353.94669999997</v>
      </c>
    </row>
    <row r="683" spans="1:15" x14ac:dyDescent="0.3">
      <c r="A683" s="2">
        <v>681</v>
      </c>
      <c r="B683" s="3" t="s">
        <v>29</v>
      </c>
      <c r="C683" s="3" t="s">
        <v>132</v>
      </c>
      <c r="D683" s="3" t="s">
        <v>18</v>
      </c>
      <c r="E683" s="3" t="s">
        <v>23</v>
      </c>
      <c r="F683" s="3">
        <f t="shared" si="10"/>
        <v>1</v>
      </c>
      <c r="G683" s="3">
        <v>27637</v>
      </c>
      <c r="H683" s="3">
        <v>4</v>
      </c>
      <c r="I683" s="3">
        <v>59737</v>
      </c>
      <c r="J683" s="3">
        <f>IF(E683="Cold",1,0)</f>
        <v>0</v>
      </c>
      <c r="K683" s="3">
        <f>IF(E683="Hot",1,0)</f>
        <v>0</v>
      </c>
      <c r="L683" s="3">
        <v>1057</v>
      </c>
      <c r="M683" s="3">
        <v>89</v>
      </c>
      <c r="N683" s="4">
        <v>44028</v>
      </c>
      <c r="O683" s="10">
        <v>390217.3322</v>
      </c>
    </row>
    <row r="684" spans="1:15" x14ac:dyDescent="0.3">
      <c r="A684" s="2">
        <v>682</v>
      </c>
      <c r="B684" s="3" t="s">
        <v>16</v>
      </c>
      <c r="C684" s="3" t="s">
        <v>17</v>
      </c>
      <c r="D684" s="3" t="s">
        <v>14</v>
      </c>
      <c r="E684" s="3" t="s">
        <v>23</v>
      </c>
      <c r="F684" s="3">
        <f t="shared" si="10"/>
        <v>0</v>
      </c>
      <c r="G684" s="3">
        <v>4844</v>
      </c>
      <c r="H684" s="3">
        <v>3</v>
      </c>
      <c r="I684" s="3">
        <v>68103</v>
      </c>
      <c r="J684" s="3">
        <f>IF(E684="Cold",1,0)</f>
        <v>0</v>
      </c>
      <c r="K684" s="3">
        <f>IF(E684="Hot",1,0)</f>
        <v>0</v>
      </c>
      <c r="L684" s="3">
        <v>2736</v>
      </c>
      <c r="M684" s="3">
        <v>56</v>
      </c>
      <c r="N684" s="4">
        <v>44768</v>
      </c>
      <c r="O684" s="10">
        <v>347048.94549999997</v>
      </c>
    </row>
    <row r="685" spans="1:15" x14ac:dyDescent="0.3">
      <c r="A685" s="2">
        <v>683</v>
      </c>
      <c r="B685" s="3" t="s">
        <v>74</v>
      </c>
      <c r="C685" s="3" t="s">
        <v>89</v>
      </c>
      <c r="D685" s="3" t="s">
        <v>18</v>
      </c>
      <c r="E685" s="3" t="s">
        <v>23</v>
      </c>
      <c r="F685" s="3">
        <f t="shared" si="10"/>
        <v>1</v>
      </c>
      <c r="G685" s="3">
        <v>24543</v>
      </c>
      <c r="H685" s="3">
        <v>2</v>
      </c>
      <c r="I685" s="3">
        <v>82625</v>
      </c>
      <c r="J685" s="3">
        <f>IF(E685="Cold",1,0)</f>
        <v>0</v>
      </c>
      <c r="K685" s="3">
        <f>IF(E685="Hot",1,0)</f>
        <v>0</v>
      </c>
      <c r="L685" s="3">
        <v>2135</v>
      </c>
      <c r="M685" s="3">
        <v>84</v>
      </c>
      <c r="N685" s="4">
        <v>44562</v>
      </c>
      <c r="O685" s="10">
        <v>402287.29609999998</v>
      </c>
    </row>
    <row r="686" spans="1:15" x14ac:dyDescent="0.3">
      <c r="A686" s="2">
        <v>684</v>
      </c>
      <c r="B686" s="3" t="s">
        <v>29</v>
      </c>
      <c r="C686" s="3" t="s">
        <v>188</v>
      </c>
      <c r="D686" s="3" t="s">
        <v>18</v>
      </c>
      <c r="E686" s="3" t="s">
        <v>15</v>
      </c>
      <c r="F686" s="3">
        <f t="shared" si="10"/>
        <v>1</v>
      </c>
      <c r="G686" s="3">
        <v>19075</v>
      </c>
      <c r="H686" s="3">
        <v>1</v>
      </c>
      <c r="I686" s="3">
        <v>75416</v>
      </c>
      <c r="J686" s="3">
        <f>IF(E686="Cold",1,0)</f>
        <v>1</v>
      </c>
      <c r="K686" s="3">
        <f>IF(E686="Hot",1,0)</f>
        <v>0</v>
      </c>
      <c r="L686" s="3">
        <v>1660</v>
      </c>
      <c r="M686" s="3">
        <v>47</v>
      </c>
      <c r="N686" s="4">
        <v>44980</v>
      </c>
      <c r="O686" s="10">
        <v>346237.0209</v>
      </c>
    </row>
    <row r="687" spans="1:15" x14ac:dyDescent="0.3">
      <c r="A687" s="2">
        <v>685</v>
      </c>
      <c r="B687" s="3" t="s">
        <v>122</v>
      </c>
      <c r="C687" s="3" t="s">
        <v>133</v>
      </c>
      <c r="D687" s="3" t="s">
        <v>18</v>
      </c>
      <c r="E687" s="3" t="s">
        <v>15</v>
      </c>
      <c r="F687" s="3">
        <f t="shared" si="10"/>
        <v>1</v>
      </c>
      <c r="G687" s="3">
        <v>20854</v>
      </c>
      <c r="H687" s="3">
        <v>3</v>
      </c>
      <c r="I687" s="3">
        <v>88414</v>
      </c>
      <c r="J687" s="3">
        <f>IF(E687="Cold",1,0)</f>
        <v>1</v>
      </c>
      <c r="K687" s="3">
        <f>IF(E687="Hot",1,0)</f>
        <v>0</v>
      </c>
      <c r="L687" s="3">
        <v>1677</v>
      </c>
      <c r="M687" s="3">
        <v>77</v>
      </c>
      <c r="N687" s="4">
        <v>45132</v>
      </c>
      <c r="O687" s="10">
        <v>371017.64299999998</v>
      </c>
    </row>
    <row r="688" spans="1:15" x14ac:dyDescent="0.3">
      <c r="A688" s="2">
        <v>686</v>
      </c>
      <c r="B688" s="3" t="s">
        <v>122</v>
      </c>
      <c r="C688" s="3" t="s">
        <v>133</v>
      </c>
      <c r="D688" s="3" t="s">
        <v>14</v>
      </c>
      <c r="E688" s="3" t="s">
        <v>15</v>
      </c>
      <c r="F688" s="3">
        <f t="shared" si="10"/>
        <v>0</v>
      </c>
      <c r="G688" s="3">
        <v>26916</v>
      </c>
      <c r="H688" s="3">
        <v>3</v>
      </c>
      <c r="I688" s="3">
        <v>63836</v>
      </c>
      <c r="J688" s="3">
        <f>IF(E688="Cold",1,0)</f>
        <v>1</v>
      </c>
      <c r="K688" s="3">
        <f>IF(E688="Hot",1,0)</f>
        <v>0</v>
      </c>
      <c r="L688" s="3">
        <v>2516</v>
      </c>
      <c r="M688" s="3">
        <v>21</v>
      </c>
      <c r="N688" s="4">
        <v>45388</v>
      </c>
      <c r="O688" s="10">
        <v>340303.1299</v>
      </c>
    </row>
    <row r="689" spans="1:15" x14ac:dyDescent="0.3">
      <c r="A689" s="2">
        <v>687</v>
      </c>
      <c r="B689" s="3" t="s">
        <v>37</v>
      </c>
      <c r="C689" s="3" t="s">
        <v>90</v>
      </c>
      <c r="D689" s="3" t="s">
        <v>14</v>
      </c>
      <c r="E689" s="3" t="s">
        <v>21</v>
      </c>
      <c r="F689" s="3">
        <f t="shared" si="10"/>
        <v>0</v>
      </c>
      <c r="G689" s="3">
        <v>11363</v>
      </c>
      <c r="H689" s="3">
        <v>5</v>
      </c>
      <c r="I689" s="3">
        <v>54234</v>
      </c>
      <c r="J689" s="3">
        <f>IF(E689="Cold",1,0)</f>
        <v>0</v>
      </c>
      <c r="K689" s="3">
        <f>IF(E689="Hot",1,0)</f>
        <v>1</v>
      </c>
      <c r="L689" s="3">
        <v>1756</v>
      </c>
      <c r="M689" s="3">
        <v>66</v>
      </c>
      <c r="N689" s="4">
        <v>44044</v>
      </c>
      <c r="O689" s="10">
        <v>344524.79820000002</v>
      </c>
    </row>
    <row r="690" spans="1:15" x14ac:dyDescent="0.3">
      <c r="A690" s="2">
        <v>688</v>
      </c>
      <c r="B690" s="3" t="s">
        <v>122</v>
      </c>
      <c r="C690" s="3" t="s">
        <v>208</v>
      </c>
      <c r="D690" s="3" t="s">
        <v>14</v>
      </c>
      <c r="E690" s="3" t="s">
        <v>15</v>
      </c>
      <c r="F690" s="3">
        <f t="shared" si="10"/>
        <v>0</v>
      </c>
      <c r="G690" s="3">
        <v>11017</v>
      </c>
      <c r="H690" s="3">
        <v>7</v>
      </c>
      <c r="I690" s="3">
        <v>99637</v>
      </c>
      <c r="J690" s="3">
        <f>IF(E690="Cold",1,0)</f>
        <v>1</v>
      </c>
      <c r="K690" s="3">
        <f>IF(E690="Hot",1,0)</f>
        <v>0</v>
      </c>
      <c r="L690" s="3">
        <v>2600</v>
      </c>
      <c r="M690" s="3">
        <v>60</v>
      </c>
      <c r="N690" s="4">
        <v>44287</v>
      </c>
      <c r="O690" s="10">
        <v>313241.67330000002</v>
      </c>
    </row>
    <row r="691" spans="1:15" x14ac:dyDescent="0.3">
      <c r="A691" s="2">
        <v>689</v>
      </c>
      <c r="B691" s="3" t="s">
        <v>57</v>
      </c>
      <c r="C691" s="3" t="s">
        <v>206</v>
      </c>
      <c r="D691" s="3" t="s">
        <v>18</v>
      </c>
      <c r="E691" s="3" t="s">
        <v>15</v>
      </c>
      <c r="F691" s="3">
        <f t="shared" si="10"/>
        <v>1</v>
      </c>
      <c r="G691" s="3">
        <v>6661</v>
      </c>
      <c r="H691" s="3">
        <v>0</v>
      </c>
      <c r="I691" s="3">
        <v>88311</v>
      </c>
      <c r="J691" s="3">
        <f>IF(E691="Cold",1,0)</f>
        <v>1</v>
      </c>
      <c r="K691" s="3">
        <f>IF(E691="Hot",1,0)</f>
        <v>0</v>
      </c>
      <c r="L691" s="3">
        <v>2552</v>
      </c>
      <c r="M691" s="3">
        <v>38</v>
      </c>
      <c r="N691" s="4">
        <v>44382</v>
      </c>
      <c r="O691" s="10">
        <v>370429.66609999997</v>
      </c>
    </row>
    <row r="692" spans="1:15" x14ac:dyDescent="0.3">
      <c r="A692" s="2">
        <v>690</v>
      </c>
      <c r="B692" s="3" t="s">
        <v>35</v>
      </c>
      <c r="C692" s="3" t="s">
        <v>62</v>
      </c>
      <c r="D692" s="3" t="s">
        <v>18</v>
      </c>
      <c r="E692" s="3" t="s">
        <v>15</v>
      </c>
      <c r="F692" s="3">
        <f t="shared" si="10"/>
        <v>1</v>
      </c>
      <c r="G692" s="3">
        <v>6257</v>
      </c>
      <c r="H692" s="3">
        <v>7</v>
      </c>
      <c r="I692" s="3">
        <v>70672</v>
      </c>
      <c r="J692" s="3">
        <f>IF(E692="Cold",1,0)</f>
        <v>1</v>
      </c>
      <c r="K692" s="3">
        <f>IF(E692="Hot",1,0)</f>
        <v>0</v>
      </c>
      <c r="L692" s="3">
        <v>1868</v>
      </c>
      <c r="M692" s="3">
        <v>73</v>
      </c>
      <c r="N692" s="4">
        <v>44580</v>
      </c>
      <c r="O692" s="10">
        <v>365282.42560000002</v>
      </c>
    </row>
    <row r="693" spans="1:15" x14ac:dyDescent="0.3">
      <c r="A693" s="2">
        <v>691</v>
      </c>
      <c r="B693" s="3" t="s">
        <v>122</v>
      </c>
      <c r="C693" s="3" t="s">
        <v>137</v>
      </c>
      <c r="D693" s="3" t="s">
        <v>18</v>
      </c>
      <c r="E693" s="3" t="s">
        <v>15</v>
      </c>
      <c r="F693" s="3">
        <f t="shared" si="10"/>
        <v>1</v>
      </c>
      <c r="G693" s="3">
        <v>15459</v>
      </c>
      <c r="H693" s="3">
        <v>2</v>
      </c>
      <c r="I693" s="3">
        <v>67626</v>
      </c>
      <c r="J693" s="3">
        <f>IF(E693="Cold",1,0)</f>
        <v>1</v>
      </c>
      <c r="K693" s="3">
        <f>IF(E693="Hot",1,0)</f>
        <v>0</v>
      </c>
      <c r="L693" s="3">
        <v>2099</v>
      </c>
      <c r="M693" s="3">
        <v>46</v>
      </c>
      <c r="N693" s="4">
        <v>43854</v>
      </c>
      <c r="O693" s="10">
        <v>335869.93339999998</v>
      </c>
    </row>
    <row r="694" spans="1:15" x14ac:dyDescent="0.3">
      <c r="A694" s="2">
        <v>692</v>
      </c>
      <c r="B694" s="3" t="s">
        <v>29</v>
      </c>
      <c r="C694" s="3" t="s">
        <v>83</v>
      </c>
      <c r="D694" s="3" t="s">
        <v>18</v>
      </c>
      <c r="E694" s="3" t="s">
        <v>21</v>
      </c>
      <c r="F694" s="3">
        <f t="shared" si="10"/>
        <v>1</v>
      </c>
      <c r="G694" s="3">
        <v>19315</v>
      </c>
      <c r="H694" s="3">
        <v>6</v>
      </c>
      <c r="I694" s="3">
        <v>74501</v>
      </c>
      <c r="J694" s="3">
        <f>IF(E694="Cold",1,0)</f>
        <v>0</v>
      </c>
      <c r="K694" s="3">
        <f>IF(E694="Hot",1,0)</f>
        <v>1</v>
      </c>
      <c r="L694" s="3">
        <v>1011</v>
      </c>
      <c r="M694" s="3">
        <v>75</v>
      </c>
      <c r="N694" s="4">
        <v>44360</v>
      </c>
      <c r="O694" s="10">
        <v>350646.38829999999</v>
      </c>
    </row>
    <row r="695" spans="1:15" x14ac:dyDescent="0.3">
      <c r="A695" s="2">
        <v>693</v>
      </c>
      <c r="B695" s="3" t="s">
        <v>19</v>
      </c>
      <c r="C695" s="3" t="s">
        <v>179</v>
      </c>
      <c r="D695" s="3" t="s">
        <v>14</v>
      </c>
      <c r="E695" s="3" t="s">
        <v>15</v>
      </c>
      <c r="F695" s="3">
        <f t="shared" si="10"/>
        <v>0</v>
      </c>
      <c r="G695" s="3">
        <v>24928</v>
      </c>
      <c r="H695" s="3">
        <v>6</v>
      </c>
      <c r="I695" s="3">
        <v>83968</v>
      </c>
      <c r="J695" s="3">
        <f>IF(E695="Cold",1,0)</f>
        <v>1</v>
      </c>
      <c r="K695" s="3">
        <f>IF(E695="Hot",1,0)</f>
        <v>0</v>
      </c>
      <c r="L695" s="3">
        <v>1108</v>
      </c>
      <c r="M695" s="3">
        <v>57</v>
      </c>
      <c r="N695" s="4">
        <v>44472</v>
      </c>
      <c r="O695" s="10">
        <v>299885.66519999999</v>
      </c>
    </row>
    <row r="696" spans="1:15" x14ac:dyDescent="0.3">
      <c r="A696" s="2">
        <v>694</v>
      </c>
      <c r="B696" s="3" t="s">
        <v>55</v>
      </c>
      <c r="C696" s="3" t="s">
        <v>66</v>
      </c>
      <c r="D696" s="3" t="s">
        <v>18</v>
      </c>
      <c r="E696" s="3" t="s">
        <v>15</v>
      </c>
      <c r="F696" s="3">
        <f t="shared" si="10"/>
        <v>1</v>
      </c>
      <c r="G696" s="3">
        <v>22607</v>
      </c>
      <c r="H696" s="3">
        <v>2</v>
      </c>
      <c r="I696" s="3">
        <v>86384</v>
      </c>
      <c r="J696" s="3">
        <f>IF(E696="Cold",1,0)</f>
        <v>1</v>
      </c>
      <c r="K696" s="3">
        <f>IF(E696="Hot",1,0)</f>
        <v>0</v>
      </c>
      <c r="L696" s="3">
        <v>2379</v>
      </c>
      <c r="M696" s="3">
        <v>83</v>
      </c>
      <c r="N696" s="4">
        <v>44199</v>
      </c>
      <c r="O696" s="10">
        <v>395651.91749999998</v>
      </c>
    </row>
    <row r="697" spans="1:15" x14ac:dyDescent="0.3">
      <c r="A697" s="2">
        <v>695</v>
      </c>
      <c r="B697" s="3" t="s">
        <v>37</v>
      </c>
      <c r="C697" s="3" t="s">
        <v>166</v>
      </c>
      <c r="D697" s="3" t="s">
        <v>18</v>
      </c>
      <c r="E697" s="3" t="s">
        <v>21</v>
      </c>
      <c r="F697" s="3">
        <f t="shared" si="10"/>
        <v>1</v>
      </c>
      <c r="G697" s="3">
        <v>15871</v>
      </c>
      <c r="H697" s="3">
        <v>8</v>
      </c>
      <c r="I697" s="3">
        <v>93121</v>
      </c>
      <c r="J697" s="3">
        <f>IF(E697="Cold",1,0)</f>
        <v>0</v>
      </c>
      <c r="K697" s="3">
        <f>IF(E697="Hot",1,0)</f>
        <v>1</v>
      </c>
      <c r="L697" s="3">
        <v>2129</v>
      </c>
      <c r="M697" s="3">
        <v>53</v>
      </c>
      <c r="N697" s="4">
        <v>43930</v>
      </c>
      <c r="O697" s="10">
        <v>368447.58929999999</v>
      </c>
    </row>
    <row r="698" spans="1:15" x14ac:dyDescent="0.3">
      <c r="A698" s="2">
        <v>696</v>
      </c>
      <c r="B698" s="3" t="s">
        <v>16</v>
      </c>
      <c r="C698" s="3" t="s">
        <v>17</v>
      </c>
      <c r="D698" s="3" t="s">
        <v>18</v>
      </c>
      <c r="E698" s="3" t="s">
        <v>15</v>
      </c>
      <c r="F698" s="3">
        <f t="shared" si="10"/>
        <v>1</v>
      </c>
      <c r="G698" s="3">
        <v>17370</v>
      </c>
      <c r="H698" s="3">
        <v>6</v>
      </c>
      <c r="I698" s="3">
        <v>88580</v>
      </c>
      <c r="J698" s="3">
        <f>IF(E698="Cold",1,0)</f>
        <v>1</v>
      </c>
      <c r="K698" s="3">
        <f>IF(E698="Hot",1,0)</f>
        <v>0</v>
      </c>
      <c r="L698" s="3">
        <v>2615</v>
      </c>
      <c r="M698" s="3">
        <v>48</v>
      </c>
      <c r="N698" s="4">
        <v>44952</v>
      </c>
      <c r="O698" s="10">
        <v>372360.07500000001</v>
      </c>
    </row>
    <row r="699" spans="1:15" x14ac:dyDescent="0.3">
      <c r="A699" s="2">
        <v>697</v>
      </c>
      <c r="B699" s="3" t="s">
        <v>19</v>
      </c>
      <c r="C699" s="3" t="s">
        <v>129</v>
      </c>
      <c r="D699" s="3" t="s">
        <v>14</v>
      </c>
      <c r="E699" s="3" t="s">
        <v>15</v>
      </c>
      <c r="F699" s="3">
        <f t="shared" si="10"/>
        <v>0</v>
      </c>
      <c r="G699" s="3">
        <v>18298</v>
      </c>
      <c r="H699" s="3">
        <v>7</v>
      </c>
      <c r="I699" s="3">
        <v>72259</v>
      </c>
      <c r="J699" s="3">
        <f>IF(E699="Cold",1,0)</f>
        <v>1</v>
      </c>
      <c r="K699" s="3">
        <f>IF(E699="Hot",1,0)</f>
        <v>0</v>
      </c>
      <c r="L699" s="3">
        <v>2748</v>
      </c>
      <c r="M699" s="3">
        <v>52</v>
      </c>
      <c r="N699" s="4">
        <v>44683</v>
      </c>
      <c r="O699" s="10">
        <v>325921.16360000003</v>
      </c>
    </row>
    <row r="700" spans="1:15" x14ac:dyDescent="0.3">
      <c r="A700" s="2">
        <v>698</v>
      </c>
      <c r="B700" s="3" t="s">
        <v>31</v>
      </c>
      <c r="C700" s="3" t="s">
        <v>170</v>
      </c>
      <c r="D700" s="3" t="s">
        <v>14</v>
      </c>
      <c r="E700" s="3" t="s">
        <v>23</v>
      </c>
      <c r="F700" s="3">
        <f t="shared" si="10"/>
        <v>0</v>
      </c>
      <c r="G700" s="3">
        <v>16253</v>
      </c>
      <c r="H700" s="3">
        <v>0</v>
      </c>
      <c r="I700" s="3">
        <v>78985</v>
      </c>
      <c r="J700" s="3">
        <f>IF(E700="Cold",1,0)</f>
        <v>0</v>
      </c>
      <c r="K700" s="3">
        <f>IF(E700="Hot",1,0)</f>
        <v>0</v>
      </c>
      <c r="L700" s="3">
        <v>2098</v>
      </c>
      <c r="M700" s="3">
        <v>44</v>
      </c>
      <c r="N700" s="4">
        <v>45406</v>
      </c>
      <c r="O700" s="10">
        <v>319831.24329999997</v>
      </c>
    </row>
    <row r="701" spans="1:15" x14ac:dyDescent="0.3">
      <c r="A701" s="2">
        <v>699</v>
      </c>
      <c r="B701" s="3" t="s">
        <v>12</v>
      </c>
      <c r="C701" s="3" t="s">
        <v>95</v>
      </c>
      <c r="D701" s="3" t="s">
        <v>14</v>
      </c>
      <c r="E701" s="3" t="s">
        <v>23</v>
      </c>
      <c r="F701" s="3">
        <f t="shared" si="10"/>
        <v>0</v>
      </c>
      <c r="G701" s="3">
        <v>16741</v>
      </c>
      <c r="H701" s="3">
        <v>1</v>
      </c>
      <c r="I701" s="3">
        <v>97378</v>
      </c>
      <c r="J701" s="3">
        <f>IF(E701="Cold",1,0)</f>
        <v>0</v>
      </c>
      <c r="K701" s="3">
        <f>IF(E701="Hot",1,0)</f>
        <v>0</v>
      </c>
      <c r="L701" s="3">
        <v>2354</v>
      </c>
      <c r="M701" s="3">
        <v>98</v>
      </c>
      <c r="N701" s="4">
        <v>45265</v>
      </c>
      <c r="O701" s="10">
        <v>364547.27250000002</v>
      </c>
    </row>
    <row r="702" spans="1:15" x14ac:dyDescent="0.3">
      <c r="A702" s="2">
        <v>700</v>
      </c>
      <c r="B702" s="3" t="s">
        <v>108</v>
      </c>
      <c r="C702" s="3" t="s">
        <v>117</v>
      </c>
      <c r="D702" s="3" t="s">
        <v>18</v>
      </c>
      <c r="E702" s="3" t="s">
        <v>23</v>
      </c>
      <c r="F702" s="3">
        <f t="shared" si="10"/>
        <v>1</v>
      </c>
      <c r="G702" s="3">
        <v>28828</v>
      </c>
      <c r="H702" s="3">
        <v>8</v>
      </c>
      <c r="I702" s="3">
        <v>69093</v>
      </c>
      <c r="J702" s="3">
        <f>IF(E702="Cold",1,0)</f>
        <v>0</v>
      </c>
      <c r="K702" s="3">
        <f>IF(E702="Hot",1,0)</f>
        <v>0</v>
      </c>
      <c r="L702" s="3">
        <v>1005</v>
      </c>
      <c r="M702" s="3">
        <v>78</v>
      </c>
      <c r="N702" s="4">
        <v>45033</v>
      </c>
      <c r="O702" s="10">
        <v>389494.27590000001</v>
      </c>
    </row>
    <row r="703" spans="1:15" x14ac:dyDescent="0.3">
      <c r="A703" s="2">
        <v>701</v>
      </c>
      <c r="B703" s="3" t="s">
        <v>40</v>
      </c>
      <c r="C703" s="3" t="s">
        <v>210</v>
      </c>
      <c r="D703" s="3" t="s">
        <v>14</v>
      </c>
      <c r="E703" s="3" t="s">
        <v>21</v>
      </c>
      <c r="F703" s="3">
        <f t="shared" si="10"/>
        <v>0</v>
      </c>
      <c r="G703" s="3">
        <v>18861</v>
      </c>
      <c r="H703" s="3">
        <v>5</v>
      </c>
      <c r="I703" s="3">
        <v>75551</v>
      </c>
      <c r="J703" s="3">
        <f>IF(E703="Cold",1,0)</f>
        <v>0</v>
      </c>
      <c r="K703" s="3">
        <f>IF(E703="Hot",1,0)</f>
        <v>1</v>
      </c>
      <c r="L703" s="3">
        <v>1921</v>
      </c>
      <c r="M703" s="3">
        <v>92</v>
      </c>
      <c r="N703" s="4">
        <v>44578</v>
      </c>
      <c r="O703" s="10">
        <v>338523.23879999999</v>
      </c>
    </row>
    <row r="704" spans="1:15" x14ac:dyDescent="0.3">
      <c r="A704" s="2">
        <v>702</v>
      </c>
      <c r="B704" s="3" t="s">
        <v>28</v>
      </c>
      <c r="C704" s="3" t="s">
        <v>181</v>
      </c>
      <c r="D704" s="3" t="s">
        <v>14</v>
      </c>
      <c r="E704" s="3" t="s">
        <v>21</v>
      </c>
      <c r="F704" s="3">
        <f t="shared" si="10"/>
        <v>0</v>
      </c>
      <c r="G704" s="3">
        <v>16897</v>
      </c>
      <c r="H704" s="3">
        <v>3</v>
      </c>
      <c r="I704" s="3">
        <v>98311</v>
      </c>
      <c r="J704" s="3">
        <f>IF(E704="Cold",1,0)</f>
        <v>0</v>
      </c>
      <c r="K704" s="3">
        <f>IF(E704="Hot",1,0)</f>
        <v>1</v>
      </c>
      <c r="L704" s="3">
        <v>1172</v>
      </c>
      <c r="M704" s="3">
        <v>32</v>
      </c>
      <c r="N704" s="4">
        <v>45010</v>
      </c>
      <c r="O704" s="10">
        <v>324879.77230000001</v>
      </c>
    </row>
    <row r="705" spans="1:15" x14ac:dyDescent="0.3">
      <c r="A705" s="2">
        <v>703</v>
      </c>
      <c r="B705" s="3" t="s">
        <v>31</v>
      </c>
      <c r="C705" s="3" t="s">
        <v>63</v>
      </c>
      <c r="D705" s="3" t="s">
        <v>18</v>
      </c>
      <c r="E705" s="3" t="s">
        <v>21</v>
      </c>
      <c r="F705" s="3">
        <f t="shared" si="10"/>
        <v>1</v>
      </c>
      <c r="G705" s="3">
        <v>731</v>
      </c>
      <c r="H705" s="3">
        <v>7</v>
      </c>
      <c r="I705" s="3">
        <v>65861</v>
      </c>
      <c r="J705" s="3">
        <f>IF(E705="Cold",1,0)</f>
        <v>0</v>
      </c>
      <c r="K705" s="3">
        <f>IF(E705="Hot",1,0)</f>
        <v>1</v>
      </c>
      <c r="L705" s="3">
        <v>2969</v>
      </c>
      <c r="M705" s="3">
        <v>92</v>
      </c>
      <c r="N705" s="4">
        <v>43843</v>
      </c>
      <c r="O705" s="10">
        <v>411981.05190000002</v>
      </c>
    </row>
    <row r="706" spans="1:15" x14ac:dyDescent="0.3">
      <c r="A706" s="2">
        <v>704</v>
      </c>
      <c r="B706" s="3" t="s">
        <v>55</v>
      </c>
      <c r="C706" s="3" t="s">
        <v>66</v>
      </c>
      <c r="D706" s="3" t="s">
        <v>14</v>
      </c>
      <c r="E706" s="3" t="s">
        <v>23</v>
      </c>
      <c r="F706" s="3">
        <f t="shared" si="10"/>
        <v>0</v>
      </c>
      <c r="G706" s="3">
        <v>23267</v>
      </c>
      <c r="H706" s="3">
        <v>1</v>
      </c>
      <c r="I706" s="3">
        <v>67790</v>
      </c>
      <c r="J706" s="3">
        <f>IF(E706="Cold",1,0)</f>
        <v>0</v>
      </c>
      <c r="K706" s="3">
        <f>IF(E706="Hot",1,0)</f>
        <v>0</v>
      </c>
      <c r="L706" s="3">
        <v>2282</v>
      </c>
      <c r="M706" s="3">
        <v>20</v>
      </c>
      <c r="N706" s="4">
        <v>45209</v>
      </c>
      <c r="O706" s="10">
        <v>353468.48499999999</v>
      </c>
    </row>
    <row r="707" spans="1:15" x14ac:dyDescent="0.3">
      <c r="A707" s="2">
        <v>705</v>
      </c>
      <c r="B707" s="3" t="s">
        <v>12</v>
      </c>
      <c r="C707" s="3" t="s">
        <v>173</v>
      </c>
      <c r="D707" s="3" t="s">
        <v>14</v>
      </c>
      <c r="E707" s="3" t="s">
        <v>15</v>
      </c>
      <c r="F707" s="3">
        <f t="shared" ref="F707:F770" si="11">IF(D707=$F$1,1,0)</f>
        <v>0</v>
      </c>
      <c r="G707" s="3">
        <v>29388</v>
      </c>
      <c r="H707" s="3">
        <v>9</v>
      </c>
      <c r="I707" s="3">
        <v>72226</v>
      </c>
      <c r="J707" s="3">
        <f>IF(E707="Cold",1,0)</f>
        <v>1</v>
      </c>
      <c r="K707" s="3">
        <f>IF(E707="Hot",1,0)</f>
        <v>0</v>
      </c>
      <c r="L707" s="3">
        <v>1378</v>
      </c>
      <c r="M707" s="3">
        <v>36</v>
      </c>
      <c r="N707" s="4">
        <v>44074</v>
      </c>
      <c r="O707" s="10">
        <v>310100.6655</v>
      </c>
    </row>
    <row r="708" spans="1:15" x14ac:dyDescent="0.3">
      <c r="A708" s="2">
        <v>706</v>
      </c>
      <c r="B708" s="3" t="s">
        <v>55</v>
      </c>
      <c r="C708" s="3" t="s">
        <v>169</v>
      </c>
      <c r="D708" s="3" t="s">
        <v>14</v>
      </c>
      <c r="E708" s="3" t="s">
        <v>15</v>
      </c>
      <c r="F708" s="3">
        <f t="shared" si="11"/>
        <v>0</v>
      </c>
      <c r="G708" s="3">
        <v>23039</v>
      </c>
      <c r="H708" s="3">
        <v>3</v>
      </c>
      <c r="I708" s="3">
        <v>94481</v>
      </c>
      <c r="J708" s="3">
        <f>IF(E708="Cold",1,0)</f>
        <v>1</v>
      </c>
      <c r="K708" s="3">
        <f>IF(E708="Hot",1,0)</f>
        <v>0</v>
      </c>
      <c r="L708" s="3">
        <v>2385</v>
      </c>
      <c r="M708" s="3">
        <v>62</v>
      </c>
      <c r="N708" s="4">
        <v>45353</v>
      </c>
      <c r="O708" s="10">
        <v>345803.0673</v>
      </c>
    </row>
    <row r="709" spans="1:15" x14ac:dyDescent="0.3">
      <c r="A709" s="2">
        <v>707</v>
      </c>
      <c r="B709" s="3" t="s">
        <v>55</v>
      </c>
      <c r="C709" s="3" t="s">
        <v>169</v>
      </c>
      <c r="D709" s="3" t="s">
        <v>14</v>
      </c>
      <c r="E709" s="3" t="s">
        <v>15</v>
      </c>
      <c r="F709" s="3">
        <f t="shared" si="11"/>
        <v>0</v>
      </c>
      <c r="G709" s="3">
        <v>8202</v>
      </c>
      <c r="H709" s="3">
        <v>7</v>
      </c>
      <c r="I709" s="3">
        <v>78618</v>
      </c>
      <c r="J709" s="3">
        <f>IF(E709="Cold",1,0)</f>
        <v>1</v>
      </c>
      <c r="K709" s="3">
        <f>IF(E709="Hot",1,0)</f>
        <v>0</v>
      </c>
      <c r="L709" s="3">
        <v>1579</v>
      </c>
      <c r="M709" s="3">
        <v>38</v>
      </c>
      <c r="N709" s="4">
        <v>44183</v>
      </c>
      <c r="O709" s="10">
        <v>297004.90259999997</v>
      </c>
    </row>
    <row r="710" spans="1:15" x14ac:dyDescent="0.3">
      <c r="A710" s="2">
        <v>708</v>
      </c>
      <c r="B710" s="3" t="s">
        <v>26</v>
      </c>
      <c r="C710" s="3" t="s">
        <v>159</v>
      </c>
      <c r="D710" s="3" t="s">
        <v>18</v>
      </c>
      <c r="E710" s="3" t="s">
        <v>23</v>
      </c>
      <c r="F710" s="3">
        <f t="shared" si="11"/>
        <v>1</v>
      </c>
      <c r="G710" s="3">
        <v>9467</v>
      </c>
      <c r="H710" s="3">
        <v>5</v>
      </c>
      <c r="I710" s="3">
        <v>58397</v>
      </c>
      <c r="J710" s="3">
        <f>IF(E710="Cold",1,0)</f>
        <v>0</v>
      </c>
      <c r="K710" s="3">
        <f>IF(E710="Hot",1,0)</f>
        <v>0</v>
      </c>
      <c r="L710" s="3">
        <v>1723</v>
      </c>
      <c r="M710" s="3">
        <v>74</v>
      </c>
      <c r="N710" s="4">
        <v>44357</v>
      </c>
      <c r="O710" s="10">
        <v>408675.06839999999</v>
      </c>
    </row>
    <row r="711" spans="1:15" x14ac:dyDescent="0.3">
      <c r="A711" s="2">
        <v>709</v>
      </c>
      <c r="B711" s="3" t="s">
        <v>72</v>
      </c>
      <c r="C711" s="3" t="s">
        <v>147</v>
      </c>
      <c r="D711" s="3" t="s">
        <v>18</v>
      </c>
      <c r="E711" s="3" t="s">
        <v>23</v>
      </c>
      <c r="F711" s="3">
        <f t="shared" si="11"/>
        <v>1</v>
      </c>
      <c r="G711" s="3">
        <v>16486</v>
      </c>
      <c r="H711" s="3">
        <v>4</v>
      </c>
      <c r="I711" s="3">
        <v>73387</v>
      </c>
      <c r="J711" s="3">
        <f>IF(E711="Cold",1,0)</f>
        <v>0</v>
      </c>
      <c r="K711" s="3">
        <f>IF(E711="Hot",1,0)</f>
        <v>0</v>
      </c>
      <c r="L711" s="3">
        <v>1136</v>
      </c>
      <c r="M711" s="3">
        <v>49</v>
      </c>
      <c r="N711" s="4">
        <v>44032</v>
      </c>
      <c r="O711" s="10">
        <v>386681.99080000003</v>
      </c>
    </row>
    <row r="712" spans="1:15" x14ac:dyDescent="0.3">
      <c r="A712" s="2">
        <v>710</v>
      </c>
      <c r="B712" s="3" t="s">
        <v>40</v>
      </c>
      <c r="C712" s="3" t="s">
        <v>103</v>
      </c>
      <c r="D712" s="3" t="s">
        <v>14</v>
      </c>
      <c r="E712" s="3" t="s">
        <v>23</v>
      </c>
      <c r="F712" s="3">
        <f t="shared" si="11"/>
        <v>0</v>
      </c>
      <c r="G712" s="3">
        <v>8306</v>
      </c>
      <c r="H712" s="3">
        <v>3</v>
      </c>
      <c r="I712" s="3">
        <v>67891</v>
      </c>
      <c r="J712" s="3">
        <f>IF(E712="Cold",1,0)</f>
        <v>0</v>
      </c>
      <c r="K712" s="3">
        <f>IF(E712="Hot",1,0)</f>
        <v>0</v>
      </c>
      <c r="L712" s="3">
        <v>2422</v>
      </c>
      <c r="M712" s="3">
        <v>91</v>
      </c>
      <c r="N712" s="4">
        <v>44254</v>
      </c>
      <c r="O712" s="10">
        <v>365786.88589999999</v>
      </c>
    </row>
    <row r="713" spans="1:15" x14ac:dyDescent="0.3">
      <c r="A713" s="2">
        <v>711</v>
      </c>
      <c r="B713" s="3" t="s">
        <v>72</v>
      </c>
      <c r="C713" s="3" t="s">
        <v>96</v>
      </c>
      <c r="D713" s="3" t="s">
        <v>18</v>
      </c>
      <c r="E713" s="3" t="s">
        <v>15</v>
      </c>
      <c r="F713" s="3">
        <f t="shared" si="11"/>
        <v>1</v>
      </c>
      <c r="G713" s="3">
        <v>10898</v>
      </c>
      <c r="H713" s="3">
        <v>9</v>
      </c>
      <c r="I713" s="3">
        <v>59009</v>
      </c>
      <c r="J713" s="3">
        <f>IF(E713="Cold",1,0)</f>
        <v>1</v>
      </c>
      <c r="K713" s="3">
        <f>IF(E713="Hot",1,0)</f>
        <v>0</v>
      </c>
      <c r="L713" s="3">
        <v>1480</v>
      </c>
      <c r="M713" s="3">
        <v>24</v>
      </c>
      <c r="N713" s="4">
        <v>45016</v>
      </c>
      <c r="O713" s="10">
        <v>338945.03649999999</v>
      </c>
    </row>
    <row r="714" spans="1:15" x14ac:dyDescent="0.3">
      <c r="A714" s="2">
        <v>712</v>
      </c>
      <c r="B714" s="3" t="s">
        <v>74</v>
      </c>
      <c r="C714" s="3" t="s">
        <v>221</v>
      </c>
      <c r="D714" s="3" t="s">
        <v>18</v>
      </c>
      <c r="E714" s="3" t="s">
        <v>21</v>
      </c>
      <c r="F714" s="3">
        <f t="shared" si="11"/>
        <v>1</v>
      </c>
      <c r="G714" s="3">
        <v>20750</v>
      </c>
      <c r="H714" s="3">
        <v>4</v>
      </c>
      <c r="I714" s="3">
        <v>94279</v>
      </c>
      <c r="J714" s="3">
        <f>IF(E714="Cold",1,0)</f>
        <v>0</v>
      </c>
      <c r="K714" s="3">
        <f>IF(E714="Hot",1,0)</f>
        <v>1</v>
      </c>
      <c r="L714" s="3">
        <v>1960</v>
      </c>
      <c r="M714" s="3">
        <v>63</v>
      </c>
      <c r="N714" s="4">
        <v>44956</v>
      </c>
      <c r="O714" s="10">
        <v>384618.8873</v>
      </c>
    </row>
    <row r="715" spans="1:15" x14ac:dyDescent="0.3">
      <c r="A715" s="2">
        <v>713</v>
      </c>
      <c r="B715" s="3" t="s">
        <v>24</v>
      </c>
      <c r="C715" s="3" t="s">
        <v>154</v>
      </c>
      <c r="D715" s="3" t="s">
        <v>14</v>
      </c>
      <c r="E715" s="3" t="s">
        <v>15</v>
      </c>
      <c r="F715" s="3">
        <f t="shared" si="11"/>
        <v>0</v>
      </c>
      <c r="G715" s="3">
        <v>6991</v>
      </c>
      <c r="H715" s="3">
        <v>4</v>
      </c>
      <c r="I715" s="3">
        <v>72291</v>
      </c>
      <c r="J715" s="3">
        <f>IF(E715="Cold",1,0)</f>
        <v>1</v>
      </c>
      <c r="K715" s="3">
        <f>IF(E715="Hot",1,0)</f>
        <v>0</v>
      </c>
      <c r="L715" s="3">
        <v>1982</v>
      </c>
      <c r="M715" s="3">
        <v>26</v>
      </c>
      <c r="N715" s="4">
        <v>44257</v>
      </c>
      <c r="O715" s="10">
        <v>317251.00910000002</v>
      </c>
    </row>
    <row r="716" spans="1:15" x14ac:dyDescent="0.3">
      <c r="A716" s="2">
        <v>714</v>
      </c>
      <c r="B716" s="3" t="s">
        <v>40</v>
      </c>
      <c r="C716" s="3" t="s">
        <v>42</v>
      </c>
      <c r="D716" s="3" t="s">
        <v>18</v>
      </c>
      <c r="E716" s="3" t="s">
        <v>15</v>
      </c>
      <c r="F716" s="3">
        <f t="shared" si="11"/>
        <v>1</v>
      </c>
      <c r="G716" s="3">
        <v>14034</v>
      </c>
      <c r="H716" s="3">
        <v>4</v>
      </c>
      <c r="I716" s="3">
        <v>98667</v>
      </c>
      <c r="J716" s="3">
        <f>IF(E716="Cold",1,0)</f>
        <v>1</v>
      </c>
      <c r="K716" s="3">
        <f>IF(E716="Hot",1,0)</f>
        <v>0</v>
      </c>
      <c r="L716" s="3">
        <v>2218</v>
      </c>
      <c r="M716" s="3">
        <v>56</v>
      </c>
      <c r="N716" s="4">
        <v>44973</v>
      </c>
      <c r="O716" s="10">
        <v>380058.22989999998</v>
      </c>
    </row>
    <row r="717" spans="1:15" x14ac:dyDescent="0.3">
      <c r="A717" s="2">
        <v>715</v>
      </c>
      <c r="B717" s="3" t="s">
        <v>26</v>
      </c>
      <c r="C717" s="3" t="s">
        <v>69</v>
      </c>
      <c r="D717" s="3" t="s">
        <v>14</v>
      </c>
      <c r="E717" s="3" t="s">
        <v>15</v>
      </c>
      <c r="F717" s="3">
        <f t="shared" si="11"/>
        <v>0</v>
      </c>
      <c r="G717" s="3">
        <v>21244</v>
      </c>
      <c r="H717" s="3">
        <v>8</v>
      </c>
      <c r="I717" s="3">
        <v>50702</v>
      </c>
      <c r="J717" s="3">
        <f>IF(E717="Cold",1,0)</f>
        <v>1</v>
      </c>
      <c r="K717" s="3">
        <f>IF(E717="Hot",1,0)</f>
        <v>0</v>
      </c>
      <c r="L717" s="3">
        <v>1457</v>
      </c>
      <c r="M717" s="3">
        <v>30</v>
      </c>
      <c r="N717" s="4">
        <v>44434</v>
      </c>
      <c r="O717" s="10">
        <v>290604.08960000001</v>
      </c>
    </row>
    <row r="718" spans="1:15" x14ac:dyDescent="0.3">
      <c r="A718" s="2">
        <v>716</v>
      </c>
      <c r="B718" s="3" t="s">
        <v>26</v>
      </c>
      <c r="C718" s="3" t="s">
        <v>47</v>
      </c>
      <c r="D718" s="3" t="s">
        <v>18</v>
      </c>
      <c r="E718" s="3" t="s">
        <v>15</v>
      </c>
      <c r="F718" s="3">
        <f t="shared" si="11"/>
        <v>1</v>
      </c>
      <c r="G718" s="3">
        <v>16727</v>
      </c>
      <c r="H718" s="3">
        <v>6</v>
      </c>
      <c r="I718" s="3">
        <v>74519</v>
      </c>
      <c r="J718" s="3">
        <f>IF(E718="Cold",1,0)</f>
        <v>1</v>
      </c>
      <c r="K718" s="3">
        <f>IF(E718="Hot",1,0)</f>
        <v>0</v>
      </c>
      <c r="L718" s="3">
        <v>1757</v>
      </c>
      <c r="M718" s="3">
        <v>56</v>
      </c>
      <c r="N718" s="4">
        <v>44163</v>
      </c>
      <c r="O718" s="10">
        <v>349887.50630000001</v>
      </c>
    </row>
    <row r="719" spans="1:15" x14ac:dyDescent="0.3">
      <c r="A719" s="2">
        <v>717</v>
      </c>
      <c r="B719" s="3" t="s">
        <v>74</v>
      </c>
      <c r="C719" s="3" t="s">
        <v>219</v>
      </c>
      <c r="D719" s="3" t="s">
        <v>14</v>
      </c>
      <c r="E719" s="3" t="s">
        <v>21</v>
      </c>
      <c r="F719" s="3">
        <f t="shared" si="11"/>
        <v>0</v>
      </c>
      <c r="G719" s="3">
        <v>29842</v>
      </c>
      <c r="H719" s="3">
        <v>3</v>
      </c>
      <c r="I719" s="3">
        <v>79837</v>
      </c>
      <c r="J719" s="3">
        <f>IF(E719="Cold",1,0)</f>
        <v>0</v>
      </c>
      <c r="K719" s="3">
        <f>IF(E719="Hot",1,0)</f>
        <v>1</v>
      </c>
      <c r="L719" s="3">
        <v>1316</v>
      </c>
      <c r="M719" s="3">
        <v>64</v>
      </c>
      <c r="N719" s="4">
        <v>45519</v>
      </c>
      <c r="O719" s="10">
        <v>338158.54109999997</v>
      </c>
    </row>
    <row r="720" spans="1:15" x14ac:dyDescent="0.3">
      <c r="A720" s="2">
        <v>718</v>
      </c>
      <c r="B720" s="3" t="s">
        <v>26</v>
      </c>
      <c r="C720" s="3" t="s">
        <v>69</v>
      </c>
      <c r="D720" s="3" t="s">
        <v>14</v>
      </c>
      <c r="E720" s="3" t="s">
        <v>15</v>
      </c>
      <c r="F720" s="3">
        <f t="shared" si="11"/>
        <v>0</v>
      </c>
      <c r="G720" s="3">
        <v>16817</v>
      </c>
      <c r="H720" s="3">
        <v>8</v>
      </c>
      <c r="I720" s="3">
        <v>78431</v>
      </c>
      <c r="J720" s="3">
        <f>IF(E720="Cold",1,0)</f>
        <v>1</v>
      </c>
      <c r="K720" s="3">
        <f>IF(E720="Hot",1,0)</f>
        <v>0</v>
      </c>
      <c r="L720" s="3">
        <v>1309</v>
      </c>
      <c r="M720" s="3">
        <v>31</v>
      </c>
      <c r="N720" s="4">
        <v>43916</v>
      </c>
      <c r="O720" s="10">
        <v>306723.77429999999</v>
      </c>
    </row>
    <row r="721" spans="1:15" x14ac:dyDescent="0.3">
      <c r="A721" s="2">
        <v>719</v>
      </c>
      <c r="B721" s="3" t="s">
        <v>28</v>
      </c>
      <c r="C721" s="3" t="s">
        <v>112</v>
      </c>
      <c r="D721" s="3" t="s">
        <v>18</v>
      </c>
      <c r="E721" s="3" t="s">
        <v>15</v>
      </c>
      <c r="F721" s="3">
        <f t="shared" si="11"/>
        <v>1</v>
      </c>
      <c r="G721" s="3">
        <v>12671</v>
      </c>
      <c r="H721" s="3">
        <v>6</v>
      </c>
      <c r="I721" s="3">
        <v>92364</v>
      </c>
      <c r="J721" s="3">
        <f>IF(E721="Cold",1,0)</f>
        <v>1</v>
      </c>
      <c r="K721" s="3">
        <f>IF(E721="Hot",1,0)</f>
        <v>0</v>
      </c>
      <c r="L721" s="3">
        <v>1088</v>
      </c>
      <c r="M721" s="3">
        <v>55</v>
      </c>
      <c r="N721" s="4">
        <v>43848</v>
      </c>
      <c r="O721" s="10">
        <v>309899.85940000002</v>
      </c>
    </row>
    <row r="722" spans="1:15" x14ac:dyDescent="0.3">
      <c r="A722" s="2">
        <v>720</v>
      </c>
      <c r="B722" s="3" t="s">
        <v>55</v>
      </c>
      <c r="C722" s="3" t="s">
        <v>105</v>
      </c>
      <c r="D722" s="3" t="s">
        <v>18</v>
      </c>
      <c r="E722" s="3" t="s">
        <v>23</v>
      </c>
      <c r="F722" s="3">
        <f t="shared" si="11"/>
        <v>1</v>
      </c>
      <c r="G722" s="3">
        <v>8715</v>
      </c>
      <c r="H722" s="3">
        <v>6</v>
      </c>
      <c r="I722" s="3">
        <v>56461</v>
      </c>
      <c r="J722" s="3">
        <f>IF(E722="Cold",1,0)</f>
        <v>0</v>
      </c>
      <c r="K722" s="3">
        <f>IF(E722="Hot",1,0)</f>
        <v>0</v>
      </c>
      <c r="L722" s="3">
        <v>1659</v>
      </c>
      <c r="M722" s="3">
        <v>46</v>
      </c>
      <c r="N722" s="4">
        <v>44838</v>
      </c>
      <c r="O722" s="10">
        <v>353517.0392</v>
      </c>
    </row>
    <row r="723" spans="1:15" x14ac:dyDescent="0.3">
      <c r="A723" s="2">
        <v>721</v>
      </c>
      <c r="B723" s="3" t="s">
        <v>31</v>
      </c>
      <c r="C723" s="3" t="s">
        <v>63</v>
      </c>
      <c r="D723" s="3" t="s">
        <v>14</v>
      </c>
      <c r="E723" s="3" t="s">
        <v>15</v>
      </c>
      <c r="F723" s="3">
        <f t="shared" si="11"/>
        <v>0</v>
      </c>
      <c r="G723" s="3">
        <v>22476</v>
      </c>
      <c r="H723" s="3">
        <v>1</v>
      </c>
      <c r="I723" s="3">
        <v>96503</v>
      </c>
      <c r="J723" s="3">
        <f>IF(E723="Cold",1,0)</f>
        <v>1</v>
      </c>
      <c r="K723" s="3">
        <f>IF(E723="Hot",1,0)</f>
        <v>0</v>
      </c>
      <c r="L723" s="3">
        <v>1670</v>
      </c>
      <c r="M723" s="3">
        <v>86</v>
      </c>
      <c r="N723" s="4">
        <v>44920</v>
      </c>
      <c r="O723" s="10">
        <v>345006.45730000001</v>
      </c>
    </row>
    <row r="724" spans="1:15" x14ac:dyDescent="0.3">
      <c r="A724" s="2">
        <v>722</v>
      </c>
      <c r="B724" s="3" t="s">
        <v>122</v>
      </c>
      <c r="C724" s="3" t="s">
        <v>222</v>
      </c>
      <c r="D724" s="3" t="s">
        <v>14</v>
      </c>
      <c r="E724" s="3" t="s">
        <v>21</v>
      </c>
      <c r="F724" s="3">
        <f t="shared" si="11"/>
        <v>0</v>
      </c>
      <c r="G724" s="3">
        <v>12033</v>
      </c>
      <c r="H724" s="3">
        <v>2</v>
      </c>
      <c r="I724" s="3">
        <v>59827</v>
      </c>
      <c r="J724" s="3">
        <f>IF(E724="Cold",1,0)</f>
        <v>0</v>
      </c>
      <c r="K724" s="3">
        <f>IF(E724="Hot",1,0)</f>
        <v>1</v>
      </c>
      <c r="L724" s="3">
        <v>1135</v>
      </c>
      <c r="M724" s="3">
        <v>24</v>
      </c>
      <c r="N724" s="4">
        <v>44687</v>
      </c>
      <c r="O724" s="10">
        <v>296579.1201</v>
      </c>
    </row>
    <row r="725" spans="1:15" x14ac:dyDescent="0.3">
      <c r="A725" s="2">
        <v>723</v>
      </c>
      <c r="B725" s="3" t="s">
        <v>40</v>
      </c>
      <c r="C725" s="3" t="s">
        <v>42</v>
      </c>
      <c r="D725" s="3" t="s">
        <v>18</v>
      </c>
      <c r="E725" s="3" t="s">
        <v>21</v>
      </c>
      <c r="F725" s="3">
        <f t="shared" si="11"/>
        <v>1</v>
      </c>
      <c r="G725" s="3">
        <v>4722</v>
      </c>
      <c r="H725" s="3">
        <v>6</v>
      </c>
      <c r="I725" s="3">
        <v>70822</v>
      </c>
      <c r="J725" s="3">
        <f>IF(E725="Cold",1,0)</f>
        <v>0</v>
      </c>
      <c r="K725" s="3">
        <f>IF(E725="Hot",1,0)</f>
        <v>1</v>
      </c>
      <c r="L725" s="3">
        <v>1487</v>
      </c>
      <c r="M725" s="3">
        <v>94</v>
      </c>
      <c r="N725" s="4">
        <v>44767</v>
      </c>
      <c r="O725" s="10">
        <v>352051.57980000001</v>
      </c>
    </row>
    <row r="726" spans="1:15" x14ac:dyDescent="0.3">
      <c r="A726" s="2">
        <v>724</v>
      </c>
      <c r="B726" s="3" t="s">
        <v>55</v>
      </c>
      <c r="C726" s="3" t="s">
        <v>175</v>
      </c>
      <c r="D726" s="3" t="s">
        <v>14</v>
      </c>
      <c r="E726" s="3" t="s">
        <v>21</v>
      </c>
      <c r="F726" s="3">
        <f t="shared" si="11"/>
        <v>0</v>
      </c>
      <c r="G726" s="3">
        <v>3001</v>
      </c>
      <c r="H726" s="3">
        <v>2</v>
      </c>
      <c r="I726" s="3">
        <v>75127</v>
      </c>
      <c r="J726" s="3">
        <f>IF(E726="Cold",1,0)</f>
        <v>0</v>
      </c>
      <c r="K726" s="3">
        <f>IF(E726="Hot",1,0)</f>
        <v>1</v>
      </c>
      <c r="L726" s="3">
        <v>2015</v>
      </c>
      <c r="M726" s="3">
        <v>94</v>
      </c>
      <c r="N726" s="4">
        <v>44252</v>
      </c>
      <c r="O726" s="10">
        <v>357462.64319999999</v>
      </c>
    </row>
    <row r="727" spans="1:15" x14ac:dyDescent="0.3">
      <c r="A727" s="2">
        <v>725</v>
      </c>
      <c r="B727" s="3" t="s">
        <v>44</v>
      </c>
      <c r="C727" s="3" t="s">
        <v>190</v>
      </c>
      <c r="D727" s="3" t="s">
        <v>14</v>
      </c>
      <c r="E727" s="3" t="s">
        <v>21</v>
      </c>
      <c r="F727" s="3">
        <f t="shared" si="11"/>
        <v>0</v>
      </c>
      <c r="G727" s="3">
        <v>24293</v>
      </c>
      <c r="H727" s="3">
        <v>5</v>
      </c>
      <c r="I727" s="3">
        <v>70036</v>
      </c>
      <c r="J727" s="3">
        <f>IF(E727="Cold",1,0)</f>
        <v>0</v>
      </c>
      <c r="K727" s="3">
        <f>IF(E727="Hot",1,0)</f>
        <v>1</v>
      </c>
      <c r="L727" s="3">
        <v>2452</v>
      </c>
      <c r="M727" s="3">
        <v>50</v>
      </c>
      <c r="N727" s="4">
        <v>44281</v>
      </c>
      <c r="O727" s="10">
        <v>329629.05829999998</v>
      </c>
    </row>
    <row r="728" spans="1:15" x14ac:dyDescent="0.3">
      <c r="A728" s="2">
        <v>726</v>
      </c>
      <c r="B728" s="3" t="s">
        <v>12</v>
      </c>
      <c r="C728" s="3" t="s">
        <v>196</v>
      </c>
      <c r="D728" s="3" t="s">
        <v>14</v>
      </c>
      <c r="E728" s="3" t="s">
        <v>21</v>
      </c>
      <c r="F728" s="3">
        <f t="shared" si="11"/>
        <v>0</v>
      </c>
      <c r="G728" s="3">
        <v>7383</v>
      </c>
      <c r="H728" s="3">
        <v>6</v>
      </c>
      <c r="I728" s="3">
        <v>51764</v>
      </c>
      <c r="J728" s="3">
        <f>IF(E728="Cold",1,0)</f>
        <v>0</v>
      </c>
      <c r="K728" s="3">
        <f>IF(E728="Hot",1,0)</f>
        <v>1</v>
      </c>
      <c r="L728" s="3">
        <v>1965</v>
      </c>
      <c r="M728" s="3">
        <v>60</v>
      </c>
      <c r="N728" s="4">
        <v>44632</v>
      </c>
      <c r="O728" s="10">
        <v>336845.13429999998</v>
      </c>
    </row>
    <row r="729" spans="1:15" x14ac:dyDescent="0.3">
      <c r="A729" s="2">
        <v>727</v>
      </c>
      <c r="B729" s="3" t="s">
        <v>122</v>
      </c>
      <c r="C729" s="3" t="s">
        <v>222</v>
      </c>
      <c r="D729" s="3" t="s">
        <v>18</v>
      </c>
      <c r="E729" s="3" t="s">
        <v>21</v>
      </c>
      <c r="F729" s="3">
        <f t="shared" si="11"/>
        <v>1</v>
      </c>
      <c r="G729" s="3">
        <v>2096</v>
      </c>
      <c r="H729" s="3">
        <v>3</v>
      </c>
      <c r="I729" s="3">
        <v>89884</v>
      </c>
      <c r="J729" s="3">
        <f>IF(E729="Cold",1,0)</f>
        <v>0</v>
      </c>
      <c r="K729" s="3">
        <f>IF(E729="Hot",1,0)</f>
        <v>1</v>
      </c>
      <c r="L729" s="3">
        <v>1827</v>
      </c>
      <c r="M729" s="3">
        <v>48</v>
      </c>
      <c r="N729" s="4">
        <v>44384</v>
      </c>
      <c r="O729" s="10">
        <v>382652.0405</v>
      </c>
    </row>
    <row r="730" spans="1:15" x14ac:dyDescent="0.3">
      <c r="A730" s="2">
        <v>728</v>
      </c>
      <c r="B730" s="3" t="s">
        <v>26</v>
      </c>
      <c r="C730" s="3" t="s">
        <v>27</v>
      </c>
      <c r="D730" s="3" t="s">
        <v>14</v>
      </c>
      <c r="E730" s="3" t="s">
        <v>15</v>
      </c>
      <c r="F730" s="3">
        <f t="shared" si="11"/>
        <v>0</v>
      </c>
      <c r="G730" s="3">
        <v>19775</v>
      </c>
      <c r="H730" s="3">
        <v>8</v>
      </c>
      <c r="I730" s="3">
        <v>67500</v>
      </c>
      <c r="J730" s="3">
        <f>IF(E730="Cold",1,0)</f>
        <v>1</v>
      </c>
      <c r="K730" s="3">
        <f>IF(E730="Hot",1,0)</f>
        <v>0</v>
      </c>
      <c r="L730" s="3">
        <v>2831</v>
      </c>
      <c r="M730" s="3">
        <v>67</v>
      </c>
      <c r="N730" s="4">
        <v>44047</v>
      </c>
      <c r="O730" s="10">
        <v>328395.63390000002</v>
      </c>
    </row>
    <row r="731" spans="1:15" x14ac:dyDescent="0.3">
      <c r="A731" s="2">
        <v>729</v>
      </c>
      <c r="B731" s="3" t="s">
        <v>24</v>
      </c>
      <c r="C731" s="3" t="s">
        <v>100</v>
      </c>
      <c r="D731" s="3" t="s">
        <v>14</v>
      </c>
      <c r="E731" s="3" t="s">
        <v>21</v>
      </c>
      <c r="F731" s="3">
        <f t="shared" si="11"/>
        <v>0</v>
      </c>
      <c r="G731" s="3">
        <v>8309</v>
      </c>
      <c r="H731" s="3">
        <v>7</v>
      </c>
      <c r="I731" s="3">
        <v>71296</v>
      </c>
      <c r="J731" s="3">
        <f>IF(E731="Cold",1,0)</f>
        <v>0</v>
      </c>
      <c r="K731" s="3">
        <f>IF(E731="Hot",1,0)</f>
        <v>1</v>
      </c>
      <c r="L731" s="3">
        <v>2990</v>
      </c>
      <c r="M731" s="3">
        <v>97</v>
      </c>
      <c r="N731" s="4">
        <v>43870</v>
      </c>
      <c r="O731" s="10">
        <v>364934.26939999999</v>
      </c>
    </row>
    <row r="732" spans="1:15" x14ac:dyDescent="0.3">
      <c r="A732" s="2">
        <v>730</v>
      </c>
      <c r="B732" s="3" t="s">
        <v>57</v>
      </c>
      <c r="C732" s="3" t="s">
        <v>116</v>
      </c>
      <c r="D732" s="3" t="s">
        <v>18</v>
      </c>
      <c r="E732" s="3" t="s">
        <v>15</v>
      </c>
      <c r="F732" s="3">
        <f t="shared" si="11"/>
        <v>1</v>
      </c>
      <c r="G732" s="3">
        <v>21885</v>
      </c>
      <c r="H732" s="3">
        <v>3</v>
      </c>
      <c r="I732" s="3">
        <v>79679</v>
      </c>
      <c r="J732" s="3">
        <f>IF(E732="Cold",1,0)</f>
        <v>1</v>
      </c>
      <c r="K732" s="3">
        <f>IF(E732="Hot",1,0)</f>
        <v>0</v>
      </c>
      <c r="L732" s="3">
        <v>2218</v>
      </c>
      <c r="M732" s="3">
        <v>55</v>
      </c>
      <c r="N732" s="4">
        <v>44385</v>
      </c>
      <c r="O732" s="10">
        <v>376913.29979999998</v>
      </c>
    </row>
    <row r="733" spans="1:15" x14ac:dyDescent="0.3">
      <c r="A733" s="2">
        <v>731</v>
      </c>
      <c r="B733" s="3" t="s">
        <v>122</v>
      </c>
      <c r="C733" s="3" t="s">
        <v>222</v>
      </c>
      <c r="D733" s="3" t="s">
        <v>14</v>
      </c>
      <c r="E733" s="3" t="s">
        <v>15</v>
      </c>
      <c r="F733" s="3">
        <f t="shared" si="11"/>
        <v>0</v>
      </c>
      <c r="G733" s="3">
        <v>6871</v>
      </c>
      <c r="H733" s="3">
        <v>4</v>
      </c>
      <c r="I733" s="3">
        <v>57719</v>
      </c>
      <c r="J733" s="3">
        <f>IF(E733="Cold",1,0)</f>
        <v>1</v>
      </c>
      <c r="K733" s="3">
        <f>IF(E733="Hot",1,0)</f>
        <v>0</v>
      </c>
      <c r="L733" s="3">
        <v>2107</v>
      </c>
      <c r="M733" s="3">
        <v>46</v>
      </c>
      <c r="N733" s="4">
        <v>44772</v>
      </c>
      <c r="O733" s="10">
        <v>312963.52350000001</v>
      </c>
    </row>
    <row r="734" spans="1:15" x14ac:dyDescent="0.3">
      <c r="A734" s="2">
        <v>732</v>
      </c>
      <c r="B734" s="3" t="s">
        <v>16</v>
      </c>
      <c r="C734" s="3" t="s">
        <v>51</v>
      </c>
      <c r="D734" s="3" t="s">
        <v>18</v>
      </c>
      <c r="E734" s="3" t="s">
        <v>23</v>
      </c>
      <c r="F734" s="3">
        <f t="shared" si="11"/>
        <v>1</v>
      </c>
      <c r="G734" s="3">
        <v>29708</v>
      </c>
      <c r="H734" s="3">
        <v>9</v>
      </c>
      <c r="I734" s="3">
        <v>96908</v>
      </c>
      <c r="J734" s="3">
        <f>IF(E734="Cold",1,0)</f>
        <v>0</v>
      </c>
      <c r="K734" s="3">
        <f>IF(E734="Hot",1,0)</f>
        <v>0</v>
      </c>
      <c r="L734" s="3">
        <v>1098</v>
      </c>
      <c r="M734" s="3">
        <v>49</v>
      </c>
      <c r="N734" s="4">
        <v>44527</v>
      </c>
      <c r="O734" s="10">
        <v>358652.58</v>
      </c>
    </row>
    <row r="735" spans="1:15" x14ac:dyDescent="0.3">
      <c r="A735" s="2">
        <v>733</v>
      </c>
      <c r="B735" s="3" t="s">
        <v>35</v>
      </c>
      <c r="C735" s="3" t="s">
        <v>192</v>
      </c>
      <c r="D735" s="3" t="s">
        <v>14</v>
      </c>
      <c r="E735" s="3" t="s">
        <v>21</v>
      </c>
      <c r="F735" s="3">
        <f t="shared" si="11"/>
        <v>0</v>
      </c>
      <c r="G735" s="3">
        <v>9221</v>
      </c>
      <c r="H735" s="3">
        <v>4</v>
      </c>
      <c r="I735" s="3">
        <v>93305</v>
      </c>
      <c r="J735" s="3">
        <f>IF(E735="Cold",1,0)</f>
        <v>0</v>
      </c>
      <c r="K735" s="3">
        <f>IF(E735="Hot",1,0)</f>
        <v>1</v>
      </c>
      <c r="L735" s="3">
        <v>1676</v>
      </c>
      <c r="M735" s="3">
        <v>52</v>
      </c>
      <c r="N735" s="4">
        <v>45302</v>
      </c>
      <c r="O735" s="10">
        <v>339012.5233</v>
      </c>
    </row>
    <row r="736" spans="1:15" x14ac:dyDescent="0.3">
      <c r="A736" s="2">
        <v>734</v>
      </c>
      <c r="B736" s="3" t="s">
        <v>55</v>
      </c>
      <c r="C736" s="3" t="s">
        <v>105</v>
      </c>
      <c r="D736" s="3" t="s">
        <v>18</v>
      </c>
      <c r="E736" s="3" t="s">
        <v>23</v>
      </c>
      <c r="F736" s="3">
        <f t="shared" si="11"/>
        <v>1</v>
      </c>
      <c r="G736" s="3">
        <v>27282</v>
      </c>
      <c r="H736" s="3">
        <v>9</v>
      </c>
      <c r="I736" s="3">
        <v>62994</v>
      </c>
      <c r="J736" s="3">
        <f>IF(E736="Cold",1,0)</f>
        <v>0</v>
      </c>
      <c r="K736" s="3">
        <f>IF(E736="Hot",1,0)</f>
        <v>0</v>
      </c>
      <c r="L736" s="3">
        <v>1280</v>
      </c>
      <c r="M736" s="3">
        <v>50</v>
      </c>
      <c r="N736" s="4">
        <v>44404</v>
      </c>
      <c r="O736" s="10">
        <v>377473.22200000001</v>
      </c>
    </row>
    <row r="737" spans="1:15" x14ac:dyDescent="0.3">
      <c r="A737" s="2">
        <v>735</v>
      </c>
      <c r="B737" s="3" t="s">
        <v>16</v>
      </c>
      <c r="C737" s="3" t="s">
        <v>87</v>
      </c>
      <c r="D737" s="3" t="s">
        <v>14</v>
      </c>
      <c r="E737" s="3" t="s">
        <v>15</v>
      </c>
      <c r="F737" s="3">
        <f t="shared" si="11"/>
        <v>0</v>
      </c>
      <c r="G737" s="3">
        <v>8790</v>
      </c>
      <c r="H737" s="3">
        <v>5</v>
      </c>
      <c r="I737" s="3">
        <v>81819</v>
      </c>
      <c r="J737" s="3">
        <f>IF(E737="Cold",1,0)</f>
        <v>1</v>
      </c>
      <c r="K737" s="3">
        <f>IF(E737="Hot",1,0)</f>
        <v>0</v>
      </c>
      <c r="L737" s="3">
        <v>1518</v>
      </c>
      <c r="M737" s="3">
        <v>93</v>
      </c>
      <c r="N737" s="4">
        <v>45222</v>
      </c>
      <c r="O737" s="10">
        <v>309331.7879</v>
      </c>
    </row>
    <row r="738" spans="1:15" x14ac:dyDescent="0.3">
      <c r="A738" s="2">
        <v>736</v>
      </c>
      <c r="B738" s="3" t="s">
        <v>28</v>
      </c>
      <c r="C738" s="3" t="s">
        <v>20</v>
      </c>
      <c r="D738" s="3" t="s">
        <v>14</v>
      </c>
      <c r="E738" s="3" t="s">
        <v>15</v>
      </c>
      <c r="F738" s="3">
        <f t="shared" si="11"/>
        <v>0</v>
      </c>
      <c r="G738" s="3">
        <v>10495</v>
      </c>
      <c r="H738" s="3">
        <v>2</v>
      </c>
      <c r="I738" s="3">
        <v>89281</v>
      </c>
      <c r="J738" s="3">
        <f>IF(E738="Cold",1,0)</f>
        <v>1</v>
      </c>
      <c r="K738" s="3">
        <f>IF(E738="Hot",1,0)</f>
        <v>0</v>
      </c>
      <c r="L738" s="3">
        <v>2294</v>
      </c>
      <c r="M738" s="3">
        <v>69</v>
      </c>
      <c r="N738" s="4">
        <v>45261</v>
      </c>
      <c r="O738" s="10">
        <v>339730.24310000002</v>
      </c>
    </row>
    <row r="739" spans="1:15" x14ac:dyDescent="0.3">
      <c r="A739" s="2">
        <v>737</v>
      </c>
      <c r="B739" s="3" t="s">
        <v>72</v>
      </c>
      <c r="C739" s="3" t="s">
        <v>145</v>
      </c>
      <c r="D739" s="3" t="s">
        <v>18</v>
      </c>
      <c r="E739" s="3" t="s">
        <v>21</v>
      </c>
      <c r="F739" s="3">
        <f t="shared" si="11"/>
        <v>1</v>
      </c>
      <c r="G739" s="3">
        <v>7394</v>
      </c>
      <c r="H739" s="3">
        <v>2</v>
      </c>
      <c r="I739" s="3">
        <v>71600</v>
      </c>
      <c r="J739" s="3">
        <f>IF(E739="Cold",1,0)</f>
        <v>0</v>
      </c>
      <c r="K739" s="3">
        <f>IF(E739="Hot",1,0)</f>
        <v>1</v>
      </c>
      <c r="L739" s="3">
        <v>1070</v>
      </c>
      <c r="M739" s="3">
        <v>88</v>
      </c>
      <c r="N739" s="4">
        <v>45119</v>
      </c>
      <c r="O739" s="10">
        <v>380827.42930000002</v>
      </c>
    </row>
    <row r="740" spans="1:15" x14ac:dyDescent="0.3">
      <c r="A740" s="2">
        <v>738</v>
      </c>
      <c r="B740" s="3" t="s">
        <v>57</v>
      </c>
      <c r="C740" s="3" t="s">
        <v>215</v>
      </c>
      <c r="D740" s="3" t="s">
        <v>14</v>
      </c>
      <c r="E740" s="3" t="s">
        <v>21</v>
      </c>
      <c r="F740" s="3">
        <f t="shared" si="11"/>
        <v>0</v>
      </c>
      <c r="G740" s="3">
        <v>3333</v>
      </c>
      <c r="H740" s="3">
        <v>6</v>
      </c>
      <c r="I740" s="3">
        <v>65964</v>
      </c>
      <c r="J740" s="3">
        <f>IF(E740="Cold",1,0)</f>
        <v>0</v>
      </c>
      <c r="K740" s="3">
        <f>IF(E740="Hot",1,0)</f>
        <v>1</v>
      </c>
      <c r="L740" s="3">
        <v>1417</v>
      </c>
      <c r="M740" s="3">
        <v>36</v>
      </c>
      <c r="N740" s="4">
        <v>44043</v>
      </c>
      <c r="O740" s="10">
        <v>316997.93560000003</v>
      </c>
    </row>
    <row r="741" spans="1:15" x14ac:dyDescent="0.3">
      <c r="A741" s="2">
        <v>739</v>
      </c>
      <c r="B741" s="3" t="s">
        <v>57</v>
      </c>
      <c r="C741" s="3" t="s">
        <v>162</v>
      </c>
      <c r="D741" s="3" t="s">
        <v>18</v>
      </c>
      <c r="E741" s="3" t="s">
        <v>21</v>
      </c>
      <c r="F741" s="3">
        <f t="shared" si="11"/>
        <v>1</v>
      </c>
      <c r="G741" s="3">
        <v>14517</v>
      </c>
      <c r="H741" s="3">
        <v>4</v>
      </c>
      <c r="I741" s="3">
        <v>71979</v>
      </c>
      <c r="J741" s="3">
        <f>IF(E741="Cold",1,0)</f>
        <v>0</v>
      </c>
      <c r="K741" s="3">
        <f>IF(E741="Hot",1,0)</f>
        <v>1</v>
      </c>
      <c r="L741" s="3">
        <v>1698</v>
      </c>
      <c r="M741" s="3">
        <v>25</v>
      </c>
      <c r="N741" s="4">
        <v>43849</v>
      </c>
      <c r="O741" s="10">
        <v>358657.60509999999</v>
      </c>
    </row>
    <row r="742" spans="1:15" x14ac:dyDescent="0.3">
      <c r="A742" s="2">
        <v>740</v>
      </c>
      <c r="B742" s="3" t="s">
        <v>122</v>
      </c>
      <c r="C742" s="3" t="s">
        <v>133</v>
      </c>
      <c r="D742" s="3" t="s">
        <v>14</v>
      </c>
      <c r="E742" s="3" t="s">
        <v>15</v>
      </c>
      <c r="F742" s="3">
        <f t="shared" si="11"/>
        <v>0</v>
      </c>
      <c r="G742" s="3">
        <v>6533</v>
      </c>
      <c r="H742" s="3">
        <v>5</v>
      </c>
      <c r="I742" s="3">
        <v>64246</v>
      </c>
      <c r="J742" s="3">
        <f>IF(E742="Cold",1,0)</f>
        <v>1</v>
      </c>
      <c r="K742" s="3">
        <f>IF(E742="Hot",1,0)</f>
        <v>0</v>
      </c>
      <c r="L742" s="3">
        <v>2246</v>
      </c>
      <c r="M742" s="3">
        <v>43</v>
      </c>
      <c r="N742" s="4">
        <v>44267</v>
      </c>
      <c r="O742" s="10">
        <v>318484.5013</v>
      </c>
    </row>
    <row r="743" spans="1:15" x14ac:dyDescent="0.3">
      <c r="A743" s="2">
        <v>741</v>
      </c>
      <c r="B743" s="3" t="s">
        <v>26</v>
      </c>
      <c r="C743" s="3" t="s">
        <v>69</v>
      </c>
      <c r="D743" s="3" t="s">
        <v>14</v>
      </c>
      <c r="E743" s="3" t="s">
        <v>15</v>
      </c>
      <c r="F743" s="3">
        <f t="shared" si="11"/>
        <v>0</v>
      </c>
      <c r="G743" s="3">
        <v>10212</v>
      </c>
      <c r="H743" s="3">
        <v>7</v>
      </c>
      <c r="I743" s="3">
        <v>95644</v>
      </c>
      <c r="J743" s="3">
        <f>IF(E743="Cold",1,0)</f>
        <v>1</v>
      </c>
      <c r="K743" s="3">
        <f>IF(E743="Hot",1,0)</f>
        <v>0</v>
      </c>
      <c r="L743" s="3">
        <v>2236</v>
      </c>
      <c r="M743" s="3">
        <v>73</v>
      </c>
      <c r="N743" s="4">
        <v>45517</v>
      </c>
      <c r="O743" s="10">
        <v>309152.25579999998</v>
      </c>
    </row>
    <row r="744" spans="1:15" x14ac:dyDescent="0.3">
      <c r="A744" s="2">
        <v>742</v>
      </c>
      <c r="B744" s="3" t="s">
        <v>44</v>
      </c>
      <c r="C744" s="3" t="s">
        <v>223</v>
      </c>
      <c r="D744" s="3" t="s">
        <v>14</v>
      </c>
      <c r="E744" s="3" t="s">
        <v>15</v>
      </c>
      <c r="F744" s="3">
        <f t="shared" si="11"/>
        <v>0</v>
      </c>
      <c r="G744" s="3">
        <v>5632</v>
      </c>
      <c r="H744" s="3">
        <v>8</v>
      </c>
      <c r="I744" s="3">
        <v>83944</v>
      </c>
      <c r="J744" s="3">
        <f>IF(E744="Cold",1,0)</f>
        <v>1</v>
      </c>
      <c r="K744" s="3">
        <f>IF(E744="Hot",1,0)</f>
        <v>0</v>
      </c>
      <c r="L744" s="3">
        <v>2494</v>
      </c>
      <c r="M744" s="3">
        <v>39</v>
      </c>
      <c r="N744" s="4">
        <v>45423</v>
      </c>
      <c r="O744" s="10">
        <v>308876.48080000002</v>
      </c>
    </row>
    <row r="745" spans="1:15" x14ac:dyDescent="0.3">
      <c r="A745" s="2">
        <v>743</v>
      </c>
      <c r="B745" s="3" t="s">
        <v>28</v>
      </c>
      <c r="C745" s="3" t="s">
        <v>181</v>
      </c>
      <c r="D745" s="3" t="s">
        <v>18</v>
      </c>
      <c r="E745" s="3" t="s">
        <v>15</v>
      </c>
      <c r="F745" s="3">
        <f t="shared" si="11"/>
        <v>1</v>
      </c>
      <c r="G745" s="3">
        <v>25484</v>
      </c>
      <c r="H745" s="3">
        <v>1</v>
      </c>
      <c r="I745" s="3">
        <v>59389</v>
      </c>
      <c r="J745" s="3">
        <f>IF(E745="Cold",1,0)</f>
        <v>1</v>
      </c>
      <c r="K745" s="3">
        <f>IF(E745="Hot",1,0)</f>
        <v>0</v>
      </c>
      <c r="L745" s="3">
        <v>1486</v>
      </c>
      <c r="M745" s="3">
        <v>99</v>
      </c>
      <c r="N745" s="4">
        <v>44073</v>
      </c>
      <c r="O745" s="10">
        <v>372259.82819999999</v>
      </c>
    </row>
    <row r="746" spans="1:15" x14ac:dyDescent="0.3">
      <c r="A746" s="2">
        <v>744</v>
      </c>
      <c r="B746" s="3" t="s">
        <v>19</v>
      </c>
      <c r="C746" s="3" t="s">
        <v>155</v>
      </c>
      <c r="D746" s="3" t="s">
        <v>18</v>
      </c>
      <c r="E746" s="3" t="s">
        <v>15</v>
      </c>
      <c r="F746" s="3">
        <f t="shared" si="11"/>
        <v>1</v>
      </c>
      <c r="G746" s="3">
        <v>25544</v>
      </c>
      <c r="H746" s="3">
        <v>2</v>
      </c>
      <c r="I746" s="3">
        <v>56953</v>
      </c>
      <c r="J746" s="3">
        <f>IF(E746="Cold",1,0)</f>
        <v>1</v>
      </c>
      <c r="K746" s="3">
        <f>IF(E746="Hot",1,0)</f>
        <v>0</v>
      </c>
      <c r="L746" s="3">
        <v>1543</v>
      </c>
      <c r="M746" s="3">
        <v>91</v>
      </c>
      <c r="N746" s="4">
        <v>43857</v>
      </c>
      <c r="O746" s="10">
        <v>368483.19179999997</v>
      </c>
    </row>
    <row r="747" spans="1:15" x14ac:dyDescent="0.3">
      <c r="A747" s="2">
        <v>745</v>
      </c>
      <c r="B747" s="3" t="s">
        <v>37</v>
      </c>
      <c r="C747" s="3" t="s">
        <v>61</v>
      </c>
      <c r="D747" s="3" t="s">
        <v>14</v>
      </c>
      <c r="E747" s="3" t="s">
        <v>15</v>
      </c>
      <c r="F747" s="3">
        <f t="shared" si="11"/>
        <v>0</v>
      </c>
      <c r="G747" s="3">
        <v>5947</v>
      </c>
      <c r="H747" s="3">
        <v>1</v>
      </c>
      <c r="I747" s="3">
        <v>61181</v>
      </c>
      <c r="J747" s="3">
        <f>IF(E747="Cold",1,0)</f>
        <v>1</v>
      </c>
      <c r="K747" s="3">
        <f>IF(E747="Hot",1,0)</f>
        <v>0</v>
      </c>
      <c r="L747" s="3">
        <v>2420</v>
      </c>
      <c r="M747" s="3">
        <v>83</v>
      </c>
      <c r="N747" s="4">
        <v>45221</v>
      </c>
      <c r="O747" s="10">
        <v>331710.8259</v>
      </c>
    </row>
    <row r="748" spans="1:15" x14ac:dyDescent="0.3">
      <c r="A748" s="2">
        <v>746</v>
      </c>
      <c r="B748" s="3" t="s">
        <v>12</v>
      </c>
      <c r="C748" s="3" t="s">
        <v>95</v>
      </c>
      <c r="D748" s="3" t="s">
        <v>14</v>
      </c>
      <c r="E748" s="3" t="s">
        <v>15</v>
      </c>
      <c r="F748" s="3">
        <f t="shared" si="11"/>
        <v>0</v>
      </c>
      <c r="G748" s="3">
        <v>13874</v>
      </c>
      <c r="H748" s="3">
        <v>4</v>
      </c>
      <c r="I748" s="3">
        <v>61123</v>
      </c>
      <c r="J748" s="3">
        <f>IF(E748="Cold",1,0)</f>
        <v>1</v>
      </c>
      <c r="K748" s="3">
        <f>IF(E748="Hot",1,0)</f>
        <v>0</v>
      </c>
      <c r="L748" s="3">
        <v>2642</v>
      </c>
      <c r="M748" s="3">
        <v>99</v>
      </c>
      <c r="N748" s="4">
        <v>45377</v>
      </c>
      <c r="O748" s="10">
        <v>346027.75390000001</v>
      </c>
    </row>
    <row r="749" spans="1:15" x14ac:dyDescent="0.3">
      <c r="A749" s="2">
        <v>747</v>
      </c>
      <c r="B749" s="3" t="s">
        <v>72</v>
      </c>
      <c r="C749" s="3" t="s">
        <v>160</v>
      </c>
      <c r="D749" s="3" t="s">
        <v>18</v>
      </c>
      <c r="E749" s="3" t="s">
        <v>21</v>
      </c>
      <c r="F749" s="3">
        <f t="shared" si="11"/>
        <v>1</v>
      </c>
      <c r="G749" s="3">
        <v>8133</v>
      </c>
      <c r="H749" s="3">
        <v>7</v>
      </c>
      <c r="I749" s="3">
        <v>81625</v>
      </c>
      <c r="J749" s="3">
        <f>IF(E749="Cold",1,0)</f>
        <v>0</v>
      </c>
      <c r="K749" s="3">
        <f>IF(E749="Hot",1,0)</f>
        <v>1</v>
      </c>
      <c r="L749" s="3">
        <v>2498</v>
      </c>
      <c r="M749" s="3">
        <v>65</v>
      </c>
      <c r="N749" s="4">
        <v>45334</v>
      </c>
      <c r="O749" s="10">
        <v>398689.91499999998</v>
      </c>
    </row>
    <row r="750" spans="1:15" x14ac:dyDescent="0.3">
      <c r="A750" s="2">
        <v>748</v>
      </c>
      <c r="B750" s="3" t="s">
        <v>72</v>
      </c>
      <c r="C750" s="3" t="s">
        <v>180</v>
      </c>
      <c r="D750" s="3" t="s">
        <v>14</v>
      </c>
      <c r="E750" s="3" t="s">
        <v>21</v>
      </c>
      <c r="F750" s="3">
        <f t="shared" si="11"/>
        <v>0</v>
      </c>
      <c r="G750" s="3">
        <v>14928</v>
      </c>
      <c r="H750" s="3">
        <v>9</v>
      </c>
      <c r="I750" s="3">
        <v>91434</v>
      </c>
      <c r="J750" s="3">
        <f>IF(E750="Cold",1,0)</f>
        <v>0</v>
      </c>
      <c r="K750" s="3">
        <f>IF(E750="Hot",1,0)</f>
        <v>1</v>
      </c>
      <c r="L750" s="3">
        <v>2422</v>
      </c>
      <c r="M750" s="3">
        <v>31</v>
      </c>
      <c r="N750" s="4">
        <v>44484</v>
      </c>
      <c r="O750" s="10">
        <v>332704.87349999999</v>
      </c>
    </row>
    <row r="751" spans="1:15" x14ac:dyDescent="0.3">
      <c r="A751" s="2">
        <v>749</v>
      </c>
      <c r="B751" s="3" t="s">
        <v>35</v>
      </c>
      <c r="C751" s="3" t="s">
        <v>148</v>
      </c>
      <c r="D751" s="3" t="s">
        <v>14</v>
      </c>
      <c r="E751" s="3" t="s">
        <v>21</v>
      </c>
      <c r="F751" s="3">
        <f t="shared" si="11"/>
        <v>0</v>
      </c>
      <c r="G751" s="3">
        <v>24891</v>
      </c>
      <c r="H751" s="3">
        <v>5</v>
      </c>
      <c r="I751" s="3">
        <v>90407</v>
      </c>
      <c r="J751" s="3">
        <f>IF(E751="Cold",1,0)</f>
        <v>0</v>
      </c>
      <c r="K751" s="3">
        <f>IF(E751="Hot",1,0)</f>
        <v>1</v>
      </c>
      <c r="L751" s="3">
        <v>2706</v>
      </c>
      <c r="M751" s="3">
        <v>65</v>
      </c>
      <c r="N751" s="4">
        <v>44429</v>
      </c>
      <c r="O751" s="10">
        <v>356227.93670000002</v>
      </c>
    </row>
    <row r="752" spans="1:15" x14ac:dyDescent="0.3">
      <c r="A752" s="2">
        <v>750</v>
      </c>
      <c r="B752" s="3" t="s">
        <v>108</v>
      </c>
      <c r="C752" s="3" t="s">
        <v>224</v>
      </c>
      <c r="D752" s="3" t="s">
        <v>18</v>
      </c>
      <c r="E752" s="3" t="s">
        <v>23</v>
      </c>
      <c r="F752" s="3">
        <f t="shared" si="11"/>
        <v>1</v>
      </c>
      <c r="G752" s="3">
        <v>26706</v>
      </c>
      <c r="H752" s="3">
        <v>1</v>
      </c>
      <c r="I752" s="3">
        <v>74151</v>
      </c>
      <c r="J752" s="3">
        <f>IF(E752="Cold",1,0)</f>
        <v>0</v>
      </c>
      <c r="K752" s="3">
        <f>IF(E752="Hot",1,0)</f>
        <v>0</v>
      </c>
      <c r="L752" s="3">
        <v>2404</v>
      </c>
      <c r="M752" s="3">
        <v>98</v>
      </c>
      <c r="N752" s="4">
        <v>45238</v>
      </c>
      <c r="O752" s="10">
        <v>398795.90179999999</v>
      </c>
    </row>
    <row r="753" spans="1:15" x14ac:dyDescent="0.3">
      <c r="A753" s="2">
        <v>751</v>
      </c>
      <c r="B753" s="3" t="s">
        <v>19</v>
      </c>
      <c r="C753" s="3" t="s">
        <v>60</v>
      </c>
      <c r="D753" s="3" t="s">
        <v>14</v>
      </c>
      <c r="E753" s="3" t="s">
        <v>15</v>
      </c>
      <c r="F753" s="3">
        <f t="shared" si="11"/>
        <v>0</v>
      </c>
      <c r="G753" s="3">
        <v>27511</v>
      </c>
      <c r="H753" s="3">
        <v>0</v>
      </c>
      <c r="I753" s="3">
        <v>83766</v>
      </c>
      <c r="J753" s="3">
        <f>IF(E753="Cold",1,0)</f>
        <v>1</v>
      </c>
      <c r="K753" s="3">
        <f>IF(E753="Hot",1,0)</f>
        <v>0</v>
      </c>
      <c r="L753" s="3">
        <v>1586</v>
      </c>
      <c r="M753" s="3">
        <v>90</v>
      </c>
      <c r="N753" s="4">
        <v>44576</v>
      </c>
      <c r="O753" s="10">
        <v>327645.16100000002</v>
      </c>
    </row>
    <row r="754" spans="1:15" x14ac:dyDescent="0.3">
      <c r="A754" s="2">
        <v>752</v>
      </c>
      <c r="B754" s="3" t="s">
        <v>31</v>
      </c>
      <c r="C754" s="3" t="s">
        <v>170</v>
      </c>
      <c r="D754" s="3" t="s">
        <v>18</v>
      </c>
      <c r="E754" s="3" t="s">
        <v>15</v>
      </c>
      <c r="F754" s="3">
        <f t="shared" si="11"/>
        <v>1</v>
      </c>
      <c r="G754" s="3">
        <v>25081</v>
      </c>
      <c r="H754" s="3">
        <v>6</v>
      </c>
      <c r="I754" s="3">
        <v>63312</v>
      </c>
      <c r="J754" s="3">
        <f>IF(E754="Cold",1,0)</f>
        <v>1</v>
      </c>
      <c r="K754" s="3">
        <f>IF(E754="Hot",1,0)</f>
        <v>0</v>
      </c>
      <c r="L754" s="3">
        <v>2533</v>
      </c>
      <c r="M754" s="3">
        <v>34</v>
      </c>
      <c r="N754" s="4">
        <v>44649</v>
      </c>
      <c r="O754" s="10">
        <v>383732.41960000002</v>
      </c>
    </row>
    <row r="755" spans="1:15" x14ac:dyDescent="0.3">
      <c r="A755" s="2">
        <v>753</v>
      </c>
      <c r="B755" s="3" t="s">
        <v>122</v>
      </c>
      <c r="C755" s="3" t="s">
        <v>98</v>
      </c>
      <c r="D755" s="3" t="s">
        <v>18</v>
      </c>
      <c r="E755" s="3" t="s">
        <v>21</v>
      </c>
      <c r="F755" s="3">
        <f t="shared" si="11"/>
        <v>1</v>
      </c>
      <c r="G755" s="3">
        <v>12120</v>
      </c>
      <c r="H755" s="3">
        <v>3</v>
      </c>
      <c r="I755" s="3">
        <v>51629</v>
      </c>
      <c r="J755" s="3">
        <f>IF(E755="Cold",1,0)</f>
        <v>0</v>
      </c>
      <c r="K755" s="3">
        <f>IF(E755="Hot",1,0)</f>
        <v>1</v>
      </c>
      <c r="L755" s="3">
        <v>2342</v>
      </c>
      <c r="M755" s="3">
        <v>89</v>
      </c>
      <c r="N755" s="4">
        <v>44716</v>
      </c>
      <c r="O755" s="10">
        <v>386755.8702</v>
      </c>
    </row>
    <row r="756" spans="1:15" x14ac:dyDescent="0.3">
      <c r="A756" s="2">
        <v>754</v>
      </c>
      <c r="B756" s="3" t="s">
        <v>122</v>
      </c>
      <c r="C756" s="3" t="s">
        <v>194</v>
      </c>
      <c r="D756" s="3" t="s">
        <v>14</v>
      </c>
      <c r="E756" s="3" t="s">
        <v>23</v>
      </c>
      <c r="F756" s="3">
        <f t="shared" si="11"/>
        <v>0</v>
      </c>
      <c r="G756" s="3">
        <v>25799</v>
      </c>
      <c r="H756" s="3">
        <v>8</v>
      </c>
      <c r="I756" s="3">
        <v>73579</v>
      </c>
      <c r="J756" s="3">
        <f>IF(E756="Cold",1,0)</f>
        <v>0</v>
      </c>
      <c r="K756" s="3">
        <f>IF(E756="Hot",1,0)</f>
        <v>0</v>
      </c>
      <c r="L756" s="3">
        <v>1968</v>
      </c>
      <c r="M756" s="3">
        <v>75</v>
      </c>
      <c r="N756" s="4">
        <v>44909</v>
      </c>
      <c r="O756" s="10">
        <v>356763.43190000003</v>
      </c>
    </row>
    <row r="757" spans="1:15" x14ac:dyDescent="0.3">
      <c r="A757" s="2">
        <v>755</v>
      </c>
      <c r="B757" s="3" t="s">
        <v>31</v>
      </c>
      <c r="C757" s="3" t="s">
        <v>170</v>
      </c>
      <c r="D757" s="3" t="s">
        <v>18</v>
      </c>
      <c r="E757" s="3" t="s">
        <v>15</v>
      </c>
      <c r="F757" s="3">
        <f t="shared" si="11"/>
        <v>1</v>
      </c>
      <c r="G757" s="3">
        <v>23262</v>
      </c>
      <c r="H757" s="3">
        <v>5</v>
      </c>
      <c r="I757" s="3">
        <v>53237</v>
      </c>
      <c r="J757" s="3">
        <f>IF(E757="Cold",1,0)</f>
        <v>1</v>
      </c>
      <c r="K757" s="3">
        <f>IF(E757="Hot",1,0)</f>
        <v>0</v>
      </c>
      <c r="L757" s="3">
        <v>1136</v>
      </c>
      <c r="M757" s="3">
        <v>48</v>
      </c>
      <c r="N757" s="4">
        <v>45004</v>
      </c>
      <c r="O757" s="10">
        <v>326319.21230000001</v>
      </c>
    </row>
    <row r="758" spans="1:15" x14ac:dyDescent="0.3">
      <c r="A758" s="2">
        <v>756</v>
      </c>
      <c r="B758" s="3" t="s">
        <v>122</v>
      </c>
      <c r="C758" s="3" t="s">
        <v>137</v>
      </c>
      <c r="D758" s="3" t="s">
        <v>18</v>
      </c>
      <c r="E758" s="3" t="s">
        <v>23</v>
      </c>
      <c r="F758" s="3">
        <f t="shared" si="11"/>
        <v>1</v>
      </c>
      <c r="G758" s="3">
        <v>11583</v>
      </c>
      <c r="H758" s="3">
        <v>5</v>
      </c>
      <c r="I758" s="3">
        <v>94189</v>
      </c>
      <c r="J758" s="3">
        <f>IF(E758="Cold",1,0)</f>
        <v>0</v>
      </c>
      <c r="K758" s="3">
        <f>IF(E758="Hot",1,0)</f>
        <v>0</v>
      </c>
      <c r="L758" s="3">
        <v>2693</v>
      </c>
      <c r="M758" s="3">
        <v>78</v>
      </c>
      <c r="N758" s="4">
        <v>44729</v>
      </c>
      <c r="O758" s="10">
        <v>387833.63170000003</v>
      </c>
    </row>
    <row r="759" spans="1:15" x14ac:dyDescent="0.3">
      <c r="A759" s="2">
        <v>757</v>
      </c>
      <c r="B759" s="3" t="s">
        <v>26</v>
      </c>
      <c r="C759" s="3" t="s">
        <v>69</v>
      </c>
      <c r="D759" s="3" t="s">
        <v>18</v>
      </c>
      <c r="E759" s="3" t="s">
        <v>21</v>
      </c>
      <c r="F759" s="3">
        <f t="shared" si="11"/>
        <v>1</v>
      </c>
      <c r="G759" s="3">
        <v>15482</v>
      </c>
      <c r="H759" s="3">
        <v>4</v>
      </c>
      <c r="I759" s="3">
        <v>95792</v>
      </c>
      <c r="J759" s="3">
        <f>IF(E759="Cold",1,0)</f>
        <v>0</v>
      </c>
      <c r="K759" s="3">
        <f>IF(E759="Hot",1,0)</f>
        <v>1</v>
      </c>
      <c r="L759" s="3">
        <v>2742</v>
      </c>
      <c r="M759" s="3">
        <v>54</v>
      </c>
      <c r="N759" s="4">
        <v>43983</v>
      </c>
      <c r="O759" s="10">
        <v>420092.35649999999</v>
      </c>
    </row>
    <row r="760" spans="1:15" x14ac:dyDescent="0.3">
      <c r="A760" s="2">
        <v>758</v>
      </c>
      <c r="B760" s="3" t="s">
        <v>37</v>
      </c>
      <c r="C760" s="3" t="s">
        <v>61</v>
      </c>
      <c r="D760" s="3" t="s">
        <v>14</v>
      </c>
      <c r="E760" s="3" t="s">
        <v>23</v>
      </c>
      <c r="F760" s="3">
        <f t="shared" si="11"/>
        <v>0</v>
      </c>
      <c r="G760" s="3">
        <v>17625</v>
      </c>
      <c r="H760" s="3">
        <v>6</v>
      </c>
      <c r="I760" s="3">
        <v>72597</v>
      </c>
      <c r="J760" s="3">
        <f>IF(E760="Cold",1,0)</f>
        <v>0</v>
      </c>
      <c r="K760" s="3">
        <f>IF(E760="Hot",1,0)</f>
        <v>0</v>
      </c>
      <c r="L760" s="3">
        <v>2631</v>
      </c>
      <c r="M760" s="3">
        <v>40</v>
      </c>
      <c r="N760" s="4">
        <v>44107</v>
      </c>
      <c r="O760" s="10">
        <v>366183.6923</v>
      </c>
    </row>
    <row r="761" spans="1:15" x14ac:dyDescent="0.3">
      <c r="A761" s="2">
        <v>759</v>
      </c>
      <c r="B761" s="3" t="s">
        <v>33</v>
      </c>
      <c r="C761" s="3" t="s">
        <v>91</v>
      </c>
      <c r="D761" s="3" t="s">
        <v>18</v>
      </c>
      <c r="E761" s="3" t="s">
        <v>23</v>
      </c>
      <c r="F761" s="3">
        <f t="shared" si="11"/>
        <v>1</v>
      </c>
      <c r="G761" s="3">
        <v>23430</v>
      </c>
      <c r="H761" s="3">
        <v>6</v>
      </c>
      <c r="I761" s="3">
        <v>84059</v>
      </c>
      <c r="J761" s="3">
        <f>IF(E761="Cold",1,0)</f>
        <v>0</v>
      </c>
      <c r="K761" s="3">
        <f>IF(E761="Hot",1,0)</f>
        <v>0</v>
      </c>
      <c r="L761" s="3">
        <v>2907</v>
      </c>
      <c r="M761" s="3">
        <v>32</v>
      </c>
      <c r="N761" s="4">
        <v>44289</v>
      </c>
      <c r="O761" s="10">
        <v>384341.65419999999</v>
      </c>
    </row>
    <row r="762" spans="1:15" x14ac:dyDescent="0.3">
      <c r="A762" s="2">
        <v>760</v>
      </c>
      <c r="B762" s="3" t="s">
        <v>53</v>
      </c>
      <c r="C762" s="3" t="s">
        <v>149</v>
      </c>
      <c r="D762" s="3" t="s">
        <v>14</v>
      </c>
      <c r="E762" s="3" t="s">
        <v>15</v>
      </c>
      <c r="F762" s="3">
        <f t="shared" si="11"/>
        <v>0</v>
      </c>
      <c r="G762" s="3">
        <v>4907</v>
      </c>
      <c r="H762" s="3">
        <v>8</v>
      </c>
      <c r="I762" s="3">
        <v>73104</v>
      </c>
      <c r="J762" s="3">
        <f>IF(E762="Cold",1,0)</f>
        <v>1</v>
      </c>
      <c r="K762" s="3">
        <f>IF(E762="Hot",1,0)</f>
        <v>0</v>
      </c>
      <c r="L762" s="3">
        <v>1616</v>
      </c>
      <c r="M762" s="3">
        <v>52</v>
      </c>
      <c r="N762" s="4">
        <v>43963</v>
      </c>
      <c r="O762" s="10">
        <v>279734.84840000002</v>
      </c>
    </row>
    <row r="763" spans="1:15" x14ac:dyDescent="0.3">
      <c r="A763" s="2">
        <v>761</v>
      </c>
      <c r="B763" s="3" t="s">
        <v>31</v>
      </c>
      <c r="C763" s="3" t="s">
        <v>81</v>
      </c>
      <c r="D763" s="3" t="s">
        <v>18</v>
      </c>
      <c r="E763" s="3" t="s">
        <v>23</v>
      </c>
      <c r="F763" s="3">
        <f t="shared" si="11"/>
        <v>1</v>
      </c>
      <c r="G763" s="3">
        <v>10319</v>
      </c>
      <c r="H763" s="3">
        <v>8</v>
      </c>
      <c r="I763" s="3">
        <v>69413</v>
      </c>
      <c r="J763" s="3">
        <f>IF(E763="Cold",1,0)</f>
        <v>0</v>
      </c>
      <c r="K763" s="3">
        <f>IF(E763="Hot",1,0)</f>
        <v>0</v>
      </c>
      <c r="L763" s="3">
        <v>2040</v>
      </c>
      <c r="M763" s="3">
        <v>42</v>
      </c>
      <c r="N763" s="4">
        <v>44394</v>
      </c>
      <c r="O763" s="10">
        <v>385472.68229999999</v>
      </c>
    </row>
    <row r="764" spans="1:15" x14ac:dyDescent="0.3">
      <c r="A764" s="2">
        <v>762</v>
      </c>
      <c r="B764" s="3" t="s">
        <v>35</v>
      </c>
      <c r="C764" s="3" t="s">
        <v>139</v>
      </c>
      <c r="D764" s="3" t="s">
        <v>18</v>
      </c>
      <c r="E764" s="3" t="s">
        <v>15</v>
      </c>
      <c r="F764" s="3">
        <f t="shared" si="11"/>
        <v>1</v>
      </c>
      <c r="G764" s="3">
        <v>14040</v>
      </c>
      <c r="H764" s="3">
        <v>7</v>
      </c>
      <c r="I764" s="3">
        <v>70811</v>
      </c>
      <c r="J764" s="3">
        <f>IF(E764="Cold",1,0)</f>
        <v>1</v>
      </c>
      <c r="K764" s="3">
        <f>IF(E764="Hot",1,0)</f>
        <v>0</v>
      </c>
      <c r="L764" s="3">
        <v>1366</v>
      </c>
      <c r="M764" s="3">
        <v>82</v>
      </c>
      <c r="N764" s="4">
        <v>44460</v>
      </c>
      <c r="O764" s="10">
        <v>353900.74680000002</v>
      </c>
    </row>
    <row r="765" spans="1:15" x14ac:dyDescent="0.3">
      <c r="A765" s="2">
        <v>763</v>
      </c>
      <c r="B765" s="3" t="s">
        <v>44</v>
      </c>
      <c r="C765" s="3" t="s">
        <v>223</v>
      </c>
      <c r="D765" s="3" t="s">
        <v>18</v>
      </c>
      <c r="E765" s="3" t="s">
        <v>23</v>
      </c>
      <c r="F765" s="3">
        <f t="shared" si="11"/>
        <v>1</v>
      </c>
      <c r="G765" s="3">
        <v>22521</v>
      </c>
      <c r="H765" s="3">
        <v>1</v>
      </c>
      <c r="I765" s="3">
        <v>75502</v>
      </c>
      <c r="J765" s="3">
        <f>IF(E765="Cold",1,0)</f>
        <v>0</v>
      </c>
      <c r="K765" s="3">
        <f>IF(E765="Hot",1,0)</f>
        <v>0</v>
      </c>
      <c r="L765" s="3">
        <v>1572</v>
      </c>
      <c r="M765" s="3">
        <v>52</v>
      </c>
      <c r="N765" s="4">
        <v>45400</v>
      </c>
      <c r="O765" s="10">
        <v>340511.93790000002</v>
      </c>
    </row>
    <row r="766" spans="1:15" x14ac:dyDescent="0.3">
      <c r="A766" s="2">
        <v>764</v>
      </c>
      <c r="B766" s="3" t="s">
        <v>26</v>
      </c>
      <c r="C766" s="3" t="s">
        <v>64</v>
      </c>
      <c r="D766" s="3" t="s">
        <v>18</v>
      </c>
      <c r="E766" s="3" t="s">
        <v>21</v>
      </c>
      <c r="F766" s="3">
        <f t="shared" si="11"/>
        <v>1</v>
      </c>
      <c r="G766" s="3">
        <v>27843</v>
      </c>
      <c r="H766" s="3">
        <v>8</v>
      </c>
      <c r="I766" s="3">
        <v>63641</v>
      </c>
      <c r="J766" s="3">
        <f>IF(E766="Cold",1,0)</f>
        <v>0</v>
      </c>
      <c r="K766" s="3">
        <f>IF(E766="Hot",1,0)</f>
        <v>1</v>
      </c>
      <c r="L766" s="3">
        <v>2025</v>
      </c>
      <c r="M766" s="3">
        <v>67</v>
      </c>
      <c r="N766" s="4">
        <v>44627</v>
      </c>
      <c r="O766" s="10">
        <v>385936.20250000001</v>
      </c>
    </row>
    <row r="767" spans="1:15" x14ac:dyDescent="0.3">
      <c r="A767" s="2">
        <v>765</v>
      </c>
      <c r="B767" s="3" t="s">
        <v>31</v>
      </c>
      <c r="C767" s="3" t="s">
        <v>172</v>
      </c>
      <c r="D767" s="3" t="s">
        <v>14</v>
      </c>
      <c r="E767" s="3" t="s">
        <v>21</v>
      </c>
      <c r="F767" s="3">
        <f t="shared" si="11"/>
        <v>0</v>
      </c>
      <c r="G767" s="3">
        <v>11410</v>
      </c>
      <c r="H767" s="3">
        <v>7</v>
      </c>
      <c r="I767" s="3">
        <v>84637</v>
      </c>
      <c r="J767" s="3">
        <f>IF(E767="Cold",1,0)</f>
        <v>0</v>
      </c>
      <c r="K767" s="3">
        <f>IF(E767="Hot",1,0)</f>
        <v>1</v>
      </c>
      <c r="L767" s="3">
        <v>1384</v>
      </c>
      <c r="M767" s="3">
        <v>67</v>
      </c>
      <c r="N767" s="4">
        <v>44856</v>
      </c>
      <c r="O767" s="10">
        <v>328610.84039999999</v>
      </c>
    </row>
    <row r="768" spans="1:15" x14ac:dyDescent="0.3">
      <c r="A768" s="2">
        <v>766</v>
      </c>
      <c r="B768" s="3" t="s">
        <v>72</v>
      </c>
      <c r="C768" s="3" t="s">
        <v>73</v>
      </c>
      <c r="D768" s="3" t="s">
        <v>14</v>
      </c>
      <c r="E768" s="3" t="s">
        <v>23</v>
      </c>
      <c r="F768" s="3">
        <f t="shared" si="11"/>
        <v>0</v>
      </c>
      <c r="G768" s="3">
        <v>26204</v>
      </c>
      <c r="H768" s="3">
        <v>3</v>
      </c>
      <c r="I768" s="3">
        <v>93087</v>
      </c>
      <c r="J768" s="3">
        <f>IF(E768="Cold",1,0)</f>
        <v>0</v>
      </c>
      <c r="K768" s="3">
        <f>IF(E768="Hot",1,0)</f>
        <v>0</v>
      </c>
      <c r="L768" s="3">
        <v>2651</v>
      </c>
      <c r="M768" s="3">
        <v>82</v>
      </c>
      <c r="N768" s="4">
        <v>44494</v>
      </c>
      <c r="O768" s="10">
        <v>357564.99969999999</v>
      </c>
    </row>
    <row r="769" spans="1:15" x14ac:dyDescent="0.3">
      <c r="A769" s="2">
        <v>767</v>
      </c>
      <c r="B769" s="3" t="s">
        <v>28</v>
      </c>
      <c r="C769" s="3" t="s">
        <v>49</v>
      </c>
      <c r="D769" s="3" t="s">
        <v>18</v>
      </c>
      <c r="E769" s="3" t="s">
        <v>23</v>
      </c>
      <c r="F769" s="3">
        <f t="shared" si="11"/>
        <v>1</v>
      </c>
      <c r="G769" s="3">
        <v>15906</v>
      </c>
      <c r="H769" s="3">
        <v>9</v>
      </c>
      <c r="I769" s="3">
        <v>81021</v>
      </c>
      <c r="J769" s="3">
        <f>IF(E769="Cold",1,0)</f>
        <v>0</v>
      </c>
      <c r="K769" s="3">
        <f>IF(E769="Hot",1,0)</f>
        <v>0</v>
      </c>
      <c r="L769" s="3">
        <v>1912</v>
      </c>
      <c r="M769" s="3">
        <v>71</v>
      </c>
      <c r="N769" s="4">
        <v>44593</v>
      </c>
      <c r="O769" s="10">
        <v>379967.88949999999</v>
      </c>
    </row>
    <row r="770" spans="1:15" x14ac:dyDescent="0.3">
      <c r="A770" s="2">
        <v>768</v>
      </c>
      <c r="B770" s="3" t="s">
        <v>19</v>
      </c>
      <c r="C770" s="3" t="s">
        <v>199</v>
      </c>
      <c r="D770" s="3" t="s">
        <v>18</v>
      </c>
      <c r="E770" s="3" t="s">
        <v>23</v>
      </c>
      <c r="F770" s="3">
        <f t="shared" si="11"/>
        <v>1</v>
      </c>
      <c r="G770" s="3">
        <v>12543</v>
      </c>
      <c r="H770" s="3">
        <v>7</v>
      </c>
      <c r="I770" s="3">
        <v>80895</v>
      </c>
      <c r="J770" s="3">
        <f>IF(E770="Cold",1,0)</f>
        <v>0</v>
      </c>
      <c r="K770" s="3">
        <f>IF(E770="Hot",1,0)</f>
        <v>0</v>
      </c>
      <c r="L770" s="3">
        <v>2863</v>
      </c>
      <c r="M770" s="3">
        <v>74</v>
      </c>
      <c r="N770" s="4">
        <v>43888</v>
      </c>
      <c r="O770" s="10">
        <v>392577.98690000002</v>
      </c>
    </row>
    <row r="771" spans="1:15" x14ac:dyDescent="0.3">
      <c r="A771" s="2">
        <v>769</v>
      </c>
      <c r="B771" s="3" t="s">
        <v>72</v>
      </c>
      <c r="C771" s="3" t="s">
        <v>73</v>
      </c>
      <c r="D771" s="3" t="s">
        <v>18</v>
      </c>
      <c r="E771" s="3" t="s">
        <v>21</v>
      </c>
      <c r="F771" s="3">
        <f t="shared" ref="F771:F834" si="12">IF(D771=$F$1,1,0)</f>
        <v>1</v>
      </c>
      <c r="G771" s="3">
        <v>23493</v>
      </c>
      <c r="H771" s="3">
        <v>2</v>
      </c>
      <c r="I771" s="3">
        <v>52940</v>
      </c>
      <c r="J771" s="3">
        <f>IF(E771="Cold",1,0)</f>
        <v>0</v>
      </c>
      <c r="K771" s="3">
        <f>IF(E771="Hot",1,0)</f>
        <v>1</v>
      </c>
      <c r="L771" s="3">
        <v>1718</v>
      </c>
      <c r="M771" s="3">
        <v>87</v>
      </c>
      <c r="N771" s="4">
        <v>44203</v>
      </c>
      <c r="O771" s="10">
        <v>393140.76299999998</v>
      </c>
    </row>
    <row r="772" spans="1:15" x14ac:dyDescent="0.3">
      <c r="A772" s="2">
        <v>770</v>
      </c>
      <c r="B772" s="3" t="s">
        <v>55</v>
      </c>
      <c r="C772" s="3" t="s">
        <v>66</v>
      </c>
      <c r="D772" s="3" t="s">
        <v>18</v>
      </c>
      <c r="E772" s="3" t="s">
        <v>23</v>
      </c>
      <c r="F772" s="3">
        <f t="shared" si="12"/>
        <v>1</v>
      </c>
      <c r="G772" s="3">
        <v>16331</v>
      </c>
      <c r="H772" s="3">
        <v>7</v>
      </c>
      <c r="I772" s="3">
        <v>97209</v>
      </c>
      <c r="J772" s="3">
        <f>IF(E772="Cold",1,0)</f>
        <v>0</v>
      </c>
      <c r="K772" s="3">
        <f>IF(E772="Hot",1,0)</f>
        <v>0</v>
      </c>
      <c r="L772" s="3">
        <v>2807</v>
      </c>
      <c r="M772" s="3">
        <v>20</v>
      </c>
      <c r="N772" s="4">
        <v>44672</v>
      </c>
      <c r="O772" s="10">
        <v>389036.96149999998</v>
      </c>
    </row>
    <row r="773" spans="1:15" x14ac:dyDescent="0.3">
      <c r="A773" s="2">
        <v>771</v>
      </c>
      <c r="B773" s="3" t="s">
        <v>31</v>
      </c>
      <c r="C773" s="3" t="s">
        <v>63</v>
      </c>
      <c r="D773" s="3" t="s">
        <v>14</v>
      </c>
      <c r="E773" s="3" t="s">
        <v>15</v>
      </c>
      <c r="F773" s="3">
        <f t="shared" si="12"/>
        <v>0</v>
      </c>
      <c r="G773" s="3">
        <v>2872</v>
      </c>
      <c r="H773" s="3">
        <v>2</v>
      </c>
      <c r="I773" s="3">
        <v>54377</v>
      </c>
      <c r="J773" s="3">
        <f>IF(E773="Cold",1,0)</f>
        <v>1</v>
      </c>
      <c r="K773" s="3">
        <f>IF(E773="Hot",1,0)</f>
        <v>0</v>
      </c>
      <c r="L773" s="3">
        <v>2549</v>
      </c>
      <c r="M773" s="3">
        <v>70</v>
      </c>
      <c r="N773" s="4">
        <v>45261</v>
      </c>
      <c r="O773" s="10">
        <v>330593.13410000002</v>
      </c>
    </row>
    <row r="774" spans="1:15" x14ac:dyDescent="0.3">
      <c r="A774" s="2">
        <v>772</v>
      </c>
      <c r="B774" s="3" t="s">
        <v>29</v>
      </c>
      <c r="C774" s="3" t="s">
        <v>164</v>
      </c>
      <c r="D774" s="3" t="s">
        <v>18</v>
      </c>
      <c r="E774" s="3" t="s">
        <v>21</v>
      </c>
      <c r="F774" s="3">
        <f t="shared" si="12"/>
        <v>1</v>
      </c>
      <c r="G774" s="3">
        <v>8750</v>
      </c>
      <c r="H774" s="3">
        <v>4</v>
      </c>
      <c r="I774" s="3">
        <v>90811</v>
      </c>
      <c r="J774" s="3">
        <f>IF(E774="Cold",1,0)</f>
        <v>0</v>
      </c>
      <c r="K774" s="3">
        <f>IF(E774="Hot",1,0)</f>
        <v>1</v>
      </c>
      <c r="L774" s="3">
        <v>1152</v>
      </c>
      <c r="M774" s="3">
        <v>76</v>
      </c>
      <c r="N774" s="4">
        <v>45375</v>
      </c>
      <c r="O774" s="10">
        <v>390012.43060000002</v>
      </c>
    </row>
    <row r="775" spans="1:15" x14ac:dyDescent="0.3">
      <c r="A775" s="2">
        <v>773</v>
      </c>
      <c r="B775" s="3" t="s">
        <v>28</v>
      </c>
      <c r="C775" s="3" t="s">
        <v>49</v>
      </c>
      <c r="D775" s="3" t="s">
        <v>14</v>
      </c>
      <c r="E775" s="3" t="s">
        <v>15</v>
      </c>
      <c r="F775" s="3">
        <f t="shared" si="12"/>
        <v>0</v>
      </c>
      <c r="G775" s="3">
        <v>22065</v>
      </c>
      <c r="H775" s="3">
        <v>4</v>
      </c>
      <c r="I775" s="3">
        <v>68462</v>
      </c>
      <c r="J775" s="3">
        <f>IF(E775="Cold",1,0)</f>
        <v>1</v>
      </c>
      <c r="K775" s="3">
        <f>IF(E775="Hot",1,0)</f>
        <v>0</v>
      </c>
      <c r="L775" s="3">
        <v>1270</v>
      </c>
      <c r="M775" s="3">
        <v>50</v>
      </c>
      <c r="N775" s="4">
        <v>45215</v>
      </c>
      <c r="O775" s="10">
        <v>317987.61820000003</v>
      </c>
    </row>
    <row r="776" spans="1:15" x14ac:dyDescent="0.3">
      <c r="A776" s="2">
        <v>774</v>
      </c>
      <c r="B776" s="3" t="s">
        <v>74</v>
      </c>
      <c r="C776" s="3" t="s">
        <v>75</v>
      </c>
      <c r="D776" s="3" t="s">
        <v>18</v>
      </c>
      <c r="E776" s="3" t="s">
        <v>15</v>
      </c>
      <c r="F776" s="3">
        <f t="shared" si="12"/>
        <v>1</v>
      </c>
      <c r="G776" s="3">
        <v>15171</v>
      </c>
      <c r="H776" s="3">
        <v>4</v>
      </c>
      <c r="I776" s="3">
        <v>72370</v>
      </c>
      <c r="J776" s="3">
        <f>IF(E776="Cold",1,0)</f>
        <v>1</v>
      </c>
      <c r="K776" s="3">
        <f>IF(E776="Hot",1,0)</f>
        <v>0</v>
      </c>
      <c r="L776" s="3">
        <v>1262</v>
      </c>
      <c r="M776" s="3">
        <v>50</v>
      </c>
      <c r="N776" s="4">
        <v>45369</v>
      </c>
      <c r="O776" s="10">
        <v>368033.71879999997</v>
      </c>
    </row>
    <row r="777" spans="1:15" x14ac:dyDescent="0.3">
      <c r="A777" s="2">
        <v>775</v>
      </c>
      <c r="B777" s="3" t="s">
        <v>31</v>
      </c>
      <c r="C777" s="3" t="s">
        <v>146</v>
      </c>
      <c r="D777" s="3" t="s">
        <v>18</v>
      </c>
      <c r="E777" s="3" t="s">
        <v>15</v>
      </c>
      <c r="F777" s="3">
        <f t="shared" si="12"/>
        <v>1</v>
      </c>
      <c r="G777" s="3">
        <v>25473</v>
      </c>
      <c r="H777" s="3">
        <v>1</v>
      </c>
      <c r="I777" s="3">
        <v>52828</v>
      </c>
      <c r="J777" s="3">
        <f>IF(E777="Cold",1,0)</f>
        <v>1</v>
      </c>
      <c r="K777" s="3">
        <f>IF(E777="Hot",1,0)</f>
        <v>0</v>
      </c>
      <c r="L777" s="3">
        <v>2854</v>
      </c>
      <c r="M777" s="3">
        <v>44</v>
      </c>
      <c r="N777" s="4">
        <v>45130</v>
      </c>
      <c r="O777" s="10">
        <v>396355.66389999999</v>
      </c>
    </row>
    <row r="778" spans="1:15" x14ac:dyDescent="0.3">
      <c r="A778" s="2">
        <v>776</v>
      </c>
      <c r="B778" s="3" t="s">
        <v>53</v>
      </c>
      <c r="C778" s="3" t="s">
        <v>225</v>
      </c>
      <c r="D778" s="3" t="s">
        <v>14</v>
      </c>
      <c r="E778" s="3" t="s">
        <v>21</v>
      </c>
      <c r="F778" s="3">
        <f t="shared" si="12"/>
        <v>0</v>
      </c>
      <c r="G778" s="3">
        <v>29381</v>
      </c>
      <c r="H778" s="3">
        <v>3</v>
      </c>
      <c r="I778" s="3">
        <v>54164</v>
      </c>
      <c r="J778" s="3">
        <f>IF(E778="Cold",1,0)</f>
        <v>0</v>
      </c>
      <c r="K778" s="3">
        <f>IF(E778="Hot",1,0)</f>
        <v>1</v>
      </c>
      <c r="L778" s="3">
        <v>1670</v>
      </c>
      <c r="M778" s="3">
        <v>90</v>
      </c>
      <c r="N778" s="4">
        <v>44247</v>
      </c>
      <c r="O778" s="10">
        <v>341750.01360000001</v>
      </c>
    </row>
    <row r="779" spans="1:15" x14ac:dyDescent="0.3">
      <c r="A779" s="2">
        <v>777</v>
      </c>
      <c r="B779" s="3" t="s">
        <v>44</v>
      </c>
      <c r="C779" s="3" t="s">
        <v>111</v>
      </c>
      <c r="D779" s="3" t="s">
        <v>14</v>
      </c>
      <c r="E779" s="3" t="s">
        <v>15</v>
      </c>
      <c r="F779" s="3">
        <f t="shared" si="12"/>
        <v>0</v>
      </c>
      <c r="G779" s="3">
        <v>1103</v>
      </c>
      <c r="H779" s="3">
        <v>4</v>
      </c>
      <c r="I779" s="3">
        <v>97490</v>
      </c>
      <c r="J779" s="3">
        <f>IF(E779="Cold",1,0)</f>
        <v>1</v>
      </c>
      <c r="K779" s="3">
        <f>IF(E779="Hot",1,0)</f>
        <v>0</v>
      </c>
      <c r="L779" s="3">
        <v>2371</v>
      </c>
      <c r="M779" s="3">
        <v>83</v>
      </c>
      <c r="N779" s="4">
        <v>44673</v>
      </c>
      <c r="O779" s="10">
        <v>332481.09570000001</v>
      </c>
    </row>
    <row r="780" spans="1:15" x14ac:dyDescent="0.3">
      <c r="A780" s="2">
        <v>778</v>
      </c>
      <c r="B780" s="3" t="s">
        <v>26</v>
      </c>
      <c r="C780" s="3" t="s">
        <v>69</v>
      </c>
      <c r="D780" s="3" t="s">
        <v>18</v>
      </c>
      <c r="E780" s="3" t="s">
        <v>23</v>
      </c>
      <c r="F780" s="3">
        <f t="shared" si="12"/>
        <v>1</v>
      </c>
      <c r="G780" s="3">
        <v>28293</v>
      </c>
      <c r="H780" s="3">
        <v>4</v>
      </c>
      <c r="I780" s="3">
        <v>73643</v>
      </c>
      <c r="J780" s="3">
        <f>IF(E780="Cold",1,0)</f>
        <v>0</v>
      </c>
      <c r="K780" s="3">
        <f>IF(E780="Hot",1,0)</f>
        <v>0</v>
      </c>
      <c r="L780" s="3">
        <v>1283</v>
      </c>
      <c r="M780" s="3">
        <v>85</v>
      </c>
      <c r="N780" s="4">
        <v>44278</v>
      </c>
      <c r="O780" s="10">
        <v>391447.0613</v>
      </c>
    </row>
    <row r="781" spans="1:15" x14ac:dyDescent="0.3">
      <c r="A781" s="2">
        <v>779</v>
      </c>
      <c r="B781" s="3" t="s">
        <v>57</v>
      </c>
      <c r="C781" s="3" t="s">
        <v>215</v>
      </c>
      <c r="D781" s="3" t="s">
        <v>18</v>
      </c>
      <c r="E781" s="3" t="s">
        <v>21</v>
      </c>
      <c r="F781" s="3">
        <f t="shared" si="12"/>
        <v>1</v>
      </c>
      <c r="G781" s="3">
        <v>14855</v>
      </c>
      <c r="H781" s="3">
        <v>1</v>
      </c>
      <c r="I781" s="3">
        <v>92118</v>
      </c>
      <c r="J781" s="3">
        <f>IF(E781="Cold",1,0)</f>
        <v>0</v>
      </c>
      <c r="K781" s="3">
        <f>IF(E781="Hot",1,0)</f>
        <v>1</v>
      </c>
      <c r="L781" s="3">
        <v>2999</v>
      </c>
      <c r="M781" s="3">
        <v>92</v>
      </c>
      <c r="N781" s="4">
        <v>44757</v>
      </c>
      <c r="O781" s="10">
        <v>423943.13750000001</v>
      </c>
    </row>
    <row r="782" spans="1:15" x14ac:dyDescent="0.3">
      <c r="A782" s="2">
        <v>780</v>
      </c>
      <c r="B782" s="3" t="s">
        <v>44</v>
      </c>
      <c r="C782" s="3" t="s">
        <v>82</v>
      </c>
      <c r="D782" s="3" t="s">
        <v>18</v>
      </c>
      <c r="E782" s="3" t="s">
        <v>23</v>
      </c>
      <c r="F782" s="3">
        <f t="shared" si="12"/>
        <v>1</v>
      </c>
      <c r="G782" s="3">
        <v>16744</v>
      </c>
      <c r="H782" s="3">
        <v>8</v>
      </c>
      <c r="I782" s="3">
        <v>89896</v>
      </c>
      <c r="J782" s="3">
        <f>IF(E782="Cold",1,0)</f>
        <v>0</v>
      </c>
      <c r="K782" s="3">
        <f>IF(E782="Hot",1,0)</f>
        <v>0</v>
      </c>
      <c r="L782" s="3">
        <v>1079</v>
      </c>
      <c r="M782" s="3">
        <v>66</v>
      </c>
      <c r="N782" s="4">
        <v>44176</v>
      </c>
      <c r="O782" s="10">
        <v>330048.95620000002</v>
      </c>
    </row>
    <row r="783" spans="1:15" x14ac:dyDescent="0.3">
      <c r="A783" s="2">
        <v>781</v>
      </c>
      <c r="B783" s="3" t="s">
        <v>31</v>
      </c>
      <c r="C783" s="3" t="s">
        <v>186</v>
      </c>
      <c r="D783" s="3" t="s">
        <v>14</v>
      </c>
      <c r="E783" s="3" t="s">
        <v>23</v>
      </c>
      <c r="F783" s="3">
        <f t="shared" si="12"/>
        <v>0</v>
      </c>
      <c r="G783" s="3">
        <v>17712</v>
      </c>
      <c r="H783" s="3">
        <v>6</v>
      </c>
      <c r="I783" s="3">
        <v>88982</v>
      </c>
      <c r="J783" s="3">
        <f>IF(E783="Cold",1,0)</f>
        <v>0</v>
      </c>
      <c r="K783" s="3">
        <f>IF(E783="Hot",1,0)</f>
        <v>0</v>
      </c>
      <c r="L783" s="3">
        <v>2885</v>
      </c>
      <c r="M783" s="3">
        <v>73</v>
      </c>
      <c r="N783" s="4">
        <v>44398</v>
      </c>
      <c r="O783" s="10">
        <v>365507.83110000001</v>
      </c>
    </row>
    <row r="784" spans="1:15" x14ac:dyDescent="0.3">
      <c r="A784" s="2">
        <v>782</v>
      </c>
      <c r="B784" s="3" t="s">
        <v>74</v>
      </c>
      <c r="C784" s="3" t="s">
        <v>106</v>
      </c>
      <c r="D784" s="3" t="s">
        <v>14</v>
      </c>
      <c r="E784" s="3" t="s">
        <v>15</v>
      </c>
      <c r="F784" s="3">
        <f t="shared" si="12"/>
        <v>0</v>
      </c>
      <c r="G784" s="3">
        <v>21258</v>
      </c>
      <c r="H784" s="3">
        <v>8</v>
      </c>
      <c r="I784" s="3">
        <v>70337</v>
      </c>
      <c r="J784" s="3">
        <f>IF(E784="Cold",1,0)</f>
        <v>1</v>
      </c>
      <c r="K784" s="3">
        <f>IF(E784="Hot",1,0)</f>
        <v>0</v>
      </c>
      <c r="L784" s="3">
        <v>1524</v>
      </c>
      <c r="M784" s="3">
        <v>48</v>
      </c>
      <c r="N784" s="4">
        <v>44386</v>
      </c>
      <c r="O784" s="10">
        <v>314537.91200000001</v>
      </c>
    </row>
    <row r="785" spans="1:15" x14ac:dyDescent="0.3">
      <c r="A785" s="2">
        <v>783</v>
      </c>
      <c r="B785" s="3" t="s">
        <v>33</v>
      </c>
      <c r="C785" s="3" t="s">
        <v>79</v>
      </c>
      <c r="D785" s="3" t="s">
        <v>18</v>
      </c>
      <c r="E785" s="3" t="s">
        <v>21</v>
      </c>
      <c r="F785" s="3">
        <f t="shared" si="12"/>
        <v>1</v>
      </c>
      <c r="G785" s="3">
        <v>24803</v>
      </c>
      <c r="H785" s="3">
        <v>0</v>
      </c>
      <c r="I785" s="3">
        <v>88967</v>
      </c>
      <c r="J785" s="3">
        <f>IF(E785="Cold",1,0)</f>
        <v>0</v>
      </c>
      <c r="K785" s="3">
        <f>IF(E785="Hot",1,0)</f>
        <v>1</v>
      </c>
      <c r="L785" s="3">
        <v>2807</v>
      </c>
      <c r="M785" s="3">
        <v>33</v>
      </c>
      <c r="N785" s="4">
        <v>44841</v>
      </c>
      <c r="O785" s="10">
        <v>429602.98139999999</v>
      </c>
    </row>
    <row r="786" spans="1:15" x14ac:dyDescent="0.3">
      <c r="A786" s="2">
        <v>784</v>
      </c>
      <c r="B786" s="3" t="s">
        <v>29</v>
      </c>
      <c r="C786" s="3" t="s">
        <v>107</v>
      </c>
      <c r="D786" s="3" t="s">
        <v>18</v>
      </c>
      <c r="E786" s="3" t="s">
        <v>21</v>
      </c>
      <c r="F786" s="3">
        <f t="shared" si="12"/>
        <v>1</v>
      </c>
      <c r="G786" s="3">
        <v>17300</v>
      </c>
      <c r="H786" s="3">
        <v>3</v>
      </c>
      <c r="I786" s="3">
        <v>99358</v>
      </c>
      <c r="J786" s="3">
        <f>IF(E786="Cold",1,0)</f>
        <v>0</v>
      </c>
      <c r="K786" s="3">
        <f>IF(E786="Hot",1,0)</f>
        <v>1</v>
      </c>
      <c r="L786" s="3">
        <v>1816</v>
      </c>
      <c r="M786" s="3">
        <v>85</v>
      </c>
      <c r="N786" s="4">
        <v>44857</v>
      </c>
      <c r="O786" s="10">
        <v>429178.15649999998</v>
      </c>
    </row>
    <row r="787" spans="1:15" x14ac:dyDescent="0.3">
      <c r="A787" s="2">
        <v>785</v>
      </c>
      <c r="B787" s="3" t="s">
        <v>72</v>
      </c>
      <c r="C787" s="3" t="s">
        <v>151</v>
      </c>
      <c r="D787" s="3" t="s">
        <v>14</v>
      </c>
      <c r="E787" s="3" t="s">
        <v>21</v>
      </c>
      <c r="F787" s="3">
        <f t="shared" si="12"/>
        <v>0</v>
      </c>
      <c r="G787" s="3">
        <v>16258</v>
      </c>
      <c r="H787" s="3">
        <v>8</v>
      </c>
      <c r="I787" s="3">
        <v>82873</v>
      </c>
      <c r="J787" s="3">
        <f>IF(E787="Cold",1,0)</f>
        <v>0</v>
      </c>
      <c r="K787" s="3">
        <f>IF(E787="Hot",1,0)</f>
        <v>1</v>
      </c>
      <c r="L787" s="3">
        <v>2462</v>
      </c>
      <c r="M787" s="3">
        <v>59</v>
      </c>
      <c r="N787" s="4">
        <v>44727</v>
      </c>
      <c r="O787" s="10">
        <v>347808.91310000001</v>
      </c>
    </row>
    <row r="788" spans="1:15" x14ac:dyDescent="0.3">
      <c r="A788" s="2">
        <v>786</v>
      </c>
      <c r="B788" s="3" t="s">
        <v>108</v>
      </c>
      <c r="C788" s="3" t="s">
        <v>117</v>
      </c>
      <c r="D788" s="3" t="s">
        <v>14</v>
      </c>
      <c r="E788" s="3" t="s">
        <v>21</v>
      </c>
      <c r="F788" s="3">
        <f t="shared" si="12"/>
        <v>0</v>
      </c>
      <c r="G788" s="3">
        <v>3029</v>
      </c>
      <c r="H788" s="3">
        <v>3</v>
      </c>
      <c r="I788" s="3">
        <v>78212</v>
      </c>
      <c r="J788" s="3">
        <f>IF(E788="Cold",1,0)</f>
        <v>0</v>
      </c>
      <c r="K788" s="3">
        <f>IF(E788="Hot",1,0)</f>
        <v>1</v>
      </c>
      <c r="L788" s="3">
        <v>2536</v>
      </c>
      <c r="M788" s="3">
        <v>71</v>
      </c>
      <c r="N788" s="4">
        <v>44524</v>
      </c>
      <c r="O788" s="10">
        <v>342625.05050000001</v>
      </c>
    </row>
    <row r="789" spans="1:15" x14ac:dyDescent="0.3">
      <c r="A789" s="2">
        <v>787</v>
      </c>
      <c r="B789" s="3" t="s">
        <v>108</v>
      </c>
      <c r="C789" s="3" t="s">
        <v>214</v>
      </c>
      <c r="D789" s="3" t="s">
        <v>14</v>
      </c>
      <c r="E789" s="3" t="s">
        <v>15</v>
      </c>
      <c r="F789" s="3">
        <f t="shared" si="12"/>
        <v>0</v>
      </c>
      <c r="G789" s="3">
        <v>19309</v>
      </c>
      <c r="H789" s="3">
        <v>2</v>
      </c>
      <c r="I789" s="3">
        <v>91669</v>
      </c>
      <c r="J789" s="3">
        <f>IF(E789="Cold",1,0)</f>
        <v>1</v>
      </c>
      <c r="K789" s="3">
        <f>IF(E789="Hot",1,0)</f>
        <v>0</v>
      </c>
      <c r="L789" s="3">
        <v>1896</v>
      </c>
      <c r="M789" s="3">
        <v>50</v>
      </c>
      <c r="N789" s="4">
        <v>44641</v>
      </c>
      <c r="O789" s="10">
        <v>315432.94689999998</v>
      </c>
    </row>
    <row r="790" spans="1:15" x14ac:dyDescent="0.3">
      <c r="A790" s="2">
        <v>788</v>
      </c>
      <c r="B790" s="3" t="s">
        <v>28</v>
      </c>
      <c r="C790" s="3" t="s">
        <v>102</v>
      </c>
      <c r="D790" s="3" t="s">
        <v>18</v>
      </c>
      <c r="E790" s="3" t="s">
        <v>21</v>
      </c>
      <c r="F790" s="3">
        <f t="shared" si="12"/>
        <v>1</v>
      </c>
      <c r="G790" s="3">
        <v>3899</v>
      </c>
      <c r="H790" s="3">
        <v>1</v>
      </c>
      <c r="I790" s="3">
        <v>93705</v>
      </c>
      <c r="J790" s="3">
        <f>IF(E790="Cold",1,0)</f>
        <v>0</v>
      </c>
      <c r="K790" s="3">
        <f>IF(E790="Hot",1,0)</f>
        <v>1</v>
      </c>
      <c r="L790" s="3">
        <v>1301</v>
      </c>
      <c r="M790" s="3">
        <v>92</v>
      </c>
      <c r="N790" s="4">
        <v>45030</v>
      </c>
      <c r="O790" s="10">
        <v>354126.83919999999</v>
      </c>
    </row>
    <row r="791" spans="1:15" x14ac:dyDescent="0.3">
      <c r="A791" s="2">
        <v>789</v>
      </c>
      <c r="B791" s="3" t="s">
        <v>122</v>
      </c>
      <c r="C791" s="3" t="s">
        <v>123</v>
      </c>
      <c r="D791" s="3" t="s">
        <v>18</v>
      </c>
      <c r="E791" s="3" t="s">
        <v>23</v>
      </c>
      <c r="F791" s="3">
        <f t="shared" si="12"/>
        <v>1</v>
      </c>
      <c r="G791" s="3">
        <v>18117</v>
      </c>
      <c r="H791" s="3">
        <v>8</v>
      </c>
      <c r="I791" s="3">
        <v>83725</v>
      </c>
      <c r="J791" s="3">
        <f>IF(E791="Cold",1,0)</f>
        <v>0</v>
      </c>
      <c r="K791" s="3">
        <f>IF(E791="Hot",1,0)</f>
        <v>0</v>
      </c>
      <c r="L791" s="3">
        <v>2128</v>
      </c>
      <c r="M791" s="3">
        <v>99</v>
      </c>
      <c r="N791" s="4">
        <v>45446</v>
      </c>
      <c r="O791" s="10">
        <v>400028.47440000001</v>
      </c>
    </row>
    <row r="792" spans="1:15" x14ac:dyDescent="0.3">
      <c r="A792" s="2">
        <v>790</v>
      </c>
      <c r="B792" s="3" t="s">
        <v>19</v>
      </c>
      <c r="C792" s="3" t="s">
        <v>155</v>
      </c>
      <c r="D792" s="3" t="s">
        <v>18</v>
      </c>
      <c r="E792" s="3" t="s">
        <v>15</v>
      </c>
      <c r="F792" s="3">
        <f t="shared" si="12"/>
        <v>1</v>
      </c>
      <c r="G792" s="3">
        <v>6819</v>
      </c>
      <c r="H792" s="3">
        <v>7</v>
      </c>
      <c r="I792" s="3">
        <v>89654</v>
      </c>
      <c r="J792" s="3">
        <f>IF(E792="Cold",1,0)</f>
        <v>1</v>
      </c>
      <c r="K792" s="3">
        <f>IF(E792="Hot",1,0)</f>
        <v>0</v>
      </c>
      <c r="L792" s="3">
        <v>1794</v>
      </c>
      <c r="M792" s="3">
        <v>39</v>
      </c>
      <c r="N792" s="4">
        <v>44328</v>
      </c>
      <c r="O792" s="10">
        <v>354442.4215</v>
      </c>
    </row>
    <row r="793" spans="1:15" x14ac:dyDescent="0.3">
      <c r="A793" s="2">
        <v>791</v>
      </c>
      <c r="B793" s="3" t="s">
        <v>74</v>
      </c>
      <c r="C793" s="3" t="s">
        <v>106</v>
      </c>
      <c r="D793" s="3" t="s">
        <v>18</v>
      </c>
      <c r="E793" s="3" t="s">
        <v>23</v>
      </c>
      <c r="F793" s="3">
        <f t="shared" si="12"/>
        <v>1</v>
      </c>
      <c r="G793" s="3">
        <v>12995</v>
      </c>
      <c r="H793" s="3">
        <v>4</v>
      </c>
      <c r="I793" s="3">
        <v>76790</v>
      </c>
      <c r="J793" s="3">
        <f>IF(E793="Cold",1,0)</f>
        <v>0</v>
      </c>
      <c r="K793" s="3">
        <f>IF(E793="Hot",1,0)</f>
        <v>0</v>
      </c>
      <c r="L793" s="3">
        <v>2755</v>
      </c>
      <c r="M793" s="3">
        <v>51</v>
      </c>
      <c r="N793" s="4">
        <v>45474</v>
      </c>
      <c r="O793" s="10">
        <v>398933.19390000001</v>
      </c>
    </row>
    <row r="794" spans="1:15" x14ac:dyDescent="0.3">
      <c r="A794" s="2">
        <v>792</v>
      </c>
      <c r="B794" s="3" t="s">
        <v>33</v>
      </c>
      <c r="C794" s="3" t="s">
        <v>198</v>
      </c>
      <c r="D794" s="3" t="s">
        <v>14</v>
      </c>
      <c r="E794" s="3" t="s">
        <v>23</v>
      </c>
      <c r="F794" s="3">
        <f t="shared" si="12"/>
        <v>0</v>
      </c>
      <c r="G794" s="3">
        <v>16444</v>
      </c>
      <c r="H794" s="3">
        <v>9</v>
      </c>
      <c r="I794" s="3">
        <v>92423</v>
      </c>
      <c r="J794" s="3">
        <f>IF(E794="Cold",1,0)</f>
        <v>0</v>
      </c>
      <c r="K794" s="3">
        <f>IF(E794="Hot",1,0)</f>
        <v>0</v>
      </c>
      <c r="L794" s="3">
        <v>1267</v>
      </c>
      <c r="M794" s="3">
        <v>49</v>
      </c>
      <c r="N794" s="4">
        <v>44285</v>
      </c>
      <c r="O794" s="10">
        <v>313342.80660000001</v>
      </c>
    </row>
    <row r="795" spans="1:15" x14ac:dyDescent="0.3">
      <c r="A795" s="2">
        <v>793</v>
      </c>
      <c r="B795" s="3" t="s">
        <v>74</v>
      </c>
      <c r="C795" s="3" t="s">
        <v>75</v>
      </c>
      <c r="D795" s="3" t="s">
        <v>14</v>
      </c>
      <c r="E795" s="3" t="s">
        <v>21</v>
      </c>
      <c r="F795" s="3">
        <f t="shared" si="12"/>
        <v>0</v>
      </c>
      <c r="G795" s="3">
        <v>18283</v>
      </c>
      <c r="H795" s="3">
        <v>2</v>
      </c>
      <c r="I795" s="3">
        <v>64809</v>
      </c>
      <c r="J795" s="3">
        <f>IF(E795="Cold",1,0)</f>
        <v>0</v>
      </c>
      <c r="K795" s="3">
        <f>IF(E795="Hot",1,0)</f>
        <v>1</v>
      </c>
      <c r="L795" s="3">
        <v>1192</v>
      </c>
      <c r="M795" s="3">
        <v>98</v>
      </c>
      <c r="N795" s="4">
        <v>44611</v>
      </c>
      <c r="O795" s="10">
        <v>336791.08769999997</v>
      </c>
    </row>
    <row r="796" spans="1:15" x14ac:dyDescent="0.3">
      <c r="A796" s="2">
        <v>794</v>
      </c>
      <c r="B796" s="3" t="s">
        <v>55</v>
      </c>
      <c r="C796" s="3" t="s">
        <v>175</v>
      </c>
      <c r="D796" s="3" t="s">
        <v>14</v>
      </c>
      <c r="E796" s="3" t="s">
        <v>21</v>
      </c>
      <c r="F796" s="3">
        <f t="shared" si="12"/>
        <v>0</v>
      </c>
      <c r="G796" s="3">
        <v>11749</v>
      </c>
      <c r="H796" s="3">
        <v>3</v>
      </c>
      <c r="I796" s="3">
        <v>77422</v>
      </c>
      <c r="J796" s="3">
        <f>IF(E796="Cold",1,0)</f>
        <v>0</v>
      </c>
      <c r="K796" s="3">
        <f>IF(E796="Hot",1,0)</f>
        <v>1</v>
      </c>
      <c r="L796" s="3">
        <v>1130</v>
      </c>
      <c r="M796" s="3">
        <v>43</v>
      </c>
      <c r="N796" s="4">
        <v>45243</v>
      </c>
      <c r="O796" s="10">
        <v>328464.12599999999</v>
      </c>
    </row>
    <row r="797" spans="1:15" x14ac:dyDescent="0.3">
      <c r="A797" s="2">
        <v>795</v>
      </c>
      <c r="B797" s="3" t="s">
        <v>33</v>
      </c>
      <c r="C797" s="3" t="s">
        <v>91</v>
      </c>
      <c r="D797" s="3" t="s">
        <v>18</v>
      </c>
      <c r="E797" s="3" t="s">
        <v>23</v>
      </c>
      <c r="F797" s="3">
        <f t="shared" si="12"/>
        <v>1</v>
      </c>
      <c r="G797" s="3">
        <v>7854</v>
      </c>
      <c r="H797" s="3">
        <v>4</v>
      </c>
      <c r="I797" s="3">
        <v>57742</v>
      </c>
      <c r="J797" s="3">
        <f>IF(E797="Cold",1,0)</f>
        <v>0</v>
      </c>
      <c r="K797" s="3">
        <f>IF(E797="Hot",1,0)</f>
        <v>0</v>
      </c>
      <c r="L797" s="3">
        <v>1583</v>
      </c>
      <c r="M797" s="3">
        <v>74</v>
      </c>
      <c r="N797" s="4">
        <v>45286</v>
      </c>
      <c r="O797" s="10">
        <v>357505.91009999998</v>
      </c>
    </row>
    <row r="798" spans="1:15" x14ac:dyDescent="0.3">
      <c r="A798" s="2">
        <v>796</v>
      </c>
      <c r="B798" s="3" t="s">
        <v>31</v>
      </c>
      <c r="C798" s="3" t="s">
        <v>165</v>
      </c>
      <c r="D798" s="3" t="s">
        <v>18</v>
      </c>
      <c r="E798" s="3" t="s">
        <v>23</v>
      </c>
      <c r="F798" s="3">
        <f t="shared" si="12"/>
        <v>1</v>
      </c>
      <c r="G798" s="3">
        <v>15607</v>
      </c>
      <c r="H798" s="3">
        <v>1</v>
      </c>
      <c r="I798" s="3">
        <v>56836</v>
      </c>
      <c r="J798" s="3">
        <f>IF(E798="Cold",1,0)</f>
        <v>0</v>
      </c>
      <c r="K798" s="3">
        <f>IF(E798="Hot",1,0)</f>
        <v>0</v>
      </c>
      <c r="L798" s="3">
        <v>1853</v>
      </c>
      <c r="M798" s="3">
        <v>82</v>
      </c>
      <c r="N798" s="4">
        <v>44708</v>
      </c>
      <c r="O798" s="10">
        <v>378972.83889999997</v>
      </c>
    </row>
    <row r="799" spans="1:15" x14ac:dyDescent="0.3">
      <c r="A799" s="2">
        <v>797</v>
      </c>
      <c r="B799" s="3" t="s">
        <v>72</v>
      </c>
      <c r="C799" s="3" t="s">
        <v>147</v>
      </c>
      <c r="D799" s="3" t="s">
        <v>14</v>
      </c>
      <c r="E799" s="3" t="s">
        <v>21</v>
      </c>
      <c r="F799" s="3">
        <f t="shared" si="12"/>
        <v>0</v>
      </c>
      <c r="G799" s="3">
        <v>11802</v>
      </c>
      <c r="H799" s="3">
        <v>3</v>
      </c>
      <c r="I799" s="3">
        <v>61296</v>
      </c>
      <c r="J799" s="3">
        <f>IF(E799="Cold",1,0)</f>
        <v>0</v>
      </c>
      <c r="K799" s="3">
        <f>IF(E799="Hot",1,0)</f>
        <v>1</v>
      </c>
      <c r="L799" s="3">
        <v>2556</v>
      </c>
      <c r="M799" s="3">
        <v>66</v>
      </c>
      <c r="N799" s="4">
        <v>44857</v>
      </c>
      <c r="O799" s="10">
        <v>344927.24489999999</v>
      </c>
    </row>
    <row r="800" spans="1:15" x14ac:dyDescent="0.3">
      <c r="A800" s="2">
        <v>798</v>
      </c>
      <c r="B800" s="3" t="s">
        <v>33</v>
      </c>
      <c r="C800" s="3" t="s">
        <v>91</v>
      </c>
      <c r="D800" s="3" t="s">
        <v>14</v>
      </c>
      <c r="E800" s="3" t="s">
        <v>21</v>
      </c>
      <c r="F800" s="3">
        <f t="shared" si="12"/>
        <v>0</v>
      </c>
      <c r="G800" s="3">
        <v>7097</v>
      </c>
      <c r="H800" s="3">
        <v>3</v>
      </c>
      <c r="I800" s="3">
        <v>86965</v>
      </c>
      <c r="J800" s="3">
        <f>IF(E800="Cold",1,0)</f>
        <v>0</v>
      </c>
      <c r="K800" s="3">
        <f>IF(E800="Hot",1,0)</f>
        <v>1</v>
      </c>
      <c r="L800" s="3">
        <v>2796</v>
      </c>
      <c r="M800" s="3">
        <v>51</v>
      </c>
      <c r="N800" s="4">
        <v>44695</v>
      </c>
      <c r="O800" s="10">
        <v>352021.81479999999</v>
      </c>
    </row>
    <row r="801" spans="1:15" x14ac:dyDescent="0.3">
      <c r="A801" s="2">
        <v>799</v>
      </c>
      <c r="B801" s="3" t="s">
        <v>57</v>
      </c>
      <c r="C801" s="3" t="s">
        <v>116</v>
      </c>
      <c r="D801" s="3" t="s">
        <v>18</v>
      </c>
      <c r="E801" s="3" t="s">
        <v>21</v>
      </c>
      <c r="F801" s="3">
        <f t="shared" si="12"/>
        <v>1</v>
      </c>
      <c r="G801" s="3">
        <v>23694</v>
      </c>
      <c r="H801" s="3">
        <v>6</v>
      </c>
      <c r="I801" s="3">
        <v>66029</v>
      </c>
      <c r="J801" s="3">
        <f>IF(E801="Cold",1,0)</f>
        <v>0</v>
      </c>
      <c r="K801" s="3">
        <f>IF(E801="Hot",1,0)</f>
        <v>1</v>
      </c>
      <c r="L801" s="3">
        <v>2888</v>
      </c>
      <c r="M801" s="3">
        <v>60</v>
      </c>
      <c r="N801" s="4">
        <v>45123</v>
      </c>
      <c r="O801" s="10">
        <v>398833.5514</v>
      </c>
    </row>
    <row r="802" spans="1:15" x14ac:dyDescent="0.3">
      <c r="A802" s="2">
        <v>800</v>
      </c>
      <c r="B802" s="3" t="s">
        <v>35</v>
      </c>
      <c r="C802" s="3" t="s">
        <v>36</v>
      </c>
      <c r="D802" s="3" t="s">
        <v>14</v>
      </c>
      <c r="E802" s="3" t="s">
        <v>23</v>
      </c>
      <c r="F802" s="3">
        <f t="shared" si="12"/>
        <v>0</v>
      </c>
      <c r="G802" s="3">
        <v>25857</v>
      </c>
      <c r="H802" s="3">
        <v>9</v>
      </c>
      <c r="I802" s="3">
        <v>86231</v>
      </c>
      <c r="J802" s="3">
        <f>IF(E802="Cold",1,0)</f>
        <v>0</v>
      </c>
      <c r="K802" s="3">
        <f>IF(E802="Hot",1,0)</f>
        <v>0</v>
      </c>
      <c r="L802" s="3">
        <v>2620</v>
      </c>
      <c r="M802" s="3">
        <v>31</v>
      </c>
      <c r="N802" s="4">
        <v>45195</v>
      </c>
      <c r="O802" s="10">
        <v>355573.08020000003</v>
      </c>
    </row>
    <row r="803" spans="1:15" x14ac:dyDescent="0.3">
      <c r="A803" s="2">
        <v>801</v>
      </c>
      <c r="B803" s="3" t="s">
        <v>55</v>
      </c>
      <c r="C803" s="3" t="s">
        <v>67</v>
      </c>
      <c r="D803" s="3" t="s">
        <v>18</v>
      </c>
      <c r="E803" s="3" t="s">
        <v>23</v>
      </c>
      <c r="F803" s="3">
        <f t="shared" si="12"/>
        <v>1</v>
      </c>
      <c r="G803" s="3">
        <v>1660</v>
      </c>
      <c r="H803" s="3">
        <v>3</v>
      </c>
      <c r="I803" s="3">
        <v>61573</v>
      </c>
      <c r="J803" s="3">
        <f>IF(E803="Cold",1,0)</f>
        <v>0</v>
      </c>
      <c r="K803" s="3">
        <f>IF(E803="Hot",1,0)</f>
        <v>0</v>
      </c>
      <c r="L803" s="3">
        <v>1922</v>
      </c>
      <c r="M803" s="3">
        <v>44</v>
      </c>
      <c r="N803" s="4">
        <v>45197</v>
      </c>
      <c r="O803" s="10">
        <v>379093.08100000001</v>
      </c>
    </row>
    <row r="804" spans="1:15" x14ac:dyDescent="0.3">
      <c r="A804" s="2">
        <v>802</v>
      </c>
      <c r="B804" s="3" t="s">
        <v>72</v>
      </c>
      <c r="C804" s="3" t="s">
        <v>96</v>
      </c>
      <c r="D804" s="3" t="s">
        <v>18</v>
      </c>
      <c r="E804" s="3" t="s">
        <v>23</v>
      </c>
      <c r="F804" s="3">
        <f t="shared" si="12"/>
        <v>1</v>
      </c>
      <c r="G804" s="3">
        <v>1340</v>
      </c>
      <c r="H804" s="3">
        <v>3</v>
      </c>
      <c r="I804" s="3">
        <v>89067</v>
      </c>
      <c r="J804" s="3">
        <f>IF(E804="Cold",1,0)</f>
        <v>0</v>
      </c>
      <c r="K804" s="3">
        <f>IF(E804="Hot",1,0)</f>
        <v>0</v>
      </c>
      <c r="L804" s="3">
        <v>1451</v>
      </c>
      <c r="M804" s="3">
        <v>72</v>
      </c>
      <c r="N804" s="4">
        <v>45032</v>
      </c>
      <c r="O804" s="10">
        <v>361083.88549999997</v>
      </c>
    </row>
    <row r="805" spans="1:15" x14ac:dyDescent="0.3">
      <c r="A805" s="2">
        <v>803</v>
      </c>
      <c r="B805" s="3" t="s">
        <v>19</v>
      </c>
      <c r="C805" s="3" t="s">
        <v>216</v>
      </c>
      <c r="D805" s="3" t="s">
        <v>14</v>
      </c>
      <c r="E805" s="3" t="s">
        <v>23</v>
      </c>
      <c r="F805" s="3">
        <f t="shared" si="12"/>
        <v>0</v>
      </c>
      <c r="G805" s="3">
        <v>3523</v>
      </c>
      <c r="H805" s="3">
        <v>7</v>
      </c>
      <c r="I805" s="3">
        <v>85391</v>
      </c>
      <c r="J805" s="3">
        <f>IF(E805="Cold",1,0)</f>
        <v>0</v>
      </c>
      <c r="K805" s="3">
        <f>IF(E805="Hot",1,0)</f>
        <v>0</v>
      </c>
      <c r="L805" s="3">
        <v>1180</v>
      </c>
      <c r="M805" s="3">
        <v>84</v>
      </c>
      <c r="N805" s="4">
        <v>44623</v>
      </c>
      <c r="O805" s="10">
        <v>313922.26750000002</v>
      </c>
    </row>
    <row r="806" spans="1:15" x14ac:dyDescent="0.3">
      <c r="A806" s="2">
        <v>804</v>
      </c>
      <c r="B806" s="3" t="s">
        <v>40</v>
      </c>
      <c r="C806" s="3" t="s">
        <v>226</v>
      </c>
      <c r="D806" s="3" t="s">
        <v>14</v>
      </c>
      <c r="E806" s="3" t="s">
        <v>15</v>
      </c>
      <c r="F806" s="3">
        <f t="shared" si="12"/>
        <v>0</v>
      </c>
      <c r="G806" s="3">
        <v>20358</v>
      </c>
      <c r="H806" s="3">
        <v>6</v>
      </c>
      <c r="I806" s="3">
        <v>56699</v>
      </c>
      <c r="J806" s="3">
        <f>IF(E806="Cold",1,0)</f>
        <v>1</v>
      </c>
      <c r="K806" s="3">
        <f>IF(E806="Hot",1,0)</f>
        <v>0</v>
      </c>
      <c r="L806" s="3">
        <v>2236</v>
      </c>
      <c r="M806" s="3">
        <v>87</v>
      </c>
      <c r="N806" s="4">
        <v>44692</v>
      </c>
      <c r="O806" s="10">
        <v>344728.0588</v>
      </c>
    </row>
    <row r="807" spans="1:15" x14ac:dyDescent="0.3">
      <c r="A807" s="2">
        <v>805</v>
      </c>
      <c r="B807" s="3" t="s">
        <v>12</v>
      </c>
      <c r="C807" s="3" t="s">
        <v>13</v>
      </c>
      <c r="D807" s="3" t="s">
        <v>14</v>
      </c>
      <c r="E807" s="3" t="s">
        <v>15</v>
      </c>
      <c r="F807" s="3">
        <f t="shared" si="12"/>
        <v>0</v>
      </c>
      <c r="G807" s="3">
        <v>6789</v>
      </c>
      <c r="H807" s="3">
        <v>2</v>
      </c>
      <c r="I807" s="3">
        <v>83246</v>
      </c>
      <c r="J807" s="3">
        <f>IF(E807="Cold",1,0)</f>
        <v>1</v>
      </c>
      <c r="K807" s="3">
        <f>IF(E807="Hot",1,0)</f>
        <v>0</v>
      </c>
      <c r="L807" s="3">
        <v>1294</v>
      </c>
      <c r="M807" s="3">
        <v>98</v>
      </c>
      <c r="N807" s="4">
        <v>45385</v>
      </c>
      <c r="O807" s="10">
        <v>304477.35259999998</v>
      </c>
    </row>
    <row r="808" spans="1:15" x14ac:dyDescent="0.3">
      <c r="A808" s="2">
        <v>806</v>
      </c>
      <c r="B808" s="3" t="s">
        <v>122</v>
      </c>
      <c r="C808" s="3" t="s">
        <v>137</v>
      </c>
      <c r="D808" s="3" t="s">
        <v>14</v>
      </c>
      <c r="E808" s="3" t="s">
        <v>23</v>
      </c>
      <c r="F808" s="3">
        <f t="shared" si="12"/>
        <v>0</v>
      </c>
      <c r="G808" s="3">
        <v>23776</v>
      </c>
      <c r="H808" s="3">
        <v>6</v>
      </c>
      <c r="I808" s="3">
        <v>93549</v>
      </c>
      <c r="J808" s="3">
        <f>IF(E808="Cold",1,0)</f>
        <v>0</v>
      </c>
      <c r="K808" s="3">
        <f>IF(E808="Hot",1,0)</f>
        <v>0</v>
      </c>
      <c r="L808" s="3">
        <v>1353</v>
      </c>
      <c r="M808" s="3">
        <v>25</v>
      </c>
      <c r="N808" s="4">
        <v>45009</v>
      </c>
      <c r="O808" s="10">
        <v>314700.92139999999</v>
      </c>
    </row>
    <row r="809" spans="1:15" x14ac:dyDescent="0.3">
      <c r="A809" s="2">
        <v>807</v>
      </c>
      <c r="B809" s="3" t="s">
        <v>26</v>
      </c>
      <c r="C809" s="3" t="s">
        <v>67</v>
      </c>
      <c r="D809" s="3" t="s">
        <v>18</v>
      </c>
      <c r="E809" s="3" t="s">
        <v>15</v>
      </c>
      <c r="F809" s="3">
        <f t="shared" si="12"/>
        <v>1</v>
      </c>
      <c r="G809" s="3">
        <v>26922</v>
      </c>
      <c r="H809" s="3">
        <v>8</v>
      </c>
      <c r="I809" s="3">
        <v>88802</v>
      </c>
      <c r="J809" s="3">
        <f>IF(E809="Cold",1,0)</f>
        <v>1</v>
      </c>
      <c r="K809" s="3">
        <f>IF(E809="Hot",1,0)</f>
        <v>0</v>
      </c>
      <c r="L809" s="3">
        <v>2293</v>
      </c>
      <c r="M809" s="3">
        <v>39</v>
      </c>
      <c r="N809" s="4">
        <v>44129</v>
      </c>
      <c r="O809" s="10">
        <v>382954.07069999998</v>
      </c>
    </row>
    <row r="810" spans="1:15" x14ac:dyDescent="0.3">
      <c r="A810" s="2">
        <v>808</v>
      </c>
      <c r="B810" s="3" t="s">
        <v>40</v>
      </c>
      <c r="C810" s="3" t="s">
        <v>41</v>
      </c>
      <c r="D810" s="3" t="s">
        <v>18</v>
      </c>
      <c r="E810" s="3" t="s">
        <v>15</v>
      </c>
      <c r="F810" s="3">
        <f t="shared" si="12"/>
        <v>1</v>
      </c>
      <c r="G810" s="3">
        <v>20633</v>
      </c>
      <c r="H810" s="3">
        <v>2</v>
      </c>
      <c r="I810" s="3">
        <v>50404</v>
      </c>
      <c r="J810" s="3">
        <f>IF(E810="Cold",1,0)</f>
        <v>1</v>
      </c>
      <c r="K810" s="3">
        <f>IF(E810="Hot",1,0)</f>
        <v>0</v>
      </c>
      <c r="L810" s="3">
        <v>1339</v>
      </c>
      <c r="M810" s="3">
        <v>45</v>
      </c>
      <c r="N810" s="4">
        <v>45035</v>
      </c>
      <c r="O810" s="10">
        <v>343953.71870000003</v>
      </c>
    </row>
    <row r="811" spans="1:15" x14ac:dyDescent="0.3">
      <c r="A811" s="2">
        <v>809</v>
      </c>
      <c r="B811" s="3" t="s">
        <v>72</v>
      </c>
      <c r="C811" s="3" t="s">
        <v>167</v>
      </c>
      <c r="D811" s="3" t="s">
        <v>14</v>
      </c>
      <c r="E811" s="3" t="s">
        <v>23</v>
      </c>
      <c r="F811" s="3">
        <f t="shared" si="12"/>
        <v>0</v>
      </c>
      <c r="G811" s="3">
        <v>5948</v>
      </c>
      <c r="H811" s="3">
        <v>3</v>
      </c>
      <c r="I811" s="3">
        <v>60821</v>
      </c>
      <c r="J811" s="3">
        <f>IF(E811="Cold",1,0)</f>
        <v>0</v>
      </c>
      <c r="K811" s="3">
        <f>IF(E811="Hot",1,0)</f>
        <v>0</v>
      </c>
      <c r="L811" s="3">
        <v>2812</v>
      </c>
      <c r="M811" s="3">
        <v>41</v>
      </c>
      <c r="N811" s="4">
        <v>44485</v>
      </c>
      <c r="O811" s="10">
        <v>344530.72830000002</v>
      </c>
    </row>
    <row r="812" spans="1:15" x14ac:dyDescent="0.3">
      <c r="A812" s="2">
        <v>810</v>
      </c>
      <c r="B812" s="3" t="s">
        <v>72</v>
      </c>
      <c r="C812" s="3" t="s">
        <v>158</v>
      </c>
      <c r="D812" s="3" t="s">
        <v>18</v>
      </c>
      <c r="E812" s="3" t="s">
        <v>23</v>
      </c>
      <c r="F812" s="3">
        <f t="shared" si="12"/>
        <v>1</v>
      </c>
      <c r="G812" s="3">
        <v>29872</v>
      </c>
      <c r="H812" s="3">
        <v>7</v>
      </c>
      <c r="I812" s="3">
        <v>56246</v>
      </c>
      <c r="J812" s="3">
        <f>IF(E812="Cold",1,0)</f>
        <v>0</v>
      </c>
      <c r="K812" s="3">
        <f>IF(E812="Hot",1,0)</f>
        <v>0</v>
      </c>
      <c r="L812" s="3">
        <v>2462</v>
      </c>
      <c r="M812" s="3">
        <v>63</v>
      </c>
      <c r="N812" s="4">
        <v>45458</v>
      </c>
      <c r="O812" s="10">
        <v>398834.24729999999</v>
      </c>
    </row>
    <row r="813" spans="1:15" x14ac:dyDescent="0.3">
      <c r="A813" s="2">
        <v>811</v>
      </c>
      <c r="B813" s="3" t="s">
        <v>55</v>
      </c>
      <c r="C813" s="3" t="s">
        <v>175</v>
      </c>
      <c r="D813" s="3" t="s">
        <v>18</v>
      </c>
      <c r="E813" s="3" t="s">
        <v>15</v>
      </c>
      <c r="F813" s="3">
        <f t="shared" si="12"/>
        <v>1</v>
      </c>
      <c r="G813" s="3">
        <v>14115</v>
      </c>
      <c r="H813" s="3">
        <v>7</v>
      </c>
      <c r="I813" s="3">
        <v>74834</v>
      </c>
      <c r="J813" s="3">
        <f>IF(E813="Cold",1,0)</f>
        <v>1</v>
      </c>
      <c r="K813" s="3">
        <f>IF(E813="Hot",1,0)</f>
        <v>0</v>
      </c>
      <c r="L813" s="3">
        <v>2421</v>
      </c>
      <c r="M813" s="3">
        <v>56</v>
      </c>
      <c r="N813" s="4">
        <v>44296</v>
      </c>
      <c r="O813" s="10">
        <v>358777.79359999998</v>
      </c>
    </row>
    <row r="814" spans="1:15" x14ac:dyDescent="0.3">
      <c r="A814" s="2">
        <v>812</v>
      </c>
      <c r="B814" s="3" t="s">
        <v>122</v>
      </c>
      <c r="C814" s="3" t="s">
        <v>195</v>
      </c>
      <c r="D814" s="3" t="s">
        <v>14</v>
      </c>
      <c r="E814" s="3" t="s">
        <v>21</v>
      </c>
      <c r="F814" s="3">
        <f t="shared" si="12"/>
        <v>0</v>
      </c>
      <c r="G814" s="3">
        <v>7540</v>
      </c>
      <c r="H814" s="3">
        <v>7</v>
      </c>
      <c r="I814" s="3">
        <v>76021</v>
      </c>
      <c r="J814" s="3">
        <f>IF(E814="Cold",1,0)</f>
        <v>0</v>
      </c>
      <c r="K814" s="3">
        <f>IF(E814="Hot",1,0)</f>
        <v>1</v>
      </c>
      <c r="L814" s="3">
        <v>2002</v>
      </c>
      <c r="M814" s="3">
        <v>58</v>
      </c>
      <c r="N814" s="4">
        <v>44394</v>
      </c>
      <c r="O814" s="10">
        <v>322368.53529999999</v>
      </c>
    </row>
    <row r="815" spans="1:15" x14ac:dyDescent="0.3">
      <c r="A815" s="2">
        <v>813</v>
      </c>
      <c r="B815" s="3" t="s">
        <v>24</v>
      </c>
      <c r="C815" s="3" t="s">
        <v>101</v>
      </c>
      <c r="D815" s="3" t="s">
        <v>18</v>
      </c>
      <c r="E815" s="3" t="s">
        <v>21</v>
      </c>
      <c r="F815" s="3">
        <f t="shared" si="12"/>
        <v>1</v>
      </c>
      <c r="G815" s="3">
        <v>27870</v>
      </c>
      <c r="H815" s="3">
        <v>3</v>
      </c>
      <c r="I815" s="3">
        <v>61846</v>
      </c>
      <c r="J815" s="3">
        <f>IF(E815="Cold",1,0)</f>
        <v>0</v>
      </c>
      <c r="K815" s="3">
        <f>IF(E815="Hot",1,0)</f>
        <v>1</v>
      </c>
      <c r="L815" s="3">
        <v>2633</v>
      </c>
      <c r="M815" s="3">
        <v>34</v>
      </c>
      <c r="N815" s="4">
        <v>44030</v>
      </c>
      <c r="O815" s="10">
        <v>391508.48479999998</v>
      </c>
    </row>
    <row r="816" spans="1:15" x14ac:dyDescent="0.3">
      <c r="A816" s="2">
        <v>814</v>
      </c>
      <c r="B816" s="3" t="s">
        <v>29</v>
      </c>
      <c r="C816" s="3" t="s">
        <v>110</v>
      </c>
      <c r="D816" s="3" t="s">
        <v>14</v>
      </c>
      <c r="E816" s="3" t="s">
        <v>15</v>
      </c>
      <c r="F816" s="3">
        <f t="shared" si="12"/>
        <v>0</v>
      </c>
      <c r="G816" s="3">
        <v>22414</v>
      </c>
      <c r="H816" s="3">
        <v>7</v>
      </c>
      <c r="I816" s="3">
        <v>64470</v>
      </c>
      <c r="J816" s="3">
        <f>IF(E816="Cold",1,0)</f>
        <v>1</v>
      </c>
      <c r="K816" s="3">
        <f>IF(E816="Hot",1,0)</f>
        <v>0</v>
      </c>
      <c r="L816" s="3">
        <v>2249</v>
      </c>
      <c r="M816" s="3">
        <v>99</v>
      </c>
      <c r="N816" s="4">
        <v>44347</v>
      </c>
      <c r="O816" s="10">
        <v>320117.73</v>
      </c>
    </row>
    <row r="817" spans="1:15" x14ac:dyDescent="0.3">
      <c r="A817" s="2">
        <v>815</v>
      </c>
      <c r="B817" s="3" t="s">
        <v>57</v>
      </c>
      <c r="C817" s="3" t="s">
        <v>86</v>
      </c>
      <c r="D817" s="3" t="s">
        <v>18</v>
      </c>
      <c r="E817" s="3" t="s">
        <v>23</v>
      </c>
      <c r="F817" s="3">
        <f t="shared" si="12"/>
        <v>1</v>
      </c>
      <c r="G817" s="3">
        <v>6863</v>
      </c>
      <c r="H817" s="3">
        <v>1</v>
      </c>
      <c r="I817" s="3">
        <v>79339</v>
      </c>
      <c r="J817" s="3">
        <f>IF(E817="Cold",1,0)</f>
        <v>0</v>
      </c>
      <c r="K817" s="3">
        <f>IF(E817="Hot",1,0)</f>
        <v>0</v>
      </c>
      <c r="L817" s="3">
        <v>2532</v>
      </c>
      <c r="M817" s="3">
        <v>61</v>
      </c>
      <c r="N817" s="4">
        <v>44106</v>
      </c>
      <c r="O817" s="10">
        <v>398489.44189999998</v>
      </c>
    </row>
    <row r="818" spans="1:15" x14ac:dyDescent="0.3">
      <c r="A818" s="2">
        <v>816</v>
      </c>
      <c r="B818" s="3" t="s">
        <v>26</v>
      </c>
      <c r="C818" s="3" t="s">
        <v>47</v>
      </c>
      <c r="D818" s="3" t="s">
        <v>18</v>
      </c>
      <c r="E818" s="3" t="s">
        <v>21</v>
      </c>
      <c r="F818" s="3">
        <f t="shared" si="12"/>
        <v>1</v>
      </c>
      <c r="G818" s="3">
        <v>24865</v>
      </c>
      <c r="H818" s="3">
        <v>6</v>
      </c>
      <c r="I818" s="3">
        <v>93445</v>
      </c>
      <c r="J818" s="3">
        <f>IF(E818="Cold",1,0)</f>
        <v>0</v>
      </c>
      <c r="K818" s="3">
        <f>IF(E818="Hot",1,0)</f>
        <v>1</v>
      </c>
      <c r="L818" s="3">
        <v>2873</v>
      </c>
      <c r="M818" s="3">
        <v>67</v>
      </c>
      <c r="N818" s="4">
        <v>45375</v>
      </c>
      <c r="O818" s="10">
        <v>418657.75439999998</v>
      </c>
    </row>
    <row r="819" spans="1:15" x14ac:dyDescent="0.3">
      <c r="A819" s="2">
        <v>817</v>
      </c>
      <c r="B819" s="3" t="s">
        <v>53</v>
      </c>
      <c r="C819" s="3" t="s">
        <v>157</v>
      </c>
      <c r="D819" s="3" t="s">
        <v>18</v>
      </c>
      <c r="E819" s="3" t="s">
        <v>23</v>
      </c>
      <c r="F819" s="3">
        <f t="shared" si="12"/>
        <v>1</v>
      </c>
      <c r="G819" s="3">
        <v>4693</v>
      </c>
      <c r="H819" s="3">
        <v>4</v>
      </c>
      <c r="I819" s="3">
        <v>93928</v>
      </c>
      <c r="J819" s="3">
        <f>IF(E819="Cold",1,0)</f>
        <v>0</v>
      </c>
      <c r="K819" s="3">
        <f>IF(E819="Hot",1,0)</f>
        <v>0</v>
      </c>
      <c r="L819" s="3">
        <v>2219</v>
      </c>
      <c r="M819" s="3">
        <v>41</v>
      </c>
      <c r="N819" s="4">
        <v>45199</v>
      </c>
      <c r="O819" s="10">
        <v>368651.26120000001</v>
      </c>
    </row>
    <row r="820" spans="1:15" x14ac:dyDescent="0.3">
      <c r="A820" s="2">
        <v>818</v>
      </c>
      <c r="B820" s="3" t="s">
        <v>108</v>
      </c>
      <c r="C820" s="3" t="s">
        <v>214</v>
      </c>
      <c r="D820" s="3" t="s">
        <v>18</v>
      </c>
      <c r="E820" s="3" t="s">
        <v>21</v>
      </c>
      <c r="F820" s="3">
        <f t="shared" si="12"/>
        <v>1</v>
      </c>
      <c r="G820" s="3">
        <v>6197</v>
      </c>
      <c r="H820" s="3">
        <v>0</v>
      </c>
      <c r="I820" s="3">
        <v>52356</v>
      </c>
      <c r="J820" s="3">
        <f>IF(E820="Cold",1,0)</f>
        <v>0</v>
      </c>
      <c r="K820" s="3">
        <f>IF(E820="Hot",1,0)</f>
        <v>1</v>
      </c>
      <c r="L820" s="3">
        <v>2955</v>
      </c>
      <c r="M820" s="3">
        <v>52</v>
      </c>
      <c r="N820" s="4">
        <v>43921</v>
      </c>
      <c r="O820" s="10">
        <v>408230.49829999998</v>
      </c>
    </row>
    <row r="821" spans="1:15" x14ac:dyDescent="0.3">
      <c r="A821" s="2">
        <v>819</v>
      </c>
      <c r="B821" s="3" t="s">
        <v>29</v>
      </c>
      <c r="C821" s="3" t="s">
        <v>83</v>
      </c>
      <c r="D821" s="3" t="s">
        <v>18</v>
      </c>
      <c r="E821" s="3" t="s">
        <v>15</v>
      </c>
      <c r="F821" s="3">
        <f t="shared" si="12"/>
        <v>1</v>
      </c>
      <c r="G821" s="3">
        <v>16389</v>
      </c>
      <c r="H821" s="3">
        <v>4</v>
      </c>
      <c r="I821" s="3">
        <v>89128</v>
      </c>
      <c r="J821" s="3">
        <f>IF(E821="Cold",1,0)</f>
        <v>1</v>
      </c>
      <c r="K821" s="3">
        <f>IF(E821="Hot",1,0)</f>
        <v>0</v>
      </c>
      <c r="L821" s="3">
        <v>2298</v>
      </c>
      <c r="M821" s="3">
        <v>46</v>
      </c>
      <c r="N821" s="4">
        <v>45366</v>
      </c>
      <c r="O821" s="10">
        <v>390657.26809999999</v>
      </c>
    </row>
    <row r="822" spans="1:15" x14ac:dyDescent="0.3">
      <c r="A822" s="2">
        <v>820</v>
      </c>
      <c r="B822" s="3" t="s">
        <v>57</v>
      </c>
      <c r="C822" s="3" t="s">
        <v>215</v>
      </c>
      <c r="D822" s="3" t="s">
        <v>14</v>
      </c>
      <c r="E822" s="3" t="s">
        <v>23</v>
      </c>
      <c r="F822" s="3">
        <f t="shared" si="12"/>
        <v>0</v>
      </c>
      <c r="G822" s="3">
        <v>23084</v>
      </c>
      <c r="H822" s="3">
        <v>5</v>
      </c>
      <c r="I822" s="3">
        <v>93967</v>
      </c>
      <c r="J822" s="3">
        <f>IF(E822="Cold",1,0)</f>
        <v>0</v>
      </c>
      <c r="K822" s="3">
        <f>IF(E822="Hot",1,0)</f>
        <v>0</v>
      </c>
      <c r="L822" s="3">
        <v>2859</v>
      </c>
      <c r="M822" s="3">
        <v>75</v>
      </c>
      <c r="N822" s="4">
        <v>45207</v>
      </c>
      <c r="O822" s="10">
        <v>375035.16440000001</v>
      </c>
    </row>
    <row r="823" spans="1:15" x14ac:dyDescent="0.3">
      <c r="A823" s="2">
        <v>821</v>
      </c>
      <c r="B823" s="3" t="s">
        <v>53</v>
      </c>
      <c r="C823" s="3" t="s">
        <v>197</v>
      </c>
      <c r="D823" s="3" t="s">
        <v>14</v>
      </c>
      <c r="E823" s="3" t="s">
        <v>15</v>
      </c>
      <c r="F823" s="3">
        <f t="shared" si="12"/>
        <v>0</v>
      </c>
      <c r="G823" s="3">
        <v>29062</v>
      </c>
      <c r="H823" s="3">
        <v>3</v>
      </c>
      <c r="I823" s="3">
        <v>84680</v>
      </c>
      <c r="J823" s="3">
        <f>IF(E823="Cold",1,0)</f>
        <v>1</v>
      </c>
      <c r="K823" s="3">
        <f>IF(E823="Hot",1,0)</f>
        <v>0</v>
      </c>
      <c r="L823" s="3">
        <v>2778</v>
      </c>
      <c r="M823" s="3">
        <v>75</v>
      </c>
      <c r="N823" s="4">
        <v>44104</v>
      </c>
      <c r="O823" s="10">
        <v>354434.8125</v>
      </c>
    </row>
    <row r="824" spans="1:15" x14ac:dyDescent="0.3">
      <c r="A824" s="2">
        <v>822</v>
      </c>
      <c r="B824" s="3" t="s">
        <v>12</v>
      </c>
      <c r="C824" s="3" t="s">
        <v>50</v>
      </c>
      <c r="D824" s="3" t="s">
        <v>14</v>
      </c>
      <c r="E824" s="3" t="s">
        <v>21</v>
      </c>
      <c r="F824" s="3">
        <f t="shared" si="12"/>
        <v>0</v>
      </c>
      <c r="G824" s="3">
        <v>20288</v>
      </c>
      <c r="H824" s="3">
        <v>6</v>
      </c>
      <c r="I824" s="3">
        <v>99098</v>
      </c>
      <c r="J824" s="3">
        <f>IF(E824="Cold",1,0)</f>
        <v>0</v>
      </c>
      <c r="K824" s="3">
        <f>IF(E824="Hot",1,0)</f>
        <v>1</v>
      </c>
      <c r="L824" s="3">
        <v>1480</v>
      </c>
      <c r="M824" s="3">
        <v>44</v>
      </c>
      <c r="N824" s="4">
        <v>44903</v>
      </c>
      <c r="O824" s="10">
        <v>328399.59590000001</v>
      </c>
    </row>
    <row r="825" spans="1:15" x14ac:dyDescent="0.3">
      <c r="A825" s="2">
        <v>823</v>
      </c>
      <c r="B825" s="3" t="s">
        <v>74</v>
      </c>
      <c r="C825" s="3" t="s">
        <v>113</v>
      </c>
      <c r="D825" s="3" t="s">
        <v>18</v>
      </c>
      <c r="E825" s="3" t="s">
        <v>21</v>
      </c>
      <c r="F825" s="3">
        <f t="shared" si="12"/>
        <v>1</v>
      </c>
      <c r="G825" s="3">
        <v>8108</v>
      </c>
      <c r="H825" s="3">
        <v>9</v>
      </c>
      <c r="I825" s="3">
        <v>75941</v>
      </c>
      <c r="J825" s="3">
        <f>IF(E825="Cold",1,0)</f>
        <v>0</v>
      </c>
      <c r="K825" s="3">
        <f>IF(E825="Hot",1,0)</f>
        <v>1</v>
      </c>
      <c r="L825" s="3">
        <v>1492</v>
      </c>
      <c r="M825" s="3">
        <v>85</v>
      </c>
      <c r="N825" s="4">
        <v>44581</v>
      </c>
      <c r="O825" s="10">
        <v>393719.1042</v>
      </c>
    </row>
    <row r="826" spans="1:15" x14ac:dyDescent="0.3">
      <c r="A826" s="2">
        <v>824</v>
      </c>
      <c r="B826" s="3" t="s">
        <v>26</v>
      </c>
      <c r="C826" s="3" t="s">
        <v>27</v>
      </c>
      <c r="D826" s="3" t="s">
        <v>18</v>
      </c>
      <c r="E826" s="3" t="s">
        <v>21</v>
      </c>
      <c r="F826" s="3">
        <f t="shared" si="12"/>
        <v>1</v>
      </c>
      <c r="G826" s="3">
        <v>11275</v>
      </c>
      <c r="H826" s="3">
        <v>1</v>
      </c>
      <c r="I826" s="3">
        <v>79569</v>
      </c>
      <c r="J826" s="3">
        <f>IF(E826="Cold",1,0)</f>
        <v>0</v>
      </c>
      <c r="K826" s="3">
        <f>IF(E826="Hot",1,0)</f>
        <v>1</v>
      </c>
      <c r="L826" s="3">
        <v>2303</v>
      </c>
      <c r="M826" s="3">
        <v>63</v>
      </c>
      <c r="N826" s="4">
        <v>44120</v>
      </c>
      <c r="O826" s="10">
        <v>375679.48719999997</v>
      </c>
    </row>
    <row r="827" spans="1:15" x14ac:dyDescent="0.3">
      <c r="A827" s="2">
        <v>825</v>
      </c>
      <c r="B827" s="3" t="s">
        <v>29</v>
      </c>
      <c r="C827" s="3" t="s">
        <v>110</v>
      </c>
      <c r="D827" s="3" t="s">
        <v>18</v>
      </c>
      <c r="E827" s="3" t="s">
        <v>21</v>
      </c>
      <c r="F827" s="3">
        <f t="shared" si="12"/>
        <v>1</v>
      </c>
      <c r="G827" s="3">
        <v>1840</v>
      </c>
      <c r="H827" s="3">
        <v>8</v>
      </c>
      <c r="I827" s="3">
        <v>74067</v>
      </c>
      <c r="J827" s="3">
        <f>IF(E827="Cold",1,0)</f>
        <v>0</v>
      </c>
      <c r="K827" s="3">
        <f>IF(E827="Hot",1,0)</f>
        <v>1</v>
      </c>
      <c r="L827" s="3">
        <v>1108</v>
      </c>
      <c r="M827" s="3">
        <v>58</v>
      </c>
      <c r="N827" s="4">
        <v>44440</v>
      </c>
      <c r="O827" s="10">
        <v>346599.04840000003</v>
      </c>
    </row>
    <row r="828" spans="1:15" x14ac:dyDescent="0.3">
      <c r="A828" s="2">
        <v>826</v>
      </c>
      <c r="B828" s="3" t="s">
        <v>53</v>
      </c>
      <c r="C828" s="3" t="s">
        <v>131</v>
      </c>
      <c r="D828" s="3" t="s">
        <v>18</v>
      </c>
      <c r="E828" s="3" t="s">
        <v>23</v>
      </c>
      <c r="F828" s="3">
        <f t="shared" si="12"/>
        <v>1</v>
      </c>
      <c r="G828" s="3">
        <v>22464</v>
      </c>
      <c r="H828" s="3">
        <v>7</v>
      </c>
      <c r="I828" s="3">
        <v>84328</v>
      </c>
      <c r="J828" s="3">
        <f>IF(E828="Cold",1,0)</f>
        <v>0</v>
      </c>
      <c r="K828" s="3">
        <f>IF(E828="Hot",1,0)</f>
        <v>0</v>
      </c>
      <c r="L828" s="3">
        <v>1312</v>
      </c>
      <c r="M828" s="3">
        <v>81</v>
      </c>
      <c r="N828" s="4">
        <v>45366</v>
      </c>
      <c r="O828" s="10">
        <v>398118.35269999999</v>
      </c>
    </row>
    <row r="829" spans="1:15" x14ac:dyDescent="0.3">
      <c r="A829" s="2">
        <v>827</v>
      </c>
      <c r="B829" s="3" t="s">
        <v>44</v>
      </c>
      <c r="C829" s="3" t="s">
        <v>111</v>
      </c>
      <c r="D829" s="3" t="s">
        <v>18</v>
      </c>
      <c r="E829" s="3" t="s">
        <v>23</v>
      </c>
      <c r="F829" s="3">
        <f t="shared" si="12"/>
        <v>1</v>
      </c>
      <c r="G829" s="3">
        <v>8163</v>
      </c>
      <c r="H829" s="3">
        <v>2</v>
      </c>
      <c r="I829" s="3">
        <v>92737</v>
      </c>
      <c r="J829" s="3">
        <f>IF(E829="Cold",1,0)</f>
        <v>0</v>
      </c>
      <c r="K829" s="3">
        <f>IF(E829="Hot",1,0)</f>
        <v>0</v>
      </c>
      <c r="L829" s="3">
        <v>2107</v>
      </c>
      <c r="M829" s="3">
        <v>34</v>
      </c>
      <c r="N829" s="4">
        <v>44965</v>
      </c>
      <c r="O829" s="10">
        <v>382112.91350000002</v>
      </c>
    </row>
    <row r="830" spans="1:15" x14ac:dyDescent="0.3">
      <c r="A830" s="2">
        <v>828</v>
      </c>
      <c r="B830" s="3" t="s">
        <v>74</v>
      </c>
      <c r="C830" s="3" t="s">
        <v>221</v>
      </c>
      <c r="D830" s="3" t="s">
        <v>14</v>
      </c>
      <c r="E830" s="3" t="s">
        <v>21</v>
      </c>
      <c r="F830" s="3">
        <f t="shared" si="12"/>
        <v>0</v>
      </c>
      <c r="G830" s="3">
        <v>6719</v>
      </c>
      <c r="H830" s="3">
        <v>4</v>
      </c>
      <c r="I830" s="3">
        <v>50380</v>
      </c>
      <c r="J830" s="3">
        <f>IF(E830="Cold",1,0)</f>
        <v>0</v>
      </c>
      <c r="K830" s="3">
        <f>IF(E830="Hot",1,0)</f>
        <v>1</v>
      </c>
      <c r="L830" s="3">
        <v>2258</v>
      </c>
      <c r="M830" s="3">
        <v>38</v>
      </c>
      <c r="N830" s="4">
        <v>44072</v>
      </c>
      <c r="O830" s="10">
        <v>347994.95569999999</v>
      </c>
    </row>
    <row r="831" spans="1:15" x14ac:dyDescent="0.3">
      <c r="A831" s="2">
        <v>829</v>
      </c>
      <c r="B831" s="3" t="s">
        <v>40</v>
      </c>
      <c r="C831" s="3" t="s">
        <v>182</v>
      </c>
      <c r="D831" s="3" t="s">
        <v>18</v>
      </c>
      <c r="E831" s="3" t="s">
        <v>21</v>
      </c>
      <c r="F831" s="3">
        <f t="shared" si="12"/>
        <v>1</v>
      </c>
      <c r="G831" s="3">
        <v>12784</v>
      </c>
      <c r="H831" s="3">
        <v>0</v>
      </c>
      <c r="I831" s="3">
        <v>51803</v>
      </c>
      <c r="J831" s="3">
        <f>IF(E831="Cold",1,0)</f>
        <v>0</v>
      </c>
      <c r="K831" s="3">
        <f>IF(E831="Hot",1,0)</f>
        <v>1</v>
      </c>
      <c r="L831" s="3">
        <v>1526</v>
      </c>
      <c r="M831" s="3">
        <v>81</v>
      </c>
      <c r="N831" s="4">
        <v>44758</v>
      </c>
      <c r="O831" s="10">
        <v>354875.84989999997</v>
      </c>
    </row>
    <row r="832" spans="1:15" x14ac:dyDescent="0.3">
      <c r="A832" s="2">
        <v>830</v>
      </c>
      <c r="B832" s="3" t="s">
        <v>12</v>
      </c>
      <c r="C832" s="3" t="s">
        <v>47</v>
      </c>
      <c r="D832" s="3" t="s">
        <v>18</v>
      </c>
      <c r="E832" s="3" t="s">
        <v>23</v>
      </c>
      <c r="F832" s="3">
        <f t="shared" si="12"/>
        <v>1</v>
      </c>
      <c r="G832" s="3">
        <v>5332</v>
      </c>
      <c r="H832" s="3">
        <v>2</v>
      </c>
      <c r="I832" s="3">
        <v>89586</v>
      </c>
      <c r="J832" s="3">
        <f>IF(E832="Cold",1,0)</f>
        <v>0</v>
      </c>
      <c r="K832" s="3">
        <f>IF(E832="Hot",1,0)</f>
        <v>0</v>
      </c>
      <c r="L832" s="3">
        <v>2894</v>
      </c>
      <c r="M832" s="3">
        <v>27</v>
      </c>
      <c r="N832" s="4">
        <v>44207</v>
      </c>
      <c r="O832" s="10">
        <v>380794.53450000001</v>
      </c>
    </row>
    <row r="833" spans="1:15" x14ac:dyDescent="0.3">
      <c r="A833" s="2">
        <v>831</v>
      </c>
      <c r="B833" s="3" t="s">
        <v>24</v>
      </c>
      <c r="C833" s="3" t="s">
        <v>100</v>
      </c>
      <c r="D833" s="3" t="s">
        <v>18</v>
      </c>
      <c r="E833" s="3" t="s">
        <v>23</v>
      </c>
      <c r="F833" s="3">
        <f t="shared" si="12"/>
        <v>1</v>
      </c>
      <c r="G833" s="3">
        <v>841</v>
      </c>
      <c r="H833" s="3">
        <v>2</v>
      </c>
      <c r="I833" s="3">
        <v>56928</v>
      </c>
      <c r="J833" s="3">
        <f>IF(E833="Cold",1,0)</f>
        <v>0</v>
      </c>
      <c r="K833" s="3">
        <f>IF(E833="Hot",1,0)</f>
        <v>0</v>
      </c>
      <c r="L833" s="3">
        <v>1107</v>
      </c>
      <c r="M833" s="3">
        <v>69</v>
      </c>
      <c r="N833" s="4">
        <v>45468</v>
      </c>
      <c r="O833" s="10">
        <v>352033.30719999998</v>
      </c>
    </row>
    <row r="834" spans="1:15" x14ac:dyDescent="0.3">
      <c r="A834" s="2">
        <v>832</v>
      </c>
      <c r="B834" s="3" t="s">
        <v>31</v>
      </c>
      <c r="C834" s="3" t="s">
        <v>63</v>
      </c>
      <c r="D834" s="3" t="s">
        <v>14</v>
      </c>
      <c r="E834" s="3" t="s">
        <v>21</v>
      </c>
      <c r="F834" s="3">
        <f t="shared" si="12"/>
        <v>0</v>
      </c>
      <c r="G834" s="3">
        <v>13390</v>
      </c>
      <c r="H834" s="3">
        <v>0</v>
      </c>
      <c r="I834" s="3">
        <v>63655</v>
      </c>
      <c r="J834" s="3">
        <f>IF(E834="Cold",1,0)</f>
        <v>0</v>
      </c>
      <c r="K834" s="3">
        <f>IF(E834="Hot",1,0)</f>
        <v>1</v>
      </c>
      <c r="L834" s="3">
        <v>1732</v>
      </c>
      <c r="M834" s="3">
        <v>96</v>
      </c>
      <c r="N834" s="4">
        <v>43966</v>
      </c>
      <c r="O834" s="10">
        <v>324419.84279999998</v>
      </c>
    </row>
    <row r="835" spans="1:15" x14ac:dyDescent="0.3">
      <c r="A835" s="2">
        <v>833</v>
      </c>
      <c r="B835" s="3" t="s">
        <v>31</v>
      </c>
      <c r="C835" s="3" t="s">
        <v>172</v>
      </c>
      <c r="D835" s="3" t="s">
        <v>18</v>
      </c>
      <c r="E835" s="3" t="s">
        <v>15</v>
      </c>
      <c r="F835" s="3">
        <f t="shared" ref="F835:F898" si="13">IF(D835=$F$1,1,0)</f>
        <v>1</v>
      </c>
      <c r="G835" s="3">
        <v>13142</v>
      </c>
      <c r="H835" s="3">
        <v>9</v>
      </c>
      <c r="I835" s="3">
        <v>56130</v>
      </c>
      <c r="J835" s="3">
        <f>IF(E835="Cold",1,0)</f>
        <v>1</v>
      </c>
      <c r="K835" s="3">
        <f>IF(E835="Hot",1,0)</f>
        <v>0</v>
      </c>
      <c r="L835" s="3">
        <v>1078</v>
      </c>
      <c r="M835" s="3">
        <v>54</v>
      </c>
      <c r="N835" s="4">
        <v>45108</v>
      </c>
      <c r="O835" s="10">
        <v>324108.3702</v>
      </c>
    </row>
    <row r="836" spans="1:15" x14ac:dyDescent="0.3">
      <c r="A836" s="2">
        <v>834</v>
      </c>
      <c r="B836" s="3" t="s">
        <v>31</v>
      </c>
      <c r="C836" s="3" t="s">
        <v>125</v>
      </c>
      <c r="D836" s="3" t="s">
        <v>14</v>
      </c>
      <c r="E836" s="3" t="s">
        <v>15</v>
      </c>
      <c r="F836" s="3">
        <f t="shared" si="13"/>
        <v>0</v>
      </c>
      <c r="G836" s="3">
        <v>2488</v>
      </c>
      <c r="H836" s="3">
        <v>6</v>
      </c>
      <c r="I836" s="3">
        <v>54520</v>
      </c>
      <c r="J836" s="3">
        <f>IF(E836="Cold",1,0)</f>
        <v>1</v>
      </c>
      <c r="K836" s="3">
        <f>IF(E836="Hot",1,0)</f>
        <v>0</v>
      </c>
      <c r="L836" s="3">
        <v>2537</v>
      </c>
      <c r="M836" s="3">
        <v>60</v>
      </c>
      <c r="N836" s="4">
        <v>45191</v>
      </c>
      <c r="O836" s="10">
        <v>320355.59779999999</v>
      </c>
    </row>
    <row r="837" spans="1:15" x14ac:dyDescent="0.3">
      <c r="A837" s="2">
        <v>835</v>
      </c>
      <c r="B837" s="3" t="s">
        <v>24</v>
      </c>
      <c r="C837" s="3" t="s">
        <v>97</v>
      </c>
      <c r="D837" s="3" t="s">
        <v>18</v>
      </c>
      <c r="E837" s="3" t="s">
        <v>15</v>
      </c>
      <c r="F837" s="3">
        <f t="shared" si="13"/>
        <v>1</v>
      </c>
      <c r="G837" s="3">
        <v>19745</v>
      </c>
      <c r="H837" s="3">
        <v>4</v>
      </c>
      <c r="I837" s="3">
        <v>63887</v>
      </c>
      <c r="J837" s="3">
        <f>IF(E837="Cold",1,0)</f>
        <v>1</v>
      </c>
      <c r="K837" s="3">
        <f>IF(E837="Hot",1,0)</f>
        <v>0</v>
      </c>
      <c r="L837" s="3">
        <v>2064</v>
      </c>
      <c r="M837" s="3">
        <v>27</v>
      </c>
      <c r="N837" s="4">
        <v>45489</v>
      </c>
      <c r="O837" s="10">
        <v>369788.39549999998</v>
      </c>
    </row>
    <row r="838" spans="1:15" x14ac:dyDescent="0.3">
      <c r="A838" s="2">
        <v>836</v>
      </c>
      <c r="B838" s="3" t="s">
        <v>33</v>
      </c>
      <c r="C838" s="3" t="s">
        <v>198</v>
      </c>
      <c r="D838" s="3" t="s">
        <v>18</v>
      </c>
      <c r="E838" s="3" t="s">
        <v>23</v>
      </c>
      <c r="F838" s="3">
        <f t="shared" si="13"/>
        <v>1</v>
      </c>
      <c r="G838" s="3">
        <v>28992</v>
      </c>
      <c r="H838" s="3">
        <v>0</v>
      </c>
      <c r="I838" s="3">
        <v>59271</v>
      </c>
      <c r="J838" s="3">
        <f>IF(E838="Cold",1,0)</f>
        <v>0</v>
      </c>
      <c r="K838" s="3">
        <f>IF(E838="Hot",1,0)</f>
        <v>0</v>
      </c>
      <c r="L838" s="3">
        <v>2658</v>
      </c>
      <c r="M838" s="3">
        <v>29</v>
      </c>
      <c r="N838" s="4">
        <v>44533</v>
      </c>
      <c r="O838" s="10">
        <v>399023.75459999999</v>
      </c>
    </row>
    <row r="839" spans="1:15" x14ac:dyDescent="0.3">
      <c r="A839" s="2">
        <v>837</v>
      </c>
      <c r="B839" s="3" t="s">
        <v>57</v>
      </c>
      <c r="C839" s="3" t="s">
        <v>116</v>
      </c>
      <c r="D839" s="3" t="s">
        <v>18</v>
      </c>
      <c r="E839" s="3" t="s">
        <v>15</v>
      </c>
      <c r="F839" s="3">
        <f t="shared" si="13"/>
        <v>1</v>
      </c>
      <c r="G839" s="3">
        <v>16098</v>
      </c>
      <c r="H839" s="3">
        <v>9</v>
      </c>
      <c r="I839" s="3">
        <v>95790</v>
      </c>
      <c r="J839" s="3">
        <f>IF(E839="Cold",1,0)</f>
        <v>1</v>
      </c>
      <c r="K839" s="3">
        <f>IF(E839="Hot",1,0)</f>
        <v>0</v>
      </c>
      <c r="L839" s="3">
        <v>2813</v>
      </c>
      <c r="M839" s="3">
        <v>77</v>
      </c>
      <c r="N839" s="4">
        <v>45430</v>
      </c>
      <c r="O839" s="10">
        <v>387028.04979999998</v>
      </c>
    </row>
    <row r="840" spans="1:15" x14ac:dyDescent="0.3">
      <c r="A840" s="2">
        <v>838</v>
      </c>
      <c r="B840" s="3" t="s">
        <v>16</v>
      </c>
      <c r="C840" s="3" t="s">
        <v>171</v>
      </c>
      <c r="D840" s="3" t="s">
        <v>18</v>
      </c>
      <c r="E840" s="3" t="s">
        <v>15</v>
      </c>
      <c r="F840" s="3">
        <f t="shared" si="13"/>
        <v>1</v>
      </c>
      <c r="G840" s="3">
        <v>11107</v>
      </c>
      <c r="H840" s="3">
        <v>7</v>
      </c>
      <c r="I840" s="3">
        <v>63379</v>
      </c>
      <c r="J840" s="3">
        <f>IF(E840="Cold",1,0)</f>
        <v>1</v>
      </c>
      <c r="K840" s="3">
        <f>IF(E840="Hot",1,0)</f>
        <v>0</v>
      </c>
      <c r="L840" s="3">
        <v>2746</v>
      </c>
      <c r="M840" s="3">
        <v>22</v>
      </c>
      <c r="N840" s="4">
        <v>44590</v>
      </c>
      <c r="O840" s="10">
        <v>368180.75270000001</v>
      </c>
    </row>
    <row r="841" spans="1:15" x14ac:dyDescent="0.3">
      <c r="A841" s="2">
        <v>839</v>
      </c>
      <c r="B841" s="3" t="s">
        <v>40</v>
      </c>
      <c r="C841" s="3" t="s">
        <v>226</v>
      </c>
      <c r="D841" s="3" t="s">
        <v>18</v>
      </c>
      <c r="E841" s="3" t="s">
        <v>23</v>
      </c>
      <c r="F841" s="3">
        <f t="shared" si="13"/>
        <v>1</v>
      </c>
      <c r="G841" s="3">
        <v>23473</v>
      </c>
      <c r="H841" s="3">
        <v>5</v>
      </c>
      <c r="I841" s="3">
        <v>93207</v>
      </c>
      <c r="J841" s="3">
        <f>IF(E841="Cold",1,0)</f>
        <v>0</v>
      </c>
      <c r="K841" s="3">
        <f>IF(E841="Hot",1,0)</f>
        <v>0</v>
      </c>
      <c r="L841" s="3">
        <v>1570</v>
      </c>
      <c r="M841" s="3">
        <v>97</v>
      </c>
      <c r="N841" s="4">
        <v>44533</v>
      </c>
      <c r="O841" s="10">
        <v>394698.3676</v>
      </c>
    </row>
    <row r="842" spans="1:15" x14ac:dyDescent="0.3">
      <c r="A842" s="2">
        <v>840</v>
      </c>
      <c r="B842" s="3" t="s">
        <v>74</v>
      </c>
      <c r="C842" s="3" t="s">
        <v>120</v>
      </c>
      <c r="D842" s="3" t="s">
        <v>18</v>
      </c>
      <c r="E842" s="3" t="s">
        <v>15</v>
      </c>
      <c r="F842" s="3">
        <f t="shared" si="13"/>
        <v>1</v>
      </c>
      <c r="G842" s="3">
        <v>9269</v>
      </c>
      <c r="H842" s="3">
        <v>3</v>
      </c>
      <c r="I842" s="3">
        <v>94294</v>
      </c>
      <c r="J842" s="3">
        <f>IF(E842="Cold",1,0)</f>
        <v>1</v>
      </c>
      <c r="K842" s="3">
        <f>IF(E842="Hot",1,0)</f>
        <v>0</v>
      </c>
      <c r="L842" s="3">
        <v>2683</v>
      </c>
      <c r="M842" s="3">
        <v>39</v>
      </c>
      <c r="N842" s="4">
        <v>44703</v>
      </c>
      <c r="O842" s="10">
        <v>365745.70390000002</v>
      </c>
    </row>
    <row r="843" spans="1:15" x14ac:dyDescent="0.3">
      <c r="A843" s="2">
        <v>841</v>
      </c>
      <c r="B843" s="3" t="s">
        <v>26</v>
      </c>
      <c r="C843" s="3" t="s">
        <v>64</v>
      </c>
      <c r="D843" s="3" t="s">
        <v>18</v>
      </c>
      <c r="E843" s="3" t="s">
        <v>15</v>
      </c>
      <c r="F843" s="3">
        <f t="shared" si="13"/>
        <v>1</v>
      </c>
      <c r="G843" s="3">
        <v>9277</v>
      </c>
      <c r="H843" s="3">
        <v>9</v>
      </c>
      <c r="I843" s="3">
        <v>54295</v>
      </c>
      <c r="J843" s="3">
        <f>IF(E843="Cold",1,0)</f>
        <v>1</v>
      </c>
      <c r="K843" s="3">
        <f>IF(E843="Hot",1,0)</f>
        <v>0</v>
      </c>
      <c r="L843" s="3">
        <v>1620</v>
      </c>
      <c r="M843" s="3">
        <v>37</v>
      </c>
      <c r="N843" s="4">
        <v>44217</v>
      </c>
      <c r="O843" s="10">
        <v>311339.35710000002</v>
      </c>
    </row>
    <row r="844" spans="1:15" x14ac:dyDescent="0.3">
      <c r="A844" s="2">
        <v>842</v>
      </c>
      <c r="B844" s="3" t="s">
        <v>31</v>
      </c>
      <c r="C844" s="3" t="s">
        <v>81</v>
      </c>
      <c r="D844" s="3" t="s">
        <v>14</v>
      </c>
      <c r="E844" s="3" t="s">
        <v>23</v>
      </c>
      <c r="F844" s="3">
        <f t="shared" si="13"/>
        <v>0</v>
      </c>
      <c r="G844" s="3">
        <v>21682</v>
      </c>
      <c r="H844" s="3">
        <v>9</v>
      </c>
      <c r="I844" s="3">
        <v>64702</v>
      </c>
      <c r="J844" s="3">
        <f>IF(E844="Cold",1,0)</f>
        <v>0</v>
      </c>
      <c r="K844" s="3">
        <f>IF(E844="Hot",1,0)</f>
        <v>0</v>
      </c>
      <c r="L844" s="3">
        <v>1574</v>
      </c>
      <c r="M844" s="3">
        <v>74</v>
      </c>
      <c r="N844" s="4">
        <v>44072</v>
      </c>
      <c r="O844" s="10">
        <v>335981.29109999997</v>
      </c>
    </row>
    <row r="845" spans="1:15" x14ac:dyDescent="0.3">
      <c r="A845" s="2">
        <v>843</v>
      </c>
      <c r="B845" s="3" t="s">
        <v>44</v>
      </c>
      <c r="C845" s="3" t="s">
        <v>65</v>
      </c>
      <c r="D845" s="3" t="s">
        <v>14</v>
      </c>
      <c r="E845" s="3" t="s">
        <v>23</v>
      </c>
      <c r="F845" s="3">
        <f t="shared" si="13"/>
        <v>0</v>
      </c>
      <c r="G845" s="3">
        <v>29207</v>
      </c>
      <c r="H845" s="3">
        <v>4</v>
      </c>
      <c r="I845" s="3">
        <v>86545</v>
      </c>
      <c r="J845" s="3">
        <f>IF(E845="Cold",1,0)</f>
        <v>0</v>
      </c>
      <c r="K845" s="3">
        <f>IF(E845="Hot",1,0)</f>
        <v>0</v>
      </c>
      <c r="L845" s="3">
        <v>2448</v>
      </c>
      <c r="M845" s="3">
        <v>35</v>
      </c>
      <c r="N845" s="4">
        <v>44968</v>
      </c>
      <c r="O845" s="10">
        <v>342854.36060000001</v>
      </c>
    </row>
    <row r="846" spans="1:15" x14ac:dyDescent="0.3">
      <c r="A846" s="2">
        <v>844</v>
      </c>
      <c r="B846" s="3" t="s">
        <v>16</v>
      </c>
      <c r="C846" s="3" t="s">
        <v>183</v>
      </c>
      <c r="D846" s="3" t="s">
        <v>14</v>
      </c>
      <c r="E846" s="3" t="s">
        <v>21</v>
      </c>
      <c r="F846" s="3">
        <f t="shared" si="13"/>
        <v>0</v>
      </c>
      <c r="G846" s="3">
        <v>13962</v>
      </c>
      <c r="H846" s="3">
        <v>4</v>
      </c>
      <c r="I846" s="3">
        <v>77213</v>
      </c>
      <c r="J846" s="3">
        <f>IF(E846="Cold",1,0)</f>
        <v>0</v>
      </c>
      <c r="K846" s="3">
        <f>IF(E846="Hot",1,0)</f>
        <v>1</v>
      </c>
      <c r="L846" s="3">
        <v>1177</v>
      </c>
      <c r="M846" s="3">
        <v>55</v>
      </c>
      <c r="N846" s="4">
        <v>45138</v>
      </c>
      <c r="O846" s="10">
        <v>346201.69030000002</v>
      </c>
    </row>
    <row r="847" spans="1:15" x14ac:dyDescent="0.3">
      <c r="A847" s="2">
        <v>845</v>
      </c>
      <c r="B847" s="3" t="s">
        <v>35</v>
      </c>
      <c r="C847" s="3" t="s">
        <v>119</v>
      </c>
      <c r="D847" s="3" t="s">
        <v>18</v>
      </c>
      <c r="E847" s="3" t="s">
        <v>15</v>
      </c>
      <c r="F847" s="3">
        <f t="shared" si="13"/>
        <v>1</v>
      </c>
      <c r="G847" s="3">
        <v>1423</v>
      </c>
      <c r="H847" s="3">
        <v>4</v>
      </c>
      <c r="I847" s="3">
        <v>63612</v>
      </c>
      <c r="J847" s="3">
        <f>IF(E847="Cold",1,0)</f>
        <v>1</v>
      </c>
      <c r="K847" s="3">
        <f>IF(E847="Hot",1,0)</f>
        <v>0</v>
      </c>
      <c r="L847" s="3">
        <v>2983</v>
      </c>
      <c r="M847" s="3">
        <v>37</v>
      </c>
      <c r="N847" s="4">
        <v>44987</v>
      </c>
      <c r="O847" s="10">
        <v>381775.42009999999</v>
      </c>
    </row>
    <row r="848" spans="1:15" x14ac:dyDescent="0.3">
      <c r="A848" s="2">
        <v>846</v>
      </c>
      <c r="B848" s="3" t="s">
        <v>108</v>
      </c>
      <c r="C848" s="3" t="s">
        <v>109</v>
      </c>
      <c r="D848" s="3" t="s">
        <v>18</v>
      </c>
      <c r="E848" s="3" t="s">
        <v>21</v>
      </c>
      <c r="F848" s="3">
        <f t="shared" si="13"/>
        <v>1</v>
      </c>
      <c r="G848" s="3">
        <v>7270</v>
      </c>
      <c r="H848" s="3">
        <v>5</v>
      </c>
      <c r="I848" s="3">
        <v>78652</v>
      </c>
      <c r="J848" s="3">
        <f>IF(E848="Cold",1,0)</f>
        <v>0</v>
      </c>
      <c r="K848" s="3">
        <f>IF(E848="Hot",1,0)</f>
        <v>1</v>
      </c>
      <c r="L848" s="3">
        <v>2922</v>
      </c>
      <c r="M848" s="3">
        <v>20</v>
      </c>
      <c r="N848" s="4">
        <v>44669</v>
      </c>
      <c r="O848" s="10">
        <v>389786.47279999999</v>
      </c>
    </row>
    <row r="849" spans="1:15" x14ac:dyDescent="0.3">
      <c r="A849" s="2">
        <v>847</v>
      </c>
      <c r="B849" s="3" t="s">
        <v>55</v>
      </c>
      <c r="C849" s="3" t="s">
        <v>98</v>
      </c>
      <c r="D849" s="3" t="s">
        <v>14</v>
      </c>
      <c r="E849" s="3" t="s">
        <v>15</v>
      </c>
      <c r="F849" s="3">
        <f t="shared" si="13"/>
        <v>0</v>
      </c>
      <c r="G849" s="3">
        <v>14155</v>
      </c>
      <c r="H849" s="3">
        <v>7</v>
      </c>
      <c r="I849" s="3">
        <v>86862</v>
      </c>
      <c r="J849" s="3">
        <f>IF(E849="Cold",1,0)</f>
        <v>1</v>
      </c>
      <c r="K849" s="3">
        <f>IF(E849="Hot",1,0)</f>
        <v>0</v>
      </c>
      <c r="L849" s="3">
        <v>2124</v>
      </c>
      <c r="M849" s="3">
        <v>77</v>
      </c>
      <c r="N849" s="4">
        <v>44462</v>
      </c>
      <c r="O849" s="10">
        <v>317437.34749999997</v>
      </c>
    </row>
    <row r="850" spans="1:15" x14ac:dyDescent="0.3">
      <c r="A850" s="2">
        <v>848</v>
      </c>
      <c r="B850" s="3" t="s">
        <v>72</v>
      </c>
      <c r="C850" s="3" t="s">
        <v>73</v>
      </c>
      <c r="D850" s="3" t="s">
        <v>14</v>
      </c>
      <c r="E850" s="3" t="s">
        <v>21</v>
      </c>
      <c r="F850" s="3">
        <f t="shared" si="13"/>
        <v>0</v>
      </c>
      <c r="G850" s="3">
        <v>10510</v>
      </c>
      <c r="H850" s="3">
        <v>9</v>
      </c>
      <c r="I850" s="3">
        <v>83842</v>
      </c>
      <c r="J850" s="3">
        <f>IF(E850="Cold",1,0)</f>
        <v>0</v>
      </c>
      <c r="K850" s="3">
        <f>IF(E850="Hot",1,0)</f>
        <v>1</v>
      </c>
      <c r="L850" s="3">
        <v>1104</v>
      </c>
      <c r="M850" s="3">
        <v>35</v>
      </c>
      <c r="N850" s="4">
        <v>44024</v>
      </c>
      <c r="O850" s="10">
        <v>288623.8615</v>
      </c>
    </row>
    <row r="851" spans="1:15" x14ac:dyDescent="0.3">
      <c r="A851" s="2">
        <v>849</v>
      </c>
      <c r="B851" s="3" t="s">
        <v>122</v>
      </c>
      <c r="C851" s="3" t="s">
        <v>222</v>
      </c>
      <c r="D851" s="3" t="s">
        <v>18</v>
      </c>
      <c r="E851" s="3" t="s">
        <v>23</v>
      </c>
      <c r="F851" s="3">
        <f t="shared" si="13"/>
        <v>1</v>
      </c>
      <c r="G851" s="3">
        <v>24298</v>
      </c>
      <c r="H851" s="3">
        <v>5</v>
      </c>
      <c r="I851" s="3">
        <v>53755</v>
      </c>
      <c r="J851" s="3">
        <f>IF(E851="Cold",1,0)</f>
        <v>0</v>
      </c>
      <c r="K851" s="3">
        <f>IF(E851="Hot",1,0)</f>
        <v>0</v>
      </c>
      <c r="L851" s="3">
        <v>1488</v>
      </c>
      <c r="M851" s="3">
        <v>71</v>
      </c>
      <c r="N851" s="4">
        <v>44447</v>
      </c>
      <c r="O851" s="10">
        <v>358346.609</v>
      </c>
    </row>
    <row r="852" spans="1:15" x14ac:dyDescent="0.3">
      <c r="A852" s="2">
        <v>850</v>
      </c>
      <c r="B852" s="3" t="s">
        <v>19</v>
      </c>
      <c r="C852" s="3" t="s">
        <v>130</v>
      </c>
      <c r="D852" s="3" t="s">
        <v>14</v>
      </c>
      <c r="E852" s="3" t="s">
        <v>21</v>
      </c>
      <c r="F852" s="3">
        <f t="shared" si="13"/>
        <v>0</v>
      </c>
      <c r="G852" s="3">
        <v>5387</v>
      </c>
      <c r="H852" s="3">
        <v>3</v>
      </c>
      <c r="I852" s="3">
        <v>99064</v>
      </c>
      <c r="J852" s="3">
        <f>IF(E852="Cold",1,0)</f>
        <v>0</v>
      </c>
      <c r="K852" s="3">
        <f>IF(E852="Hot",1,0)</f>
        <v>1</v>
      </c>
      <c r="L852" s="3">
        <v>1311</v>
      </c>
      <c r="M852" s="3">
        <v>38</v>
      </c>
      <c r="N852" s="4">
        <v>44767</v>
      </c>
      <c r="O852" s="10">
        <v>313141.25640000001</v>
      </c>
    </row>
    <row r="853" spans="1:15" x14ac:dyDescent="0.3">
      <c r="A853" s="2">
        <v>851</v>
      </c>
      <c r="B853" s="3" t="s">
        <v>12</v>
      </c>
      <c r="C853" s="3" t="s">
        <v>95</v>
      </c>
      <c r="D853" s="3" t="s">
        <v>18</v>
      </c>
      <c r="E853" s="3" t="s">
        <v>23</v>
      </c>
      <c r="F853" s="3">
        <f t="shared" si="13"/>
        <v>1</v>
      </c>
      <c r="G853" s="3">
        <v>4695</v>
      </c>
      <c r="H853" s="3">
        <v>8</v>
      </c>
      <c r="I853" s="3">
        <v>85335</v>
      </c>
      <c r="J853" s="3">
        <f>IF(E853="Cold",1,0)</f>
        <v>0</v>
      </c>
      <c r="K853" s="3">
        <f>IF(E853="Hot",1,0)</f>
        <v>0</v>
      </c>
      <c r="L853" s="3">
        <v>2190</v>
      </c>
      <c r="M853" s="3">
        <v>54</v>
      </c>
      <c r="N853" s="4">
        <v>45269</v>
      </c>
      <c r="O853" s="10">
        <v>381605.70159999997</v>
      </c>
    </row>
    <row r="854" spans="1:15" x14ac:dyDescent="0.3">
      <c r="A854" s="2">
        <v>852</v>
      </c>
      <c r="B854" s="3" t="s">
        <v>57</v>
      </c>
      <c r="C854" s="3" t="s">
        <v>174</v>
      </c>
      <c r="D854" s="3" t="s">
        <v>14</v>
      </c>
      <c r="E854" s="3" t="s">
        <v>21</v>
      </c>
      <c r="F854" s="3">
        <f t="shared" si="13"/>
        <v>0</v>
      </c>
      <c r="G854" s="3">
        <v>24654</v>
      </c>
      <c r="H854" s="3">
        <v>8</v>
      </c>
      <c r="I854" s="3">
        <v>77522</v>
      </c>
      <c r="J854" s="3">
        <f>IF(E854="Cold",1,0)</f>
        <v>0</v>
      </c>
      <c r="K854" s="3">
        <f>IF(E854="Hot",1,0)</f>
        <v>1</v>
      </c>
      <c r="L854" s="3">
        <v>1031</v>
      </c>
      <c r="M854" s="3">
        <v>82</v>
      </c>
      <c r="N854" s="4">
        <v>43886</v>
      </c>
      <c r="O854" s="10">
        <v>321757.36170000001</v>
      </c>
    </row>
    <row r="855" spans="1:15" x14ac:dyDescent="0.3">
      <c r="A855" s="2">
        <v>853</v>
      </c>
      <c r="B855" s="3" t="s">
        <v>29</v>
      </c>
      <c r="C855" s="3" t="s">
        <v>188</v>
      </c>
      <c r="D855" s="3" t="s">
        <v>18</v>
      </c>
      <c r="E855" s="3" t="s">
        <v>15</v>
      </c>
      <c r="F855" s="3">
        <f t="shared" si="13"/>
        <v>1</v>
      </c>
      <c r="G855" s="3">
        <v>25818</v>
      </c>
      <c r="H855" s="3">
        <v>7</v>
      </c>
      <c r="I855" s="3">
        <v>95298</v>
      </c>
      <c r="J855" s="3">
        <f>IF(E855="Cold",1,0)</f>
        <v>1</v>
      </c>
      <c r="K855" s="3">
        <f>IF(E855="Hot",1,0)</f>
        <v>0</v>
      </c>
      <c r="L855" s="3">
        <v>1464</v>
      </c>
      <c r="M855" s="3">
        <v>87</v>
      </c>
      <c r="N855" s="4">
        <v>44311</v>
      </c>
      <c r="O855" s="10">
        <v>393423.11339999997</v>
      </c>
    </row>
    <row r="856" spans="1:15" x14ac:dyDescent="0.3">
      <c r="A856" s="2">
        <v>854</v>
      </c>
      <c r="B856" s="3" t="s">
        <v>33</v>
      </c>
      <c r="C856" s="3" t="s">
        <v>184</v>
      </c>
      <c r="D856" s="3" t="s">
        <v>14</v>
      </c>
      <c r="E856" s="3" t="s">
        <v>23</v>
      </c>
      <c r="F856" s="3">
        <f t="shared" si="13"/>
        <v>0</v>
      </c>
      <c r="G856" s="3">
        <v>29544</v>
      </c>
      <c r="H856" s="3">
        <v>1</v>
      </c>
      <c r="I856" s="3">
        <v>67113</v>
      </c>
      <c r="J856" s="3">
        <f>IF(E856="Cold",1,0)</f>
        <v>0</v>
      </c>
      <c r="K856" s="3">
        <f>IF(E856="Hot",1,0)</f>
        <v>0</v>
      </c>
      <c r="L856" s="3">
        <v>1858</v>
      </c>
      <c r="M856" s="3">
        <v>54</v>
      </c>
      <c r="N856" s="4">
        <v>43930</v>
      </c>
      <c r="O856" s="10">
        <v>348067.53200000001</v>
      </c>
    </row>
    <row r="857" spans="1:15" x14ac:dyDescent="0.3">
      <c r="A857" s="2">
        <v>855</v>
      </c>
      <c r="B857" s="3" t="s">
        <v>37</v>
      </c>
      <c r="C857" s="3" t="s">
        <v>118</v>
      </c>
      <c r="D857" s="3" t="s">
        <v>18</v>
      </c>
      <c r="E857" s="3" t="s">
        <v>23</v>
      </c>
      <c r="F857" s="3">
        <f t="shared" si="13"/>
        <v>1</v>
      </c>
      <c r="G857" s="3">
        <v>743</v>
      </c>
      <c r="H857" s="3">
        <v>3</v>
      </c>
      <c r="I857" s="3">
        <v>71034</v>
      </c>
      <c r="J857" s="3">
        <f>IF(E857="Cold",1,0)</f>
        <v>0</v>
      </c>
      <c r="K857" s="3">
        <f>IF(E857="Hot",1,0)</f>
        <v>0</v>
      </c>
      <c r="L857" s="3">
        <v>2552</v>
      </c>
      <c r="M857" s="3">
        <v>76</v>
      </c>
      <c r="N857" s="4">
        <v>44023</v>
      </c>
      <c r="O857" s="10">
        <v>406683.45110000001</v>
      </c>
    </row>
    <row r="858" spans="1:15" x14ac:dyDescent="0.3">
      <c r="A858" s="2">
        <v>856</v>
      </c>
      <c r="B858" s="3" t="s">
        <v>29</v>
      </c>
      <c r="C858" s="3" t="s">
        <v>83</v>
      </c>
      <c r="D858" s="3" t="s">
        <v>14</v>
      </c>
      <c r="E858" s="3" t="s">
        <v>23</v>
      </c>
      <c r="F858" s="3">
        <f t="shared" si="13"/>
        <v>0</v>
      </c>
      <c r="G858" s="3">
        <v>12410</v>
      </c>
      <c r="H858" s="3">
        <v>8</v>
      </c>
      <c r="I858" s="3">
        <v>69839</v>
      </c>
      <c r="J858" s="3">
        <f>IF(E858="Cold",1,0)</f>
        <v>0</v>
      </c>
      <c r="K858" s="3">
        <f>IF(E858="Hot",1,0)</f>
        <v>0</v>
      </c>
      <c r="L858" s="3">
        <v>1049</v>
      </c>
      <c r="M858" s="3">
        <v>20</v>
      </c>
      <c r="N858" s="4">
        <v>43958</v>
      </c>
      <c r="O858" s="10">
        <v>285164.17729999998</v>
      </c>
    </row>
    <row r="859" spans="1:15" x14ac:dyDescent="0.3">
      <c r="A859" s="2">
        <v>857</v>
      </c>
      <c r="B859" s="3" t="s">
        <v>72</v>
      </c>
      <c r="C859" s="3" t="s">
        <v>167</v>
      </c>
      <c r="D859" s="3" t="s">
        <v>14</v>
      </c>
      <c r="E859" s="3" t="s">
        <v>23</v>
      </c>
      <c r="F859" s="3">
        <f t="shared" si="13"/>
        <v>0</v>
      </c>
      <c r="G859" s="3">
        <v>6759</v>
      </c>
      <c r="H859" s="3">
        <v>9</v>
      </c>
      <c r="I859" s="3">
        <v>95495</v>
      </c>
      <c r="J859" s="3">
        <f>IF(E859="Cold",1,0)</f>
        <v>0</v>
      </c>
      <c r="K859" s="3">
        <f>IF(E859="Hot",1,0)</f>
        <v>0</v>
      </c>
      <c r="L859" s="3">
        <v>2211</v>
      </c>
      <c r="M859" s="3">
        <v>62</v>
      </c>
      <c r="N859" s="4">
        <v>45408</v>
      </c>
      <c r="O859" s="10">
        <v>333871.70899999997</v>
      </c>
    </row>
    <row r="860" spans="1:15" x14ac:dyDescent="0.3">
      <c r="A860" s="2">
        <v>858</v>
      </c>
      <c r="B860" s="3" t="s">
        <v>108</v>
      </c>
      <c r="C860" s="3" t="s">
        <v>161</v>
      </c>
      <c r="D860" s="3" t="s">
        <v>18</v>
      </c>
      <c r="E860" s="3" t="s">
        <v>21</v>
      </c>
      <c r="F860" s="3">
        <f t="shared" si="13"/>
        <v>1</v>
      </c>
      <c r="G860" s="3">
        <v>5788</v>
      </c>
      <c r="H860" s="3">
        <v>4</v>
      </c>
      <c r="I860" s="3">
        <v>74231</v>
      </c>
      <c r="J860" s="3">
        <f>IF(E860="Cold",1,0)</f>
        <v>0</v>
      </c>
      <c r="K860" s="3">
        <f>IF(E860="Hot",1,0)</f>
        <v>1</v>
      </c>
      <c r="L860" s="3">
        <v>1774</v>
      </c>
      <c r="M860" s="3">
        <v>25</v>
      </c>
      <c r="N860" s="4">
        <v>44069</v>
      </c>
      <c r="O860" s="10">
        <v>366529.6888</v>
      </c>
    </row>
    <row r="861" spans="1:15" x14ac:dyDescent="0.3">
      <c r="A861" s="2">
        <v>859</v>
      </c>
      <c r="B861" s="3" t="s">
        <v>24</v>
      </c>
      <c r="C861" s="3" t="s">
        <v>100</v>
      </c>
      <c r="D861" s="3" t="s">
        <v>18</v>
      </c>
      <c r="E861" s="3" t="s">
        <v>15</v>
      </c>
      <c r="F861" s="3">
        <f t="shared" si="13"/>
        <v>1</v>
      </c>
      <c r="G861" s="3">
        <v>8186</v>
      </c>
      <c r="H861" s="3">
        <v>8</v>
      </c>
      <c r="I861" s="3">
        <v>97316</v>
      </c>
      <c r="J861" s="3">
        <f>IF(E861="Cold",1,0)</f>
        <v>1</v>
      </c>
      <c r="K861" s="3">
        <f>IF(E861="Hot",1,0)</f>
        <v>0</v>
      </c>
      <c r="L861" s="3">
        <v>2175</v>
      </c>
      <c r="M861" s="3">
        <v>91</v>
      </c>
      <c r="N861" s="4">
        <v>45329</v>
      </c>
      <c r="O861" s="10">
        <v>392643.61290000001</v>
      </c>
    </row>
    <row r="862" spans="1:15" x14ac:dyDescent="0.3">
      <c r="A862" s="2">
        <v>860</v>
      </c>
      <c r="B862" s="3" t="s">
        <v>57</v>
      </c>
      <c r="C862" s="3" t="s">
        <v>116</v>
      </c>
      <c r="D862" s="3" t="s">
        <v>14</v>
      </c>
      <c r="E862" s="3" t="s">
        <v>21</v>
      </c>
      <c r="F862" s="3">
        <f t="shared" si="13"/>
        <v>0</v>
      </c>
      <c r="G862" s="3">
        <v>11975</v>
      </c>
      <c r="H862" s="3">
        <v>9</v>
      </c>
      <c r="I862" s="3">
        <v>84887</v>
      </c>
      <c r="J862" s="3">
        <f>IF(E862="Cold",1,0)</f>
        <v>0</v>
      </c>
      <c r="K862" s="3">
        <f>IF(E862="Hot",1,0)</f>
        <v>1</v>
      </c>
      <c r="L862" s="3">
        <v>1688</v>
      </c>
      <c r="M862" s="3">
        <v>83</v>
      </c>
      <c r="N862" s="4">
        <v>44773</v>
      </c>
      <c r="O862" s="10">
        <v>335834.4412</v>
      </c>
    </row>
    <row r="863" spans="1:15" x14ac:dyDescent="0.3">
      <c r="A863" s="2">
        <v>861</v>
      </c>
      <c r="B863" s="3" t="s">
        <v>57</v>
      </c>
      <c r="C863" s="3" t="s">
        <v>162</v>
      </c>
      <c r="D863" s="3" t="s">
        <v>14</v>
      </c>
      <c r="E863" s="3" t="s">
        <v>21</v>
      </c>
      <c r="F863" s="3">
        <f t="shared" si="13"/>
        <v>0</v>
      </c>
      <c r="G863" s="3">
        <v>13492</v>
      </c>
      <c r="H863" s="3">
        <v>0</v>
      </c>
      <c r="I863" s="3">
        <v>52776</v>
      </c>
      <c r="J863" s="3">
        <f>IF(E863="Cold",1,0)</f>
        <v>0</v>
      </c>
      <c r="K863" s="3">
        <f>IF(E863="Hot",1,0)</f>
        <v>1</v>
      </c>
      <c r="L863" s="3">
        <v>1767</v>
      </c>
      <c r="M863" s="3">
        <v>41</v>
      </c>
      <c r="N863" s="4">
        <v>44454</v>
      </c>
      <c r="O863" s="10">
        <v>317196.93060000002</v>
      </c>
    </row>
    <row r="864" spans="1:15" x14ac:dyDescent="0.3">
      <c r="A864" s="2">
        <v>862</v>
      </c>
      <c r="B864" s="3" t="s">
        <v>26</v>
      </c>
      <c r="C864" s="3" t="s">
        <v>99</v>
      </c>
      <c r="D864" s="3" t="s">
        <v>14</v>
      </c>
      <c r="E864" s="3" t="s">
        <v>21</v>
      </c>
      <c r="F864" s="3">
        <f t="shared" si="13"/>
        <v>0</v>
      </c>
      <c r="G864" s="3">
        <v>5349</v>
      </c>
      <c r="H864" s="3">
        <v>3</v>
      </c>
      <c r="I864" s="3">
        <v>74135</v>
      </c>
      <c r="J864" s="3">
        <f>IF(E864="Cold",1,0)</f>
        <v>0</v>
      </c>
      <c r="K864" s="3">
        <f>IF(E864="Hot",1,0)</f>
        <v>1</v>
      </c>
      <c r="L864" s="3">
        <v>2349</v>
      </c>
      <c r="M864" s="3">
        <v>43</v>
      </c>
      <c r="N864" s="4">
        <v>44694</v>
      </c>
      <c r="O864" s="10">
        <v>332696.25390000001</v>
      </c>
    </row>
    <row r="865" spans="1:15" x14ac:dyDescent="0.3">
      <c r="A865" s="2">
        <v>863</v>
      </c>
      <c r="B865" s="3" t="s">
        <v>29</v>
      </c>
      <c r="C865" s="3" t="s">
        <v>83</v>
      </c>
      <c r="D865" s="3" t="s">
        <v>14</v>
      </c>
      <c r="E865" s="3" t="s">
        <v>23</v>
      </c>
      <c r="F865" s="3">
        <f t="shared" si="13"/>
        <v>0</v>
      </c>
      <c r="G865" s="3">
        <v>24804</v>
      </c>
      <c r="H865" s="3">
        <v>9</v>
      </c>
      <c r="I865" s="3">
        <v>76600</v>
      </c>
      <c r="J865" s="3">
        <f>IF(E865="Cold",1,0)</f>
        <v>0</v>
      </c>
      <c r="K865" s="3">
        <f>IF(E865="Hot",1,0)</f>
        <v>0</v>
      </c>
      <c r="L865" s="3">
        <v>1222</v>
      </c>
      <c r="M865" s="3">
        <v>24</v>
      </c>
      <c r="N865" s="4">
        <v>45357</v>
      </c>
      <c r="O865" s="10">
        <v>322197.47820000001</v>
      </c>
    </row>
    <row r="866" spans="1:15" x14ac:dyDescent="0.3">
      <c r="A866" s="2">
        <v>864</v>
      </c>
      <c r="B866" s="3" t="s">
        <v>53</v>
      </c>
      <c r="C866" s="3" t="s">
        <v>212</v>
      </c>
      <c r="D866" s="3" t="s">
        <v>14</v>
      </c>
      <c r="E866" s="3" t="s">
        <v>21</v>
      </c>
      <c r="F866" s="3">
        <f t="shared" si="13"/>
        <v>0</v>
      </c>
      <c r="G866" s="3">
        <v>21210</v>
      </c>
      <c r="H866" s="3">
        <v>4</v>
      </c>
      <c r="I866" s="3">
        <v>58291</v>
      </c>
      <c r="J866" s="3">
        <f>IF(E866="Cold",1,0)</f>
        <v>0</v>
      </c>
      <c r="K866" s="3">
        <f>IF(E866="Hot",1,0)</f>
        <v>1</v>
      </c>
      <c r="L866" s="3">
        <v>2639</v>
      </c>
      <c r="M866" s="3">
        <v>25</v>
      </c>
      <c r="N866" s="4">
        <v>43884</v>
      </c>
      <c r="O866" s="10">
        <v>320957.08189999999</v>
      </c>
    </row>
    <row r="867" spans="1:15" x14ac:dyDescent="0.3">
      <c r="A867" s="2">
        <v>865</v>
      </c>
      <c r="B867" s="3" t="s">
        <v>57</v>
      </c>
      <c r="C867" s="3" t="s">
        <v>206</v>
      </c>
      <c r="D867" s="3" t="s">
        <v>18</v>
      </c>
      <c r="E867" s="3" t="s">
        <v>21</v>
      </c>
      <c r="F867" s="3">
        <f t="shared" si="13"/>
        <v>1</v>
      </c>
      <c r="G867" s="3">
        <v>12529</v>
      </c>
      <c r="H867" s="3">
        <v>3</v>
      </c>
      <c r="I867" s="3">
        <v>99290</v>
      </c>
      <c r="J867" s="3">
        <f>IF(E867="Cold",1,0)</f>
        <v>0</v>
      </c>
      <c r="K867" s="3">
        <f>IF(E867="Hot",1,0)</f>
        <v>1</v>
      </c>
      <c r="L867" s="3">
        <v>1587</v>
      </c>
      <c r="M867" s="3">
        <v>50</v>
      </c>
      <c r="N867" s="4">
        <v>44446</v>
      </c>
      <c r="O867" s="10">
        <v>373780.53840000002</v>
      </c>
    </row>
    <row r="868" spans="1:15" x14ac:dyDescent="0.3">
      <c r="A868" s="2">
        <v>866</v>
      </c>
      <c r="B868" s="3" t="s">
        <v>53</v>
      </c>
      <c r="C868" s="3" t="s">
        <v>225</v>
      </c>
      <c r="D868" s="3" t="s">
        <v>14</v>
      </c>
      <c r="E868" s="3" t="s">
        <v>23</v>
      </c>
      <c r="F868" s="3">
        <f t="shared" si="13"/>
        <v>0</v>
      </c>
      <c r="G868" s="3">
        <v>5048</v>
      </c>
      <c r="H868" s="3">
        <v>6</v>
      </c>
      <c r="I868" s="3">
        <v>77559</v>
      </c>
      <c r="J868" s="3">
        <f>IF(E868="Cold",1,0)</f>
        <v>0</v>
      </c>
      <c r="K868" s="3">
        <f>IF(E868="Hot",1,0)</f>
        <v>0</v>
      </c>
      <c r="L868" s="3">
        <v>2192</v>
      </c>
      <c r="M868" s="3">
        <v>35</v>
      </c>
      <c r="N868" s="4">
        <v>44998</v>
      </c>
      <c r="O868" s="10">
        <v>326182.24310000002</v>
      </c>
    </row>
    <row r="869" spans="1:15" x14ac:dyDescent="0.3">
      <c r="A869" s="2">
        <v>867</v>
      </c>
      <c r="B869" s="3" t="s">
        <v>35</v>
      </c>
      <c r="C869" s="3" t="s">
        <v>148</v>
      </c>
      <c r="D869" s="3" t="s">
        <v>14</v>
      </c>
      <c r="E869" s="3" t="s">
        <v>21</v>
      </c>
      <c r="F869" s="3">
        <f t="shared" si="13"/>
        <v>0</v>
      </c>
      <c r="G869" s="3">
        <v>14135</v>
      </c>
      <c r="H869" s="3">
        <v>7</v>
      </c>
      <c r="I869" s="3">
        <v>96971</v>
      </c>
      <c r="J869" s="3">
        <f>IF(E869="Cold",1,0)</f>
        <v>0</v>
      </c>
      <c r="K869" s="3">
        <f>IF(E869="Hot",1,0)</f>
        <v>1</v>
      </c>
      <c r="L869" s="3">
        <v>1913</v>
      </c>
      <c r="M869" s="3">
        <v>44</v>
      </c>
      <c r="N869" s="4">
        <v>45058</v>
      </c>
      <c r="O869" s="10">
        <v>338989.51770000003</v>
      </c>
    </row>
    <row r="870" spans="1:15" x14ac:dyDescent="0.3">
      <c r="A870" s="2">
        <v>868</v>
      </c>
      <c r="B870" s="3" t="s">
        <v>53</v>
      </c>
      <c r="C870" s="3" t="s">
        <v>225</v>
      </c>
      <c r="D870" s="3" t="s">
        <v>14</v>
      </c>
      <c r="E870" s="3" t="s">
        <v>21</v>
      </c>
      <c r="F870" s="3">
        <f t="shared" si="13"/>
        <v>0</v>
      </c>
      <c r="G870" s="3">
        <v>15012</v>
      </c>
      <c r="H870" s="3">
        <v>6</v>
      </c>
      <c r="I870" s="3">
        <v>95686</v>
      </c>
      <c r="J870" s="3">
        <f>IF(E870="Cold",1,0)</f>
        <v>0</v>
      </c>
      <c r="K870" s="3">
        <f>IF(E870="Hot",1,0)</f>
        <v>1</v>
      </c>
      <c r="L870" s="3">
        <v>2878</v>
      </c>
      <c r="M870" s="3">
        <v>25</v>
      </c>
      <c r="N870" s="4">
        <v>45228</v>
      </c>
      <c r="O870" s="10">
        <v>354430.63799999998</v>
      </c>
    </row>
    <row r="871" spans="1:15" x14ac:dyDescent="0.3">
      <c r="A871" s="2">
        <v>869</v>
      </c>
      <c r="B871" s="3" t="s">
        <v>74</v>
      </c>
      <c r="C871" s="3" t="s">
        <v>89</v>
      </c>
      <c r="D871" s="3" t="s">
        <v>18</v>
      </c>
      <c r="E871" s="3" t="s">
        <v>15</v>
      </c>
      <c r="F871" s="3">
        <f t="shared" si="13"/>
        <v>1</v>
      </c>
      <c r="G871" s="3">
        <v>8467</v>
      </c>
      <c r="H871" s="3">
        <v>2</v>
      </c>
      <c r="I871" s="3">
        <v>59788</v>
      </c>
      <c r="J871" s="3">
        <f>IF(E871="Cold",1,0)</f>
        <v>1</v>
      </c>
      <c r="K871" s="3">
        <f>IF(E871="Hot",1,0)</f>
        <v>0</v>
      </c>
      <c r="L871" s="3">
        <v>1482</v>
      </c>
      <c r="M871" s="3">
        <v>58</v>
      </c>
      <c r="N871" s="4">
        <v>44526</v>
      </c>
      <c r="O871" s="10">
        <v>347306.86200000002</v>
      </c>
    </row>
    <row r="872" spans="1:15" x14ac:dyDescent="0.3">
      <c r="A872" s="2">
        <v>870</v>
      </c>
      <c r="B872" s="3" t="s">
        <v>28</v>
      </c>
      <c r="C872" s="3" t="s">
        <v>49</v>
      </c>
      <c r="D872" s="3" t="s">
        <v>18</v>
      </c>
      <c r="E872" s="3" t="s">
        <v>21</v>
      </c>
      <c r="F872" s="3">
        <f t="shared" si="13"/>
        <v>1</v>
      </c>
      <c r="G872" s="3">
        <v>12146</v>
      </c>
      <c r="H872" s="3">
        <v>5</v>
      </c>
      <c r="I872" s="3">
        <v>99318</v>
      </c>
      <c r="J872" s="3">
        <f>IF(E872="Cold",1,0)</f>
        <v>0</v>
      </c>
      <c r="K872" s="3">
        <f>IF(E872="Hot",1,0)</f>
        <v>1</v>
      </c>
      <c r="L872" s="3">
        <v>1255</v>
      </c>
      <c r="M872" s="3">
        <v>20</v>
      </c>
      <c r="N872" s="4">
        <v>45180</v>
      </c>
      <c r="O872" s="10">
        <v>360310.21970000002</v>
      </c>
    </row>
    <row r="873" spans="1:15" x14ac:dyDescent="0.3">
      <c r="A873" s="2">
        <v>871</v>
      </c>
      <c r="B873" s="3" t="s">
        <v>31</v>
      </c>
      <c r="C873" s="3" t="s">
        <v>172</v>
      </c>
      <c r="D873" s="3" t="s">
        <v>14</v>
      </c>
      <c r="E873" s="3" t="s">
        <v>21</v>
      </c>
      <c r="F873" s="3">
        <f t="shared" si="13"/>
        <v>0</v>
      </c>
      <c r="G873" s="3">
        <v>11286</v>
      </c>
      <c r="H873" s="3">
        <v>4</v>
      </c>
      <c r="I873" s="3">
        <v>67915</v>
      </c>
      <c r="J873" s="3">
        <f>IF(E873="Cold",1,0)</f>
        <v>0</v>
      </c>
      <c r="K873" s="3">
        <f>IF(E873="Hot",1,0)</f>
        <v>1</v>
      </c>
      <c r="L873" s="3">
        <v>2415</v>
      </c>
      <c r="M873" s="3">
        <v>95</v>
      </c>
      <c r="N873" s="4">
        <v>45404</v>
      </c>
      <c r="O873" s="10">
        <v>352918.17050000001</v>
      </c>
    </row>
    <row r="874" spans="1:15" x14ac:dyDescent="0.3">
      <c r="A874" s="2">
        <v>872</v>
      </c>
      <c r="B874" s="3" t="s">
        <v>26</v>
      </c>
      <c r="C874" s="3" t="s">
        <v>93</v>
      </c>
      <c r="D874" s="3" t="s">
        <v>14</v>
      </c>
      <c r="E874" s="3" t="s">
        <v>15</v>
      </c>
      <c r="F874" s="3">
        <f t="shared" si="13"/>
        <v>0</v>
      </c>
      <c r="G874" s="3">
        <v>8512</v>
      </c>
      <c r="H874" s="3">
        <v>6</v>
      </c>
      <c r="I874" s="3">
        <v>82558</v>
      </c>
      <c r="J874" s="3">
        <f>IF(E874="Cold",1,0)</f>
        <v>1</v>
      </c>
      <c r="K874" s="3">
        <f>IF(E874="Hot",1,0)</f>
        <v>0</v>
      </c>
      <c r="L874" s="3">
        <v>2053</v>
      </c>
      <c r="M874" s="3">
        <v>20</v>
      </c>
      <c r="N874" s="4">
        <v>44059</v>
      </c>
      <c r="O874" s="10">
        <v>289193.71490000002</v>
      </c>
    </row>
    <row r="875" spans="1:15" x14ac:dyDescent="0.3">
      <c r="A875" s="2">
        <v>873</v>
      </c>
      <c r="B875" s="3" t="s">
        <v>53</v>
      </c>
      <c r="C875" s="3" t="s">
        <v>225</v>
      </c>
      <c r="D875" s="3" t="s">
        <v>14</v>
      </c>
      <c r="E875" s="3" t="s">
        <v>21</v>
      </c>
      <c r="F875" s="3">
        <f t="shared" si="13"/>
        <v>0</v>
      </c>
      <c r="G875" s="3">
        <v>26924</v>
      </c>
      <c r="H875" s="3">
        <v>7</v>
      </c>
      <c r="I875" s="3">
        <v>63642</v>
      </c>
      <c r="J875" s="3">
        <f>IF(E875="Cold",1,0)</f>
        <v>0</v>
      </c>
      <c r="K875" s="3">
        <f>IF(E875="Hot",1,0)</f>
        <v>1</v>
      </c>
      <c r="L875" s="3">
        <v>2519</v>
      </c>
      <c r="M875" s="3">
        <v>77</v>
      </c>
      <c r="N875" s="4">
        <v>44324</v>
      </c>
      <c r="O875" s="10">
        <v>350742.1764</v>
      </c>
    </row>
    <row r="876" spans="1:15" x14ac:dyDescent="0.3">
      <c r="A876" s="2">
        <v>874</v>
      </c>
      <c r="B876" s="3" t="s">
        <v>35</v>
      </c>
      <c r="C876" s="3" t="s">
        <v>177</v>
      </c>
      <c r="D876" s="3" t="s">
        <v>14</v>
      </c>
      <c r="E876" s="3" t="s">
        <v>21</v>
      </c>
      <c r="F876" s="3">
        <f t="shared" si="13"/>
        <v>0</v>
      </c>
      <c r="G876" s="3">
        <v>12648</v>
      </c>
      <c r="H876" s="3">
        <v>5</v>
      </c>
      <c r="I876" s="3">
        <v>87542</v>
      </c>
      <c r="J876" s="3">
        <f>IF(E876="Cold",1,0)</f>
        <v>0</v>
      </c>
      <c r="K876" s="3">
        <f>IF(E876="Hot",1,0)</f>
        <v>1</v>
      </c>
      <c r="L876" s="3">
        <v>2424</v>
      </c>
      <c r="M876" s="3">
        <v>38</v>
      </c>
      <c r="N876" s="4">
        <v>44287</v>
      </c>
      <c r="O876" s="10">
        <v>342966.8175</v>
      </c>
    </row>
    <row r="877" spans="1:15" x14ac:dyDescent="0.3">
      <c r="A877" s="2">
        <v>875</v>
      </c>
      <c r="B877" s="3" t="s">
        <v>33</v>
      </c>
      <c r="C877" s="3" t="s">
        <v>92</v>
      </c>
      <c r="D877" s="3" t="s">
        <v>18</v>
      </c>
      <c r="E877" s="3" t="s">
        <v>21</v>
      </c>
      <c r="F877" s="3">
        <f t="shared" si="13"/>
        <v>1</v>
      </c>
      <c r="G877" s="3">
        <v>8308</v>
      </c>
      <c r="H877" s="3">
        <v>0</v>
      </c>
      <c r="I877" s="3">
        <v>60575</v>
      </c>
      <c r="J877" s="3">
        <f>IF(E877="Cold",1,0)</f>
        <v>0</v>
      </c>
      <c r="K877" s="3">
        <f>IF(E877="Hot",1,0)</f>
        <v>1</v>
      </c>
      <c r="L877" s="3">
        <v>1585</v>
      </c>
      <c r="M877" s="3">
        <v>43</v>
      </c>
      <c r="N877" s="4">
        <v>45227</v>
      </c>
      <c r="O877" s="10">
        <v>375022.35190000001</v>
      </c>
    </row>
    <row r="878" spans="1:15" x14ac:dyDescent="0.3">
      <c r="A878" s="2">
        <v>876</v>
      </c>
      <c r="B878" s="3" t="s">
        <v>35</v>
      </c>
      <c r="C878" s="3" t="s">
        <v>200</v>
      </c>
      <c r="D878" s="3" t="s">
        <v>18</v>
      </c>
      <c r="E878" s="3" t="s">
        <v>15</v>
      </c>
      <c r="F878" s="3">
        <f t="shared" si="13"/>
        <v>1</v>
      </c>
      <c r="G878" s="3">
        <v>14307</v>
      </c>
      <c r="H878" s="3">
        <v>9</v>
      </c>
      <c r="I878" s="3">
        <v>89347</v>
      </c>
      <c r="J878" s="3">
        <f>IF(E878="Cold",1,0)</f>
        <v>1</v>
      </c>
      <c r="K878" s="3">
        <f>IF(E878="Hot",1,0)</f>
        <v>0</v>
      </c>
      <c r="L878" s="3">
        <v>2860</v>
      </c>
      <c r="M878" s="3">
        <v>60</v>
      </c>
      <c r="N878" s="4">
        <v>44229</v>
      </c>
      <c r="O878" s="10">
        <v>379878.98580000002</v>
      </c>
    </row>
    <row r="879" spans="1:15" x14ac:dyDescent="0.3">
      <c r="A879" s="2">
        <v>877</v>
      </c>
      <c r="B879" s="3" t="s">
        <v>31</v>
      </c>
      <c r="C879" s="3" t="s">
        <v>165</v>
      </c>
      <c r="D879" s="3" t="s">
        <v>18</v>
      </c>
      <c r="E879" s="3" t="s">
        <v>15</v>
      </c>
      <c r="F879" s="3">
        <f t="shared" si="13"/>
        <v>1</v>
      </c>
      <c r="G879" s="3">
        <v>14959</v>
      </c>
      <c r="H879" s="3">
        <v>4</v>
      </c>
      <c r="I879" s="3">
        <v>59389</v>
      </c>
      <c r="J879" s="3">
        <f>IF(E879="Cold",1,0)</f>
        <v>1</v>
      </c>
      <c r="K879" s="3">
        <f>IF(E879="Hot",1,0)</f>
        <v>0</v>
      </c>
      <c r="L879" s="3">
        <v>2218</v>
      </c>
      <c r="M879" s="3">
        <v>34</v>
      </c>
      <c r="N879" s="4">
        <v>44634</v>
      </c>
      <c r="O879" s="10">
        <v>362377.00449999998</v>
      </c>
    </row>
    <row r="880" spans="1:15" x14ac:dyDescent="0.3">
      <c r="A880" s="2">
        <v>878</v>
      </c>
      <c r="B880" s="3" t="s">
        <v>74</v>
      </c>
      <c r="C880" s="3" t="s">
        <v>163</v>
      </c>
      <c r="D880" s="3" t="s">
        <v>18</v>
      </c>
      <c r="E880" s="3" t="s">
        <v>23</v>
      </c>
      <c r="F880" s="3">
        <f t="shared" si="13"/>
        <v>1</v>
      </c>
      <c r="G880" s="3">
        <v>8087</v>
      </c>
      <c r="H880" s="3">
        <v>0</v>
      </c>
      <c r="I880" s="3">
        <v>84068</v>
      </c>
      <c r="J880" s="3">
        <f>IF(E880="Cold",1,0)</f>
        <v>0</v>
      </c>
      <c r="K880" s="3">
        <f>IF(E880="Hot",1,0)</f>
        <v>0</v>
      </c>
      <c r="L880" s="3">
        <v>1543</v>
      </c>
      <c r="M880" s="3">
        <v>96</v>
      </c>
      <c r="N880" s="4">
        <v>45360</v>
      </c>
      <c r="O880" s="10">
        <v>398310.73570000002</v>
      </c>
    </row>
    <row r="881" spans="1:15" x14ac:dyDescent="0.3">
      <c r="A881" s="2">
        <v>879</v>
      </c>
      <c r="B881" s="3" t="s">
        <v>108</v>
      </c>
      <c r="C881" s="3" t="s">
        <v>205</v>
      </c>
      <c r="D881" s="3" t="s">
        <v>18</v>
      </c>
      <c r="E881" s="3" t="s">
        <v>21</v>
      </c>
      <c r="F881" s="3">
        <f t="shared" si="13"/>
        <v>1</v>
      </c>
      <c r="G881" s="3">
        <v>26595</v>
      </c>
      <c r="H881" s="3">
        <v>8</v>
      </c>
      <c r="I881" s="3">
        <v>56596</v>
      </c>
      <c r="J881" s="3">
        <f>IF(E881="Cold",1,0)</f>
        <v>0</v>
      </c>
      <c r="K881" s="3">
        <f>IF(E881="Hot",1,0)</f>
        <v>1</v>
      </c>
      <c r="L881" s="3">
        <v>2147</v>
      </c>
      <c r="M881" s="3">
        <v>77</v>
      </c>
      <c r="N881" s="4">
        <v>44385</v>
      </c>
      <c r="O881" s="10">
        <v>423633.52649999998</v>
      </c>
    </row>
    <row r="882" spans="1:15" x14ac:dyDescent="0.3">
      <c r="A882" s="2">
        <v>880</v>
      </c>
      <c r="B882" s="3" t="s">
        <v>57</v>
      </c>
      <c r="C882" s="3" t="s">
        <v>174</v>
      </c>
      <c r="D882" s="3" t="s">
        <v>18</v>
      </c>
      <c r="E882" s="3" t="s">
        <v>21</v>
      </c>
      <c r="F882" s="3">
        <f t="shared" si="13"/>
        <v>1</v>
      </c>
      <c r="G882" s="3">
        <v>10301</v>
      </c>
      <c r="H882" s="3">
        <v>4</v>
      </c>
      <c r="I882" s="3">
        <v>72249</v>
      </c>
      <c r="J882" s="3">
        <f>IF(E882="Cold",1,0)</f>
        <v>0</v>
      </c>
      <c r="K882" s="3">
        <f>IF(E882="Hot",1,0)</f>
        <v>1</v>
      </c>
      <c r="L882" s="3">
        <v>1165</v>
      </c>
      <c r="M882" s="3">
        <v>25</v>
      </c>
      <c r="N882" s="4">
        <v>44357</v>
      </c>
      <c r="O882" s="10">
        <v>338579.6298</v>
      </c>
    </row>
    <row r="883" spans="1:15" x14ac:dyDescent="0.3">
      <c r="A883" s="2">
        <v>881</v>
      </c>
      <c r="B883" s="3" t="s">
        <v>122</v>
      </c>
      <c r="C883" s="3" t="s">
        <v>138</v>
      </c>
      <c r="D883" s="3" t="s">
        <v>14</v>
      </c>
      <c r="E883" s="3" t="s">
        <v>21</v>
      </c>
      <c r="F883" s="3">
        <f t="shared" si="13"/>
        <v>0</v>
      </c>
      <c r="G883" s="3">
        <v>23127</v>
      </c>
      <c r="H883" s="3">
        <v>0</v>
      </c>
      <c r="I883" s="3">
        <v>86141</v>
      </c>
      <c r="J883" s="3">
        <f>IF(E883="Cold",1,0)</f>
        <v>0</v>
      </c>
      <c r="K883" s="3">
        <f>IF(E883="Hot",1,0)</f>
        <v>1</v>
      </c>
      <c r="L883" s="3">
        <v>2788</v>
      </c>
      <c r="M883" s="3">
        <v>33</v>
      </c>
      <c r="N883" s="4">
        <v>44394</v>
      </c>
      <c r="O883" s="10">
        <v>357221.79149999999</v>
      </c>
    </row>
    <row r="884" spans="1:15" x14ac:dyDescent="0.3">
      <c r="A884" s="2">
        <v>882</v>
      </c>
      <c r="B884" s="3" t="s">
        <v>24</v>
      </c>
      <c r="C884" s="3" t="s">
        <v>100</v>
      </c>
      <c r="D884" s="3" t="s">
        <v>14</v>
      </c>
      <c r="E884" s="3" t="s">
        <v>15</v>
      </c>
      <c r="F884" s="3">
        <f t="shared" si="13"/>
        <v>0</v>
      </c>
      <c r="G884" s="3">
        <v>9863</v>
      </c>
      <c r="H884" s="3">
        <v>8</v>
      </c>
      <c r="I884" s="3">
        <v>80851</v>
      </c>
      <c r="J884" s="3">
        <f>IF(E884="Cold",1,0)</f>
        <v>1</v>
      </c>
      <c r="K884" s="3">
        <f>IF(E884="Hot",1,0)</f>
        <v>0</v>
      </c>
      <c r="L884" s="3">
        <v>2818</v>
      </c>
      <c r="M884" s="3">
        <v>70</v>
      </c>
      <c r="N884" s="4">
        <v>45245</v>
      </c>
      <c r="O884" s="10">
        <v>331946.42070000002</v>
      </c>
    </row>
    <row r="885" spans="1:15" x14ac:dyDescent="0.3">
      <c r="A885" s="2">
        <v>883</v>
      </c>
      <c r="B885" s="3" t="s">
        <v>55</v>
      </c>
      <c r="C885" s="3" t="s">
        <v>56</v>
      </c>
      <c r="D885" s="3" t="s">
        <v>14</v>
      </c>
      <c r="E885" s="3" t="s">
        <v>23</v>
      </c>
      <c r="F885" s="3">
        <f t="shared" si="13"/>
        <v>0</v>
      </c>
      <c r="G885" s="3">
        <v>27277</v>
      </c>
      <c r="H885" s="3">
        <v>6</v>
      </c>
      <c r="I885" s="3">
        <v>75539</v>
      </c>
      <c r="J885" s="3">
        <f>IF(E885="Cold",1,0)</f>
        <v>0</v>
      </c>
      <c r="K885" s="3">
        <f>IF(E885="Hot",1,0)</f>
        <v>0</v>
      </c>
      <c r="L885" s="3">
        <v>1509</v>
      </c>
      <c r="M885" s="3">
        <v>69</v>
      </c>
      <c r="N885" s="4">
        <v>44724</v>
      </c>
      <c r="O885" s="10">
        <v>329242.56439999997</v>
      </c>
    </row>
    <row r="886" spans="1:15" x14ac:dyDescent="0.3">
      <c r="A886" s="2">
        <v>884</v>
      </c>
      <c r="B886" s="3" t="s">
        <v>37</v>
      </c>
      <c r="C886" s="3" t="s">
        <v>128</v>
      </c>
      <c r="D886" s="3" t="s">
        <v>14</v>
      </c>
      <c r="E886" s="3" t="s">
        <v>21</v>
      </c>
      <c r="F886" s="3">
        <f t="shared" si="13"/>
        <v>0</v>
      </c>
      <c r="G886" s="3">
        <v>29810</v>
      </c>
      <c r="H886" s="3">
        <v>7</v>
      </c>
      <c r="I886" s="3">
        <v>73522</v>
      </c>
      <c r="J886" s="3">
        <f>IF(E886="Cold",1,0)</f>
        <v>0</v>
      </c>
      <c r="K886" s="3">
        <f>IF(E886="Hot",1,0)</f>
        <v>1</v>
      </c>
      <c r="L886" s="3">
        <v>1906</v>
      </c>
      <c r="M886" s="3">
        <v>54</v>
      </c>
      <c r="N886" s="4">
        <v>44258</v>
      </c>
      <c r="O886" s="10">
        <v>325520.2009</v>
      </c>
    </row>
    <row r="887" spans="1:15" x14ac:dyDescent="0.3">
      <c r="A887" s="2">
        <v>885</v>
      </c>
      <c r="B887" s="3" t="s">
        <v>12</v>
      </c>
      <c r="C887" s="3" t="s">
        <v>76</v>
      </c>
      <c r="D887" s="3" t="s">
        <v>14</v>
      </c>
      <c r="E887" s="3" t="s">
        <v>23</v>
      </c>
      <c r="F887" s="3">
        <f t="shared" si="13"/>
        <v>0</v>
      </c>
      <c r="G887" s="3">
        <v>25694</v>
      </c>
      <c r="H887" s="3">
        <v>5</v>
      </c>
      <c r="I887" s="3">
        <v>93675</v>
      </c>
      <c r="J887" s="3">
        <f>IF(E887="Cold",1,0)</f>
        <v>0</v>
      </c>
      <c r="K887" s="3">
        <f>IF(E887="Hot",1,0)</f>
        <v>0</v>
      </c>
      <c r="L887" s="3">
        <v>2376</v>
      </c>
      <c r="M887" s="3">
        <v>95</v>
      </c>
      <c r="N887" s="4">
        <v>44509</v>
      </c>
      <c r="O887" s="10">
        <v>354419.1875</v>
      </c>
    </row>
    <row r="888" spans="1:15" x14ac:dyDescent="0.3">
      <c r="A888" s="2">
        <v>886</v>
      </c>
      <c r="B888" s="3" t="s">
        <v>53</v>
      </c>
      <c r="C888" s="3" t="s">
        <v>212</v>
      </c>
      <c r="D888" s="3" t="s">
        <v>14</v>
      </c>
      <c r="E888" s="3" t="s">
        <v>15</v>
      </c>
      <c r="F888" s="3">
        <f t="shared" si="13"/>
        <v>0</v>
      </c>
      <c r="G888" s="3">
        <v>28887</v>
      </c>
      <c r="H888" s="3">
        <v>0</v>
      </c>
      <c r="I888" s="3">
        <v>53595</v>
      </c>
      <c r="J888" s="3">
        <f>IF(E888="Cold",1,0)</f>
        <v>1</v>
      </c>
      <c r="K888" s="3">
        <f>IF(E888="Hot",1,0)</f>
        <v>0</v>
      </c>
      <c r="L888" s="3">
        <v>2509</v>
      </c>
      <c r="M888" s="3">
        <v>82</v>
      </c>
      <c r="N888" s="4">
        <v>44796</v>
      </c>
      <c r="O888" s="10">
        <v>347046.68060000002</v>
      </c>
    </row>
    <row r="889" spans="1:15" x14ac:dyDescent="0.3">
      <c r="A889" s="2">
        <v>887</v>
      </c>
      <c r="B889" s="3" t="s">
        <v>24</v>
      </c>
      <c r="C889" s="3" t="s">
        <v>94</v>
      </c>
      <c r="D889" s="3" t="s">
        <v>14</v>
      </c>
      <c r="E889" s="3" t="s">
        <v>21</v>
      </c>
      <c r="F889" s="3">
        <f t="shared" si="13"/>
        <v>0</v>
      </c>
      <c r="G889" s="3">
        <v>4069</v>
      </c>
      <c r="H889" s="3">
        <v>7</v>
      </c>
      <c r="I889" s="3">
        <v>98016</v>
      </c>
      <c r="J889" s="3">
        <f>IF(E889="Cold",1,0)</f>
        <v>0</v>
      </c>
      <c r="K889" s="3">
        <f>IF(E889="Hot",1,0)</f>
        <v>1</v>
      </c>
      <c r="L889" s="3">
        <v>1349</v>
      </c>
      <c r="M889" s="3">
        <v>84</v>
      </c>
      <c r="N889" s="4">
        <v>45046</v>
      </c>
      <c r="O889" s="10">
        <v>321192.97869999998</v>
      </c>
    </row>
    <row r="890" spans="1:15" x14ac:dyDescent="0.3">
      <c r="A890" s="2">
        <v>888</v>
      </c>
      <c r="B890" s="3" t="s">
        <v>74</v>
      </c>
      <c r="C890" s="3" t="s">
        <v>106</v>
      </c>
      <c r="D890" s="3" t="s">
        <v>18</v>
      </c>
      <c r="E890" s="3" t="s">
        <v>15</v>
      </c>
      <c r="F890" s="3">
        <f t="shared" si="13"/>
        <v>1</v>
      </c>
      <c r="G890" s="3">
        <v>15026</v>
      </c>
      <c r="H890" s="3">
        <v>3</v>
      </c>
      <c r="I890" s="3">
        <v>88060</v>
      </c>
      <c r="J890" s="3">
        <f>IF(E890="Cold",1,0)</f>
        <v>1</v>
      </c>
      <c r="K890" s="3">
        <f>IF(E890="Hot",1,0)</f>
        <v>0</v>
      </c>
      <c r="L890" s="3">
        <v>1354</v>
      </c>
      <c r="M890" s="3">
        <v>64</v>
      </c>
      <c r="N890" s="4">
        <v>45207</v>
      </c>
      <c r="O890" s="10">
        <v>350187.75319999998</v>
      </c>
    </row>
    <row r="891" spans="1:15" x14ac:dyDescent="0.3">
      <c r="A891" s="2">
        <v>889</v>
      </c>
      <c r="B891" s="3" t="s">
        <v>74</v>
      </c>
      <c r="C891" s="3" t="s">
        <v>75</v>
      </c>
      <c r="D891" s="3" t="s">
        <v>14</v>
      </c>
      <c r="E891" s="3" t="s">
        <v>21</v>
      </c>
      <c r="F891" s="3">
        <f t="shared" si="13"/>
        <v>0</v>
      </c>
      <c r="G891" s="3">
        <v>1803</v>
      </c>
      <c r="H891" s="3">
        <v>4</v>
      </c>
      <c r="I891" s="3">
        <v>94786</v>
      </c>
      <c r="J891" s="3">
        <f>IF(E891="Cold",1,0)</f>
        <v>0</v>
      </c>
      <c r="K891" s="3">
        <f>IF(E891="Hot",1,0)</f>
        <v>1</v>
      </c>
      <c r="L891" s="3">
        <v>1400</v>
      </c>
      <c r="M891" s="3">
        <v>64</v>
      </c>
      <c r="N891" s="4">
        <v>44881</v>
      </c>
      <c r="O891" s="10">
        <v>312910.03159999999</v>
      </c>
    </row>
    <row r="892" spans="1:15" x14ac:dyDescent="0.3">
      <c r="A892" s="2">
        <v>890</v>
      </c>
      <c r="B892" s="3" t="s">
        <v>122</v>
      </c>
      <c r="C892" s="3" t="s">
        <v>208</v>
      </c>
      <c r="D892" s="3" t="s">
        <v>14</v>
      </c>
      <c r="E892" s="3" t="s">
        <v>23</v>
      </c>
      <c r="F892" s="3">
        <f t="shared" si="13"/>
        <v>0</v>
      </c>
      <c r="G892" s="3">
        <v>20447</v>
      </c>
      <c r="H892" s="3">
        <v>5</v>
      </c>
      <c r="I892" s="3">
        <v>75977</v>
      </c>
      <c r="J892" s="3">
        <f>IF(E892="Cold",1,0)</f>
        <v>0</v>
      </c>
      <c r="K892" s="3">
        <f>IF(E892="Hot",1,0)</f>
        <v>0</v>
      </c>
      <c r="L892" s="3">
        <v>2030</v>
      </c>
      <c r="M892" s="3">
        <v>90</v>
      </c>
      <c r="N892" s="4">
        <v>44590</v>
      </c>
      <c r="O892" s="10">
        <v>346174.43959999998</v>
      </c>
    </row>
    <row r="893" spans="1:15" x14ac:dyDescent="0.3">
      <c r="A893" s="2">
        <v>891</v>
      </c>
      <c r="B893" s="3" t="s">
        <v>40</v>
      </c>
      <c r="C893" s="3" t="s">
        <v>210</v>
      </c>
      <c r="D893" s="3" t="s">
        <v>14</v>
      </c>
      <c r="E893" s="3" t="s">
        <v>21</v>
      </c>
      <c r="F893" s="3">
        <f t="shared" si="13"/>
        <v>0</v>
      </c>
      <c r="G893" s="3">
        <v>20515</v>
      </c>
      <c r="H893" s="3">
        <v>3</v>
      </c>
      <c r="I893" s="3">
        <v>56792</v>
      </c>
      <c r="J893" s="3">
        <f>IF(E893="Cold",1,0)</f>
        <v>0</v>
      </c>
      <c r="K893" s="3">
        <f>IF(E893="Hot",1,0)</f>
        <v>1</v>
      </c>
      <c r="L893" s="3">
        <v>1760</v>
      </c>
      <c r="M893" s="3">
        <v>90</v>
      </c>
      <c r="N893" s="4">
        <v>44238</v>
      </c>
      <c r="O893" s="10">
        <v>329944.29440000001</v>
      </c>
    </row>
    <row r="894" spans="1:15" x14ac:dyDescent="0.3">
      <c r="A894" s="2">
        <v>892</v>
      </c>
      <c r="B894" s="3" t="s">
        <v>12</v>
      </c>
      <c r="C894" s="3" t="s">
        <v>173</v>
      </c>
      <c r="D894" s="3" t="s">
        <v>18</v>
      </c>
      <c r="E894" s="3" t="s">
        <v>23</v>
      </c>
      <c r="F894" s="3">
        <f t="shared" si="13"/>
        <v>1</v>
      </c>
      <c r="G894" s="3">
        <v>28291</v>
      </c>
      <c r="H894" s="3">
        <v>7</v>
      </c>
      <c r="I894" s="3">
        <v>72865</v>
      </c>
      <c r="J894" s="3">
        <f>IF(E894="Cold",1,0)</f>
        <v>0</v>
      </c>
      <c r="K894" s="3">
        <f>IF(E894="Hot",1,0)</f>
        <v>0</v>
      </c>
      <c r="L894" s="3">
        <v>2242</v>
      </c>
      <c r="M894" s="3">
        <v>40</v>
      </c>
      <c r="N894" s="4">
        <v>44840</v>
      </c>
      <c r="O894" s="10">
        <v>391170.72739999997</v>
      </c>
    </row>
    <row r="895" spans="1:15" x14ac:dyDescent="0.3">
      <c r="A895" s="2">
        <v>893</v>
      </c>
      <c r="B895" s="3" t="s">
        <v>31</v>
      </c>
      <c r="C895" s="3" t="s">
        <v>63</v>
      </c>
      <c r="D895" s="3" t="s">
        <v>18</v>
      </c>
      <c r="E895" s="3" t="s">
        <v>23</v>
      </c>
      <c r="F895" s="3">
        <f t="shared" si="13"/>
        <v>1</v>
      </c>
      <c r="G895" s="3">
        <v>24892</v>
      </c>
      <c r="H895" s="3">
        <v>0</v>
      </c>
      <c r="I895" s="3">
        <v>97110</v>
      </c>
      <c r="J895" s="3">
        <f>IF(E895="Cold",1,0)</f>
        <v>0</v>
      </c>
      <c r="K895" s="3">
        <f>IF(E895="Hot",1,0)</f>
        <v>0</v>
      </c>
      <c r="L895" s="3">
        <v>2080</v>
      </c>
      <c r="M895" s="3">
        <v>68</v>
      </c>
      <c r="N895" s="4">
        <v>45031</v>
      </c>
      <c r="O895" s="10">
        <v>427681.4596</v>
      </c>
    </row>
    <row r="896" spans="1:15" x14ac:dyDescent="0.3">
      <c r="A896" s="2">
        <v>894</v>
      </c>
      <c r="B896" s="3" t="s">
        <v>40</v>
      </c>
      <c r="C896" s="3" t="s">
        <v>42</v>
      </c>
      <c r="D896" s="3" t="s">
        <v>18</v>
      </c>
      <c r="E896" s="3" t="s">
        <v>15</v>
      </c>
      <c r="F896" s="3">
        <f t="shared" si="13"/>
        <v>1</v>
      </c>
      <c r="G896" s="3">
        <v>20261</v>
      </c>
      <c r="H896" s="3">
        <v>7</v>
      </c>
      <c r="I896" s="3">
        <v>64709</v>
      </c>
      <c r="J896" s="3">
        <f>IF(E896="Cold",1,0)</f>
        <v>1</v>
      </c>
      <c r="K896" s="3">
        <f>IF(E896="Hot",1,0)</f>
        <v>0</v>
      </c>
      <c r="L896" s="3">
        <v>2865</v>
      </c>
      <c r="M896" s="3">
        <v>38</v>
      </c>
      <c r="N896" s="4">
        <v>45425</v>
      </c>
      <c r="O896" s="10">
        <v>380898.84700000001</v>
      </c>
    </row>
    <row r="897" spans="1:15" x14ac:dyDescent="0.3">
      <c r="A897" s="2">
        <v>895</v>
      </c>
      <c r="B897" s="3" t="s">
        <v>37</v>
      </c>
      <c r="C897" s="3" t="s">
        <v>202</v>
      </c>
      <c r="D897" s="3" t="s">
        <v>14</v>
      </c>
      <c r="E897" s="3" t="s">
        <v>23</v>
      </c>
      <c r="F897" s="3">
        <f t="shared" si="13"/>
        <v>0</v>
      </c>
      <c r="G897" s="3">
        <v>29956</v>
      </c>
      <c r="H897" s="3">
        <v>9</v>
      </c>
      <c r="I897" s="3">
        <v>89715</v>
      </c>
      <c r="J897" s="3">
        <f>IF(E897="Cold",1,0)</f>
        <v>0</v>
      </c>
      <c r="K897" s="3">
        <f>IF(E897="Hot",1,0)</f>
        <v>0</v>
      </c>
      <c r="L897" s="3">
        <v>2898</v>
      </c>
      <c r="M897" s="3">
        <v>84</v>
      </c>
      <c r="N897" s="4">
        <v>44604</v>
      </c>
      <c r="O897" s="10">
        <v>383249.6752</v>
      </c>
    </row>
    <row r="898" spans="1:15" x14ac:dyDescent="0.3">
      <c r="A898" s="2">
        <v>896</v>
      </c>
      <c r="B898" s="3" t="s">
        <v>35</v>
      </c>
      <c r="C898" s="3" t="s">
        <v>150</v>
      </c>
      <c r="D898" s="3" t="s">
        <v>14</v>
      </c>
      <c r="E898" s="3" t="s">
        <v>15</v>
      </c>
      <c r="F898" s="3">
        <f t="shared" si="13"/>
        <v>0</v>
      </c>
      <c r="G898" s="3">
        <v>13082</v>
      </c>
      <c r="H898" s="3">
        <v>2</v>
      </c>
      <c r="I898" s="3">
        <v>95625</v>
      </c>
      <c r="J898" s="3">
        <f>IF(E898="Cold",1,0)</f>
        <v>1</v>
      </c>
      <c r="K898" s="3">
        <f>IF(E898="Hot",1,0)</f>
        <v>0</v>
      </c>
      <c r="L898" s="3">
        <v>1123</v>
      </c>
      <c r="M898" s="3">
        <v>22</v>
      </c>
      <c r="N898" s="4">
        <v>44580</v>
      </c>
      <c r="O898" s="10">
        <v>301794.06929999997</v>
      </c>
    </row>
    <row r="899" spans="1:15" x14ac:dyDescent="0.3">
      <c r="A899" s="2">
        <v>897</v>
      </c>
      <c r="B899" s="3" t="s">
        <v>74</v>
      </c>
      <c r="C899" s="3" t="s">
        <v>153</v>
      </c>
      <c r="D899" s="3" t="s">
        <v>18</v>
      </c>
      <c r="E899" s="3" t="s">
        <v>21</v>
      </c>
      <c r="F899" s="3">
        <f t="shared" ref="F899:F962" si="14">IF(D899=$F$1,1,0)</f>
        <v>1</v>
      </c>
      <c r="G899" s="3">
        <v>25586</v>
      </c>
      <c r="H899" s="3">
        <v>8</v>
      </c>
      <c r="I899" s="3">
        <v>80371</v>
      </c>
      <c r="J899" s="3">
        <f>IF(E899="Cold",1,0)</f>
        <v>0</v>
      </c>
      <c r="K899" s="3">
        <f>IF(E899="Hot",1,0)</f>
        <v>1</v>
      </c>
      <c r="L899" s="3">
        <v>2949</v>
      </c>
      <c r="M899" s="3">
        <v>81</v>
      </c>
      <c r="N899" s="4">
        <v>45157</v>
      </c>
      <c r="O899" s="10">
        <v>390233.53810000001</v>
      </c>
    </row>
    <row r="900" spans="1:15" x14ac:dyDescent="0.3">
      <c r="A900" s="2">
        <v>898</v>
      </c>
      <c r="B900" s="3" t="s">
        <v>24</v>
      </c>
      <c r="C900" s="3" t="s">
        <v>101</v>
      </c>
      <c r="D900" s="3" t="s">
        <v>14</v>
      </c>
      <c r="E900" s="3" t="s">
        <v>15</v>
      </c>
      <c r="F900" s="3">
        <f t="shared" si="14"/>
        <v>0</v>
      </c>
      <c r="G900" s="3">
        <v>21329</v>
      </c>
      <c r="H900" s="3">
        <v>5</v>
      </c>
      <c r="I900" s="3">
        <v>91878</v>
      </c>
      <c r="J900" s="3">
        <f>IF(E900="Cold",1,0)</f>
        <v>1</v>
      </c>
      <c r="K900" s="3">
        <f>IF(E900="Hot",1,0)</f>
        <v>0</v>
      </c>
      <c r="L900" s="3">
        <v>2653</v>
      </c>
      <c r="M900" s="3">
        <v>62</v>
      </c>
      <c r="N900" s="4">
        <v>44105</v>
      </c>
      <c r="O900" s="10">
        <v>322381.32610000001</v>
      </c>
    </row>
    <row r="901" spans="1:15" x14ac:dyDescent="0.3">
      <c r="A901" s="2">
        <v>899</v>
      </c>
      <c r="B901" s="3" t="s">
        <v>35</v>
      </c>
      <c r="C901" s="3" t="s">
        <v>62</v>
      </c>
      <c r="D901" s="3" t="s">
        <v>18</v>
      </c>
      <c r="E901" s="3" t="s">
        <v>15</v>
      </c>
      <c r="F901" s="3">
        <f t="shared" si="14"/>
        <v>1</v>
      </c>
      <c r="G901" s="3">
        <v>17378</v>
      </c>
      <c r="H901" s="3">
        <v>6</v>
      </c>
      <c r="I901" s="3">
        <v>94723</v>
      </c>
      <c r="J901" s="3">
        <f>IF(E901="Cold",1,0)</f>
        <v>1</v>
      </c>
      <c r="K901" s="3">
        <f>IF(E901="Hot",1,0)</f>
        <v>0</v>
      </c>
      <c r="L901" s="3">
        <v>2532</v>
      </c>
      <c r="M901" s="3">
        <v>71</v>
      </c>
      <c r="N901" s="4">
        <v>45004</v>
      </c>
      <c r="O901" s="10">
        <v>385130.11790000001</v>
      </c>
    </row>
    <row r="902" spans="1:15" x14ac:dyDescent="0.3">
      <c r="A902" s="2">
        <v>900</v>
      </c>
      <c r="B902" s="3" t="s">
        <v>53</v>
      </c>
      <c r="C902" s="3" t="s">
        <v>212</v>
      </c>
      <c r="D902" s="3" t="s">
        <v>14</v>
      </c>
      <c r="E902" s="3" t="s">
        <v>15</v>
      </c>
      <c r="F902" s="3">
        <f t="shared" si="14"/>
        <v>0</v>
      </c>
      <c r="G902" s="3">
        <v>16249</v>
      </c>
      <c r="H902" s="3">
        <v>6</v>
      </c>
      <c r="I902" s="3">
        <v>90318</v>
      </c>
      <c r="J902" s="3">
        <f>IF(E902="Cold",1,0)</f>
        <v>1</v>
      </c>
      <c r="K902" s="3">
        <f>IF(E902="Hot",1,0)</f>
        <v>0</v>
      </c>
      <c r="L902" s="3">
        <v>1101</v>
      </c>
      <c r="M902" s="3">
        <v>51</v>
      </c>
      <c r="N902" s="4">
        <v>45423</v>
      </c>
      <c r="O902" s="10">
        <v>281808.75679999997</v>
      </c>
    </row>
    <row r="903" spans="1:15" x14ac:dyDescent="0.3">
      <c r="A903" s="2">
        <v>901</v>
      </c>
      <c r="B903" s="3" t="s">
        <v>108</v>
      </c>
      <c r="C903" s="3" t="s">
        <v>117</v>
      </c>
      <c r="D903" s="3" t="s">
        <v>14</v>
      </c>
      <c r="E903" s="3" t="s">
        <v>23</v>
      </c>
      <c r="F903" s="3">
        <f t="shared" si="14"/>
        <v>0</v>
      </c>
      <c r="G903" s="3">
        <v>9756</v>
      </c>
      <c r="H903" s="3">
        <v>2</v>
      </c>
      <c r="I903" s="3">
        <v>55427</v>
      </c>
      <c r="J903" s="3">
        <f>IF(E903="Cold",1,0)</f>
        <v>0</v>
      </c>
      <c r="K903" s="3">
        <f>IF(E903="Hot",1,0)</f>
        <v>0</v>
      </c>
      <c r="L903" s="3">
        <v>2853</v>
      </c>
      <c r="M903" s="3">
        <v>53</v>
      </c>
      <c r="N903" s="4">
        <v>45513</v>
      </c>
      <c r="O903" s="10">
        <v>355244.0526</v>
      </c>
    </row>
    <row r="904" spans="1:15" x14ac:dyDescent="0.3">
      <c r="A904" s="2">
        <v>902</v>
      </c>
      <c r="B904" s="3" t="s">
        <v>74</v>
      </c>
      <c r="C904" s="3" t="s">
        <v>106</v>
      </c>
      <c r="D904" s="3" t="s">
        <v>18</v>
      </c>
      <c r="E904" s="3" t="s">
        <v>23</v>
      </c>
      <c r="F904" s="3">
        <f t="shared" si="14"/>
        <v>1</v>
      </c>
      <c r="G904" s="3">
        <v>10411</v>
      </c>
      <c r="H904" s="3">
        <v>8</v>
      </c>
      <c r="I904" s="3">
        <v>99807</v>
      </c>
      <c r="J904" s="3">
        <f>IF(E904="Cold",1,0)</f>
        <v>0</v>
      </c>
      <c r="K904" s="3">
        <f>IF(E904="Hot",1,0)</f>
        <v>0</v>
      </c>
      <c r="L904" s="3">
        <v>1016</v>
      </c>
      <c r="M904" s="3">
        <v>52</v>
      </c>
      <c r="N904" s="4">
        <v>44131</v>
      </c>
      <c r="O904" s="10">
        <v>341137.58010000002</v>
      </c>
    </row>
    <row r="905" spans="1:15" x14ac:dyDescent="0.3">
      <c r="A905" s="2">
        <v>903</v>
      </c>
      <c r="B905" s="3" t="s">
        <v>19</v>
      </c>
      <c r="C905" s="3" t="s">
        <v>155</v>
      </c>
      <c r="D905" s="3" t="s">
        <v>18</v>
      </c>
      <c r="E905" s="3" t="s">
        <v>23</v>
      </c>
      <c r="F905" s="3">
        <f t="shared" si="14"/>
        <v>1</v>
      </c>
      <c r="G905" s="3">
        <v>7714</v>
      </c>
      <c r="H905" s="3">
        <v>5</v>
      </c>
      <c r="I905" s="3">
        <v>94678</v>
      </c>
      <c r="J905" s="3">
        <f>IF(E905="Cold",1,0)</f>
        <v>0</v>
      </c>
      <c r="K905" s="3">
        <f>IF(E905="Hot",1,0)</f>
        <v>0</v>
      </c>
      <c r="L905" s="3">
        <v>1211</v>
      </c>
      <c r="M905" s="3">
        <v>55</v>
      </c>
      <c r="N905" s="4">
        <v>44338</v>
      </c>
      <c r="O905" s="10">
        <v>376899.00410000002</v>
      </c>
    </row>
    <row r="906" spans="1:15" x14ac:dyDescent="0.3">
      <c r="A906" s="2">
        <v>904</v>
      </c>
      <c r="B906" s="3" t="s">
        <v>37</v>
      </c>
      <c r="C906" s="3" t="s">
        <v>202</v>
      </c>
      <c r="D906" s="3" t="s">
        <v>14</v>
      </c>
      <c r="E906" s="3" t="s">
        <v>21</v>
      </c>
      <c r="F906" s="3">
        <f t="shared" si="14"/>
        <v>0</v>
      </c>
      <c r="G906" s="3">
        <v>5481</v>
      </c>
      <c r="H906" s="3">
        <v>8</v>
      </c>
      <c r="I906" s="3">
        <v>95252</v>
      </c>
      <c r="J906" s="3">
        <f>IF(E906="Cold",1,0)</f>
        <v>0</v>
      </c>
      <c r="K906" s="3">
        <f>IF(E906="Hot",1,0)</f>
        <v>1</v>
      </c>
      <c r="L906" s="3">
        <v>1100</v>
      </c>
      <c r="M906" s="3">
        <v>95</v>
      </c>
      <c r="N906" s="4">
        <v>44366</v>
      </c>
      <c r="O906" s="10">
        <v>312930.82569999999</v>
      </c>
    </row>
    <row r="907" spans="1:15" x14ac:dyDescent="0.3">
      <c r="A907" s="2">
        <v>905</v>
      </c>
      <c r="B907" s="3" t="s">
        <v>57</v>
      </c>
      <c r="C907" s="3" t="s">
        <v>86</v>
      </c>
      <c r="D907" s="3" t="s">
        <v>14</v>
      </c>
      <c r="E907" s="3" t="s">
        <v>23</v>
      </c>
      <c r="F907" s="3">
        <f t="shared" si="14"/>
        <v>0</v>
      </c>
      <c r="G907" s="3">
        <v>17037</v>
      </c>
      <c r="H907" s="3">
        <v>6</v>
      </c>
      <c r="I907" s="3">
        <v>92378</v>
      </c>
      <c r="J907" s="3">
        <f>IF(E907="Cold",1,0)</f>
        <v>0</v>
      </c>
      <c r="K907" s="3">
        <f>IF(E907="Hot",1,0)</f>
        <v>0</v>
      </c>
      <c r="L907" s="3">
        <v>1782</v>
      </c>
      <c r="M907" s="3">
        <v>29</v>
      </c>
      <c r="N907" s="4">
        <v>44503</v>
      </c>
      <c r="O907" s="10">
        <v>324180.24540000001</v>
      </c>
    </row>
    <row r="908" spans="1:15" x14ac:dyDescent="0.3">
      <c r="A908" s="2">
        <v>906</v>
      </c>
      <c r="B908" s="3" t="s">
        <v>19</v>
      </c>
      <c r="C908" s="3" t="s">
        <v>218</v>
      </c>
      <c r="D908" s="3" t="s">
        <v>14</v>
      </c>
      <c r="E908" s="3" t="s">
        <v>21</v>
      </c>
      <c r="F908" s="3">
        <f t="shared" si="14"/>
        <v>0</v>
      </c>
      <c r="G908" s="3">
        <v>18034</v>
      </c>
      <c r="H908" s="3">
        <v>3</v>
      </c>
      <c r="I908" s="3">
        <v>59066</v>
      </c>
      <c r="J908" s="3">
        <f>IF(E908="Cold",1,0)</f>
        <v>0</v>
      </c>
      <c r="K908" s="3">
        <f>IF(E908="Hot",1,0)</f>
        <v>1</v>
      </c>
      <c r="L908" s="3">
        <v>1688</v>
      </c>
      <c r="M908" s="3">
        <v>83</v>
      </c>
      <c r="N908" s="4">
        <v>44904</v>
      </c>
      <c r="O908" s="10">
        <v>339163.23</v>
      </c>
    </row>
    <row r="909" spans="1:15" x14ac:dyDescent="0.3">
      <c r="A909" s="2">
        <v>907</v>
      </c>
      <c r="B909" s="3" t="s">
        <v>12</v>
      </c>
      <c r="C909" s="3" t="s">
        <v>126</v>
      </c>
      <c r="D909" s="3" t="s">
        <v>14</v>
      </c>
      <c r="E909" s="3" t="s">
        <v>23</v>
      </c>
      <c r="F909" s="3">
        <f t="shared" si="14"/>
        <v>0</v>
      </c>
      <c r="G909" s="3">
        <v>16694</v>
      </c>
      <c r="H909" s="3">
        <v>4</v>
      </c>
      <c r="I909" s="3">
        <v>94556</v>
      </c>
      <c r="J909" s="3">
        <f>IF(E909="Cold",1,0)</f>
        <v>0</v>
      </c>
      <c r="K909" s="3">
        <f>IF(E909="Hot",1,0)</f>
        <v>0</v>
      </c>
      <c r="L909" s="3">
        <v>2489</v>
      </c>
      <c r="M909" s="3">
        <v>31</v>
      </c>
      <c r="N909" s="4">
        <v>44454</v>
      </c>
      <c r="O909" s="10">
        <v>344457.11109999998</v>
      </c>
    </row>
    <row r="910" spans="1:15" x14ac:dyDescent="0.3">
      <c r="A910" s="2">
        <v>908</v>
      </c>
      <c r="B910" s="3" t="s">
        <v>122</v>
      </c>
      <c r="C910" s="3" t="s">
        <v>189</v>
      </c>
      <c r="D910" s="3" t="s">
        <v>18</v>
      </c>
      <c r="E910" s="3" t="s">
        <v>15</v>
      </c>
      <c r="F910" s="3">
        <f t="shared" si="14"/>
        <v>1</v>
      </c>
      <c r="G910" s="3">
        <v>12762</v>
      </c>
      <c r="H910" s="3">
        <v>5</v>
      </c>
      <c r="I910" s="3">
        <v>60555</v>
      </c>
      <c r="J910" s="3">
        <f>IF(E910="Cold",1,0)</f>
        <v>1</v>
      </c>
      <c r="K910" s="3">
        <f>IF(E910="Hot",1,0)</f>
        <v>0</v>
      </c>
      <c r="L910" s="3">
        <v>1057</v>
      </c>
      <c r="M910" s="3">
        <v>65</v>
      </c>
      <c r="N910" s="4">
        <v>44631</v>
      </c>
      <c r="O910" s="10">
        <v>335309.67700000003</v>
      </c>
    </row>
    <row r="911" spans="1:15" x14ac:dyDescent="0.3">
      <c r="A911" s="2">
        <v>909</v>
      </c>
      <c r="B911" s="3" t="s">
        <v>35</v>
      </c>
      <c r="C911" s="3" t="s">
        <v>62</v>
      </c>
      <c r="D911" s="3" t="s">
        <v>18</v>
      </c>
      <c r="E911" s="3" t="s">
        <v>21</v>
      </c>
      <c r="F911" s="3">
        <f t="shared" si="14"/>
        <v>1</v>
      </c>
      <c r="G911" s="3">
        <v>5388</v>
      </c>
      <c r="H911" s="3">
        <v>1</v>
      </c>
      <c r="I911" s="3">
        <v>88049</v>
      </c>
      <c r="J911" s="3">
        <f>IF(E911="Cold",1,0)</f>
        <v>0</v>
      </c>
      <c r="K911" s="3">
        <f>IF(E911="Hot",1,0)</f>
        <v>1</v>
      </c>
      <c r="L911" s="3">
        <v>1020</v>
      </c>
      <c r="M911" s="3">
        <v>45</v>
      </c>
      <c r="N911" s="4">
        <v>45452</v>
      </c>
      <c r="O911" s="10">
        <v>373024.0735</v>
      </c>
    </row>
    <row r="912" spans="1:15" x14ac:dyDescent="0.3">
      <c r="A912" s="2">
        <v>910</v>
      </c>
      <c r="B912" s="3" t="s">
        <v>12</v>
      </c>
      <c r="C912" s="3" t="s">
        <v>140</v>
      </c>
      <c r="D912" s="3" t="s">
        <v>14</v>
      </c>
      <c r="E912" s="3" t="s">
        <v>21</v>
      </c>
      <c r="F912" s="3">
        <f t="shared" si="14"/>
        <v>0</v>
      </c>
      <c r="G912" s="3">
        <v>27335</v>
      </c>
      <c r="H912" s="3">
        <v>2</v>
      </c>
      <c r="I912" s="3">
        <v>58825</v>
      </c>
      <c r="J912" s="3">
        <f>IF(E912="Cold",1,0)</f>
        <v>0</v>
      </c>
      <c r="K912" s="3">
        <f>IF(E912="Hot",1,0)</f>
        <v>1</v>
      </c>
      <c r="L912" s="3">
        <v>2789</v>
      </c>
      <c r="M912" s="3">
        <v>88</v>
      </c>
      <c r="N912" s="4">
        <v>44017</v>
      </c>
      <c r="O912" s="10">
        <v>382377.30570000003</v>
      </c>
    </row>
    <row r="913" spans="1:15" x14ac:dyDescent="0.3">
      <c r="A913" s="2">
        <v>911</v>
      </c>
      <c r="B913" s="3" t="s">
        <v>31</v>
      </c>
      <c r="C913" s="3" t="s">
        <v>165</v>
      </c>
      <c r="D913" s="3" t="s">
        <v>18</v>
      </c>
      <c r="E913" s="3" t="s">
        <v>23</v>
      </c>
      <c r="F913" s="3">
        <f t="shared" si="14"/>
        <v>1</v>
      </c>
      <c r="G913" s="3">
        <v>14862</v>
      </c>
      <c r="H913" s="3">
        <v>6</v>
      </c>
      <c r="I913" s="3">
        <v>98682</v>
      </c>
      <c r="J913" s="3">
        <f>IF(E913="Cold",1,0)</f>
        <v>0</v>
      </c>
      <c r="K913" s="3">
        <f>IF(E913="Hot",1,0)</f>
        <v>0</v>
      </c>
      <c r="L913" s="3">
        <v>2120</v>
      </c>
      <c r="M913" s="3">
        <v>48</v>
      </c>
      <c r="N913" s="4">
        <v>44495</v>
      </c>
      <c r="O913" s="10">
        <v>353589.212</v>
      </c>
    </row>
    <row r="914" spans="1:15" x14ac:dyDescent="0.3">
      <c r="A914" s="2">
        <v>912</v>
      </c>
      <c r="B914" s="3" t="s">
        <v>35</v>
      </c>
      <c r="C914" s="3" t="s">
        <v>191</v>
      </c>
      <c r="D914" s="3" t="s">
        <v>14</v>
      </c>
      <c r="E914" s="3" t="s">
        <v>15</v>
      </c>
      <c r="F914" s="3">
        <f t="shared" si="14"/>
        <v>0</v>
      </c>
      <c r="G914" s="3">
        <v>28559</v>
      </c>
      <c r="H914" s="3">
        <v>4</v>
      </c>
      <c r="I914" s="3">
        <v>61211</v>
      </c>
      <c r="J914" s="3">
        <f>IF(E914="Cold",1,0)</f>
        <v>1</v>
      </c>
      <c r="K914" s="3">
        <f>IF(E914="Hot",1,0)</f>
        <v>0</v>
      </c>
      <c r="L914" s="3">
        <v>2084</v>
      </c>
      <c r="M914" s="3">
        <v>44</v>
      </c>
      <c r="N914" s="4">
        <v>43979</v>
      </c>
      <c r="O914" s="10">
        <v>333005.71159999998</v>
      </c>
    </row>
    <row r="915" spans="1:15" x14ac:dyDescent="0.3">
      <c r="A915" s="2">
        <v>913</v>
      </c>
      <c r="B915" s="3" t="s">
        <v>44</v>
      </c>
      <c r="C915" s="3" t="s">
        <v>201</v>
      </c>
      <c r="D915" s="3" t="s">
        <v>18</v>
      </c>
      <c r="E915" s="3" t="s">
        <v>23</v>
      </c>
      <c r="F915" s="3">
        <f t="shared" si="14"/>
        <v>1</v>
      </c>
      <c r="G915" s="3">
        <v>3040</v>
      </c>
      <c r="H915" s="3">
        <v>3</v>
      </c>
      <c r="I915" s="3">
        <v>60535</v>
      </c>
      <c r="J915" s="3">
        <f>IF(E915="Cold",1,0)</f>
        <v>0</v>
      </c>
      <c r="K915" s="3">
        <f>IF(E915="Hot",1,0)</f>
        <v>0</v>
      </c>
      <c r="L915" s="3">
        <v>1983</v>
      </c>
      <c r="M915" s="3">
        <v>41</v>
      </c>
      <c r="N915" s="4">
        <v>45425</v>
      </c>
      <c r="O915" s="10">
        <v>409435.1655</v>
      </c>
    </row>
    <row r="916" spans="1:15" x14ac:dyDescent="0.3">
      <c r="A916" s="2">
        <v>914</v>
      </c>
      <c r="B916" s="3" t="s">
        <v>31</v>
      </c>
      <c r="C916" s="3" t="s">
        <v>185</v>
      </c>
      <c r="D916" s="3" t="s">
        <v>18</v>
      </c>
      <c r="E916" s="3" t="s">
        <v>15</v>
      </c>
      <c r="F916" s="3">
        <f t="shared" si="14"/>
        <v>1</v>
      </c>
      <c r="G916" s="3">
        <v>14735</v>
      </c>
      <c r="H916" s="3">
        <v>1</v>
      </c>
      <c r="I916" s="3">
        <v>62219</v>
      </c>
      <c r="J916" s="3">
        <f>IF(E916="Cold",1,0)</f>
        <v>1</v>
      </c>
      <c r="K916" s="3">
        <f>IF(E916="Hot",1,0)</f>
        <v>0</v>
      </c>
      <c r="L916" s="3">
        <v>2024</v>
      </c>
      <c r="M916" s="3">
        <v>54</v>
      </c>
      <c r="N916" s="4">
        <v>45217</v>
      </c>
      <c r="O916" s="10">
        <v>362717.45069999999</v>
      </c>
    </row>
    <row r="917" spans="1:15" x14ac:dyDescent="0.3">
      <c r="A917" s="2">
        <v>915</v>
      </c>
      <c r="B917" s="3" t="s">
        <v>16</v>
      </c>
      <c r="C917" s="3" t="s">
        <v>87</v>
      </c>
      <c r="D917" s="3" t="s">
        <v>14</v>
      </c>
      <c r="E917" s="3" t="s">
        <v>23</v>
      </c>
      <c r="F917" s="3">
        <f t="shared" si="14"/>
        <v>0</v>
      </c>
      <c r="G917" s="3">
        <v>23529</v>
      </c>
      <c r="H917" s="3">
        <v>8</v>
      </c>
      <c r="I917" s="3">
        <v>85954</v>
      </c>
      <c r="J917" s="3">
        <f>IF(E917="Cold",1,0)</f>
        <v>0</v>
      </c>
      <c r="K917" s="3">
        <f>IF(E917="Hot",1,0)</f>
        <v>0</v>
      </c>
      <c r="L917" s="3">
        <v>1764</v>
      </c>
      <c r="M917" s="3">
        <v>40</v>
      </c>
      <c r="N917" s="4">
        <v>45079</v>
      </c>
      <c r="O917" s="10">
        <v>336885.51419999998</v>
      </c>
    </row>
    <row r="918" spans="1:15" x14ac:dyDescent="0.3">
      <c r="A918" s="2">
        <v>916</v>
      </c>
      <c r="B918" s="3" t="s">
        <v>44</v>
      </c>
      <c r="C918" s="3" t="s">
        <v>45</v>
      </c>
      <c r="D918" s="3" t="s">
        <v>18</v>
      </c>
      <c r="E918" s="3" t="s">
        <v>21</v>
      </c>
      <c r="F918" s="3">
        <f t="shared" si="14"/>
        <v>1</v>
      </c>
      <c r="G918" s="3">
        <v>24797</v>
      </c>
      <c r="H918" s="3">
        <v>1</v>
      </c>
      <c r="I918" s="3">
        <v>60841</v>
      </c>
      <c r="J918" s="3">
        <f>IF(E918="Cold",1,0)</f>
        <v>0</v>
      </c>
      <c r="K918" s="3">
        <f>IF(E918="Hot",1,0)</f>
        <v>1</v>
      </c>
      <c r="L918" s="3">
        <v>1483</v>
      </c>
      <c r="M918" s="3">
        <v>58</v>
      </c>
      <c r="N918" s="4">
        <v>44896</v>
      </c>
      <c r="O918" s="10">
        <v>378252.61829999997</v>
      </c>
    </row>
    <row r="919" spans="1:15" x14ac:dyDescent="0.3">
      <c r="A919" s="2">
        <v>917</v>
      </c>
      <c r="B919" s="3" t="s">
        <v>40</v>
      </c>
      <c r="C919" s="3" t="s">
        <v>103</v>
      </c>
      <c r="D919" s="3" t="s">
        <v>14</v>
      </c>
      <c r="E919" s="3" t="s">
        <v>21</v>
      </c>
      <c r="F919" s="3">
        <f t="shared" si="14"/>
        <v>0</v>
      </c>
      <c r="G919" s="3">
        <v>16412</v>
      </c>
      <c r="H919" s="3">
        <v>3</v>
      </c>
      <c r="I919" s="3">
        <v>50988</v>
      </c>
      <c r="J919" s="3">
        <f>IF(E919="Cold",1,0)</f>
        <v>0</v>
      </c>
      <c r="K919" s="3">
        <f>IF(E919="Hot",1,0)</f>
        <v>1</v>
      </c>
      <c r="L919" s="3">
        <v>2289</v>
      </c>
      <c r="M919" s="3">
        <v>33</v>
      </c>
      <c r="N919" s="4">
        <v>44107</v>
      </c>
      <c r="O919" s="10">
        <v>342847.72930000001</v>
      </c>
    </row>
    <row r="920" spans="1:15" x14ac:dyDescent="0.3">
      <c r="A920" s="2">
        <v>918</v>
      </c>
      <c r="B920" s="3" t="s">
        <v>24</v>
      </c>
      <c r="C920" s="3" t="s">
        <v>25</v>
      </c>
      <c r="D920" s="3" t="s">
        <v>14</v>
      </c>
      <c r="E920" s="3" t="s">
        <v>15</v>
      </c>
      <c r="F920" s="3">
        <f t="shared" si="14"/>
        <v>0</v>
      </c>
      <c r="G920" s="3">
        <v>6654</v>
      </c>
      <c r="H920" s="3">
        <v>5</v>
      </c>
      <c r="I920" s="3">
        <v>83001</v>
      </c>
      <c r="J920" s="3">
        <f>IF(E920="Cold",1,0)</f>
        <v>1</v>
      </c>
      <c r="K920" s="3">
        <f>IF(E920="Hot",1,0)</f>
        <v>0</v>
      </c>
      <c r="L920" s="3">
        <v>2817</v>
      </c>
      <c r="M920" s="3">
        <v>28</v>
      </c>
      <c r="N920" s="4">
        <v>45441</v>
      </c>
      <c r="O920" s="10">
        <v>328981.9828</v>
      </c>
    </row>
    <row r="921" spans="1:15" x14ac:dyDescent="0.3">
      <c r="A921" s="2">
        <v>919</v>
      </c>
      <c r="B921" s="3" t="s">
        <v>108</v>
      </c>
      <c r="C921" s="3" t="s">
        <v>203</v>
      </c>
      <c r="D921" s="3" t="s">
        <v>18</v>
      </c>
      <c r="E921" s="3" t="s">
        <v>15</v>
      </c>
      <c r="F921" s="3">
        <f t="shared" si="14"/>
        <v>1</v>
      </c>
      <c r="G921" s="3">
        <v>28688</v>
      </c>
      <c r="H921" s="3">
        <v>7</v>
      </c>
      <c r="I921" s="3">
        <v>84767</v>
      </c>
      <c r="J921" s="3">
        <f>IF(E921="Cold",1,0)</f>
        <v>1</v>
      </c>
      <c r="K921" s="3">
        <f>IF(E921="Hot",1,0)</f>
        <v>0</v>
      </c>
      <c r="L921" s="3">
        <v>1799</v>
      </c>
      <c r="M921" s="3">
        <v>98</v>
      </c>
      <c r="N921" s="4">
        <v>45353</v>
      </c>
      <c r="O921" s="10">
        <v>369402.30320000002</v>
      </c>
    </row>
    <row r="922" spans="1:15" x14ac:dyDescent="0.3">
      <c r="A922" s="2">
        <v>920</v>
      </c>
      <c r="B922" s="3" t="s">
        <v>29</v>
      </c>
      <c r="C922" s="3" t="s">
        <v>104</v>
      </c>
      <c r="D922" s="3" t="s">
        <v>18</v>
      </c>
      <c r="E922" s="3" t="s">
        <v>23</v>
      </c>
      <c r="F922" s="3">
        <f t="shared" si="14"/>
        <v>1</v>
      </c>
      <c r="G922" s="3">
        <v>23586</v>
      </c>
      <c r="H922" s="3">
        <v>5</v>
      </c>
      <c r="I922" s="3">
        <v>92238</v>
      </c>
      <c r="J922" s="3">
        <f>IF(E922="Cold",1,0)</f>
        <v>0</v>
      </c>
      <c r="K922" s="3">
        <f>IF(E922="Hot",1,0)</f>
        <v>0</v>
      </c>
      <c r="L922" s="3">
        <v>2089</v>
      </c>
      <c r="M922" s="3">
        <v>56</v>
      </c>
      <c r="N922" s="4">
        <v>43887</v>
      </c>
      <c r="O922" s="10">
        <v>385243.25150000001</v>
      </c>
    </row>
    <row r="923" spans="1:15" x14ac:dyDescent="0.3">
      <c r="A923" s="2">
        <v>921</v>
      </c>
      <c r="B923" s="3" t="s">
        <v>72</v>
      </c>
      <c r="C923" s="3" t="s">
        <v>180</v>
      </c>
      <c r="D923" s="3" t="s">
        <v>14</v>
      </c>
      <c r="E923" s="3" t="s">
        <v>23</v>
      </c>
      <c r="F923" s="3">
        <f t="shared" si="14"/>
        <v>0</v>
      </c>
      <c r="G923" s="3">
        <v>27691</v>
      </c>
      <c r="H923" s="3">
        <v>2</v>
      </c>
      <c r="I923" s="3">
        <v>89703</v>
      </c>
      <c r="J923" s="3">
        <f>IF(E923="Cold",1,0)</f>
        <v>0</v>
      </c>
      <c r="K923" s="3">
        <f>IF(E923="Hot",1,0)</f>
        <v>0</v>
      </c>
      <c r="L923" s="3">
        <v>2921</v>
      </c>
      <c r="M923" s="3">
        <v>78</v>
      </c>
      <c r="N923" s="4">
        <v>45124</v>
      </c>
      <c r="O923" s="10">
        <v>391689.99979999999</v>
      </c>
    </row>
    <row r="924" spans="1:15" x14ac:dyDescent="0.3">
      <c r="A924" s="2">
        <v>922</v>
      </c>
      <c r="B924" s="3" t="s">
        <v>24</v>
      </c>
      <c r="C924" s="3" t="s">
        <v>154</v>
      </c>
      <c r="D924" s="3" t="s">
        <v>14</v>
      </c>
      <c r="E924" s="3" t="s">
        <v>21</v>
      </c>
      <c r="F924" s="3">
        <f t="shared" si="14"/>
        <v>0</v>
      </c>
      <c r="G924" s="3">
        <v>23372</v>
      </c>
      <c r="H924" s="3">
        <v>8</v>
      </c>
      <c r="I924" s="3">
        <v>77225</v>
      </c>
      <c r="J924" s="3">
        <f>IF(E924="Cold",1,0)</f>
        <v>0</v>
      </c>
      <c r="K924" s="3">
        <f>IF(E924="Hot",1,0)</f>
        <v>1</v>
      </c>
      <c r="L924" s="3">
        <v>1898</v>
      </c>
      <c r="M924" s="3">
        <v>43</v>
      </c>
      <c r="N924" s="4">
        <v>43983</v>
      </c>
      <c r="O924" s="10">
        <v>349072.2231</v>
      </c>
    </row>
    <row r="925" spans="1:15" x14ac:dyDescent="0.3">
      <c r="A925" s="2">
        <v>923</v>
      </c>
      <c r="B925" s="3" t="s">
        <v>122</v>
      </c>
      <c r="C925" s="3" t="s">
        <v>222</v>
      </c>
      <c r="D925" s="3" t="s">
        <v>18</v>
      </c>
      <c r="E925" s="3" t="s">
        <v>23</v>
      </c>
      <c r="F925" s="3">
        <f t="shared" si="14"/>
        <v>1</v>
      </c>
      <c r="G925" s="3">
        <v>17278</v>
      </c>
      <c r="H925" s="3">
        <v>9</v>
      </c>
      <c r="I925" s="3">
        <v>95676</v>
      </c>
      <c r="J925" s="3">
        <f>IF(E925="Cold",1,0)</f>
        <v>0</v>
      </c>
      <c r="K925" s="3">
        <f>IF(E925="Hot",1,0)</f>
        <v>0</v>
      </c>
      <c r="L925" s="3">
        <v>1239</v>
      </c>
      <c r="M925" s="3">
        <v>81</v>
      </c>
      <c r="N925" s="4">
        <v>44388</v>
      </c>
      <c r="O925" s="10">
        <v>374655.89620000002</v>
      </c>
    </row>
    <row r="926" spans="1:15" x14ac:dyDescent="0.3">
      <c r="A926" s="2">
        <v>924</v>
      </c>
      <c r="B926" s="3" t="s">
        <v>57</v>
      </c>
      <c r="C926" s="3" t="s">
        <v>168</v>
      </c>
      <c r="D926" s="3" t="s">
        <v>14</v>
      </c>
      <c r="E926" s="3" t="s">
        <v>23</v>
      </c>
      <c r="F926" s="3">
        <f t="shared" si="14"/>
        <v>0</v>
      </c>
      <c r="G926" s="3">
        <v>15604</v>
      </c>
      <c r="H926" s="3">
        <v>7</v>
      </c>
      <c r="I926" s="3">
        <v>78790</v>
      </c>
      <c r="J926" s="3">
        <f>IF(E926="Cold",1,0)</f>
        <v>0</v>
      </c>
      <c r="K926" s="3">
        <f>IF(E926="Hot",1,0)</f>
        <v>0</v>
      </c>
      <c r="L926" s="3">
        <v>1680</v>
      </c>
      <c r="M926" s="3">
        <v>91</v>
      </c>
      <c r="N926" s="4">
        <v>44330</v>
      </c>
      <c r="O926" s="10">
        <v>335471.51169999997</v>
      </c>
    </row>
    <row r="927" spans="1:15" x14ac:dyDescent="0.3">
      <c r="A927" s="2">
        <v>925</v>
      </c>
      <c r="B927" s="3" t="s">
        <v>26</v>
      </c>
      <c r="C927" s="3" t="s">
        <v>27</v>
      </c>
      <c r="D927" s="3" t="s">
        <v>14</v>
      </c>
      <c r="E927" s="3" t="s">
        <v>15</v>
      </c>
      <c r="F927" s="3">
        <f t="shared" si="14"/>
        <v>0</v>
      </c>
      <c r="G927" s="3">
        <v>16175</v>
      </c>
      <c r="H927" s="3">
        <v>7</v>
      </c>
      <c r="I927" s="3">
        <v>93326</v>
      </c>
      <c r="J927" s="3">
        <f>IF(E927="Cold",1,0)</f>
        <v>1</v>
      </c>
      <c r="K927" s="3">
        <f>IF(E927="Hot",1,0)</f>
        <v>0</v>
      </c>
      <c r="L927" s="3">
        <v>1489</v>
      </c>
      <c r="M927" s="3">
        <v>78</v>
      </c>
      <c r="N927" s="4">
        <v>45500</v>
      </c>
      <c r="O927" s="10">
        <v>315404.54119999998</v>
      </c>
    </row>
    <row r="928" spans="1:15" x14ac:dyDescent="0.3">
      <c r="A928" s="2">
        <v>926</v>
      </c>
      <c r="B928" s="3" t="s">
        <v>122</v>
      </c>
      <c r="C928" s="3" t="s">
        <v>195</v>
      </c>
      <c r="D928" s="3" t="s">
        <v>18</v>
      </c>
      <c r="E928" s="3" t="s">
        <v>15</v>
      </c>
      <c r="F928" s="3">
        <f t="shared" si="14"/>
        <v>1</v>
      </c>
      <c r="G928" s="3">
        <v>22941</v>
      </c>
      <c r="H928" s="3">
        <v>1</v>
      </c>
      <c r="I928" s="3">
        <v>93589</v>
      </c>
      <c r="J928" s="3">
        <f>IF(E928="Cold",1,0)</f>
        <v>1</v>
      </c>
      <c r="K928" s="3">
        <f>IF(E928="Hot",1,0)</f>
        <v>0</v>
      </c>
      <c r="L928" s="3">
        <v>2757</v>
      </c>
      <c r="M928" s="3">
        <v>64</v>
      </c>
      <c r="N928" s="4">
        <v>44973</v>
      </c>
      <c r="O928" s="10">
        <v>392033.87300000002</v>
      </c>
    </row>
    <row r="929" spans="1:15" x14ac:dyDescent="0.3">
      <c r="A929" s="2">
        <v>927</v>
      </c>
      <c r="B929" s="3" t="s">
        <v>74</v>
      </c>
      <c r="C929" s="3" t="s">
        <v>153</v>
      </c>
      <c r="D929" s="3" t="s">
        <v>18</v>
      </c>
      <c r="E929" s="3" t="s">
        <v>21</v>
      </c>
      <c r="F929" s="3">
        <f t="shared" si="14"/>
        <v>1</v>
      </c>
      <c r="G929" s="3">
        <v>27615</v>
      </c>
      <c r="H929" s="3">
        <v>7</v>
      </c>
      <c r="I929" s="3">
        <v>83182</v>
      </c>
      <c r="J929" s="3">
        <f>IF(E929="Cold",1,0)</f>
        <v>0</v>
      </c>
      <c r="K929" s="3">
        <f>IF(E929="Hot",1,0)</f>
        <v>1</v>
      </c>
      <c r="L929" s="3">
        <v>2251</v>
      </c>
      <c r="M929" s="3">
        <v>31</v>
      </c>
      <c r="N929" s="4">
        <v>43968</v>
      </c>
      <c r="O929" s="10">
        <v>385487.45380000002</v>
      </c>
    </row>
    <row r="930" spans="1:15" x14ac:dyDescent="0.3">
      <c r="A930" s="2">
        <v>928</v>
      </c>
      <c r="B930" s="3" t="s">
        <v>108</v>
      </c>
      <c r="C930" s="3" t="s">
        <v>115</v>
      </c>
      <c r="D930" s="3" t="s">
        <v>14</v>
      </c>
      <c r="E930" s="3" t="s">
        <v>23</v>
      </c>
      <c r="F930" s="3">
        <f t="shared" si="14"/>
        <v>0</v>
      </c>
      <c r="G930" s="3">
        <v>19010</v>
      </c>
      <c r="H930" s="3">
        <v>2</v>
      </c>
      <c r="I930" s="3">
        <v>91764</v>
      </c>
      <c r="J930" s="3">
        <f>IF(E930="Cold",1,0)</f>
        <v>0</v>
      </c>
      <c r="K930" s="3">
        <f>IF(E930="Hot",1,0)</f>
        <v>0</v>
      </c>
      <c r="L930" s="3">
        <v>1041</v>
      </c>
      <c r="M930" s="3">
        <v>50</v>
      </c>
      <c r="N930" s="4">
        <v>44372</v>
      </c>
      <c r="O930" s="10">
        <v>327718.01319999999</v>
      </c>
    </row>
    <row r="931" spans="1:15" x14ac:dyDescent="0.3">
      <c r="A931" s="2">
        <v>929</v>
      </c>
      <c r="B931" s="3" t="s">
        <v>19</v>
      </c>
      <c r="C931" s="3" t="s">
        <v>129</v>
      </c>
      <c r="D931" s="3" t="s">
        <v>14</v>
      </c>
      <c r="E931" s="3" t="s">
        <v>23</v>
      </c>
      <c r="F931" s="3">
        <f t="shared" si="14"/>
        <v>0</v>
      </c>
      <c r="G931" s="3">
        <v>27364</v>
      </c>
      <c r="H931" s="3">
        <v>3</v>
      </c>
      <c r="I931" s="3">
        <v>54724</v>
      </c>
      <c r="J931" s="3">
        <f>IF(E931="Cold",1,0)</f>
        <v>0</v>
      </c>
      <c r="K931" s="3">
        <f>IF(E931="Hot",1,0)</f>
        <v>0</v>
      </c>
      <c r="L931" s="3">
        <v>2353</v>
      </c>
      <c r="M931" s="3">
        <v>76</v>
      </c>
      <c r="N931" s="4">
        <v>44558</v>
      </c>
      <c r="O931" s="10">
        <v>379574.77120000002</v>
      </c>
    </row>
    <row r="932" spans="1:15" x14ac:dyDescent="0.3">
      <c r="A932" s="2">
        <v>930</v>
      </c>
      <c r="B932" s="3" t="s">
        <v>57</v>
      </c>
      <c r="C932" s="3" t="s">
        <v>116</v>
      </c>
      <c r="D932" s="3" t="s">
        <v>14</v>
      </c>
      <c r="E932" s="3" t="s">
        <v>23</v>
      </c>
      <c r="F932" s="3">
        <f t="shared" si="14"/>
        <v>0</v>
      </c>
      <c r="G932" s="3">
        <v>21525</v>
      </c>
      <c r="H932" s="3">
        <v>4</v>
      </c>
      <c r="I932" s="3">
        <v>65475</v>
      </c>
      <c r="J932" s="3">
        <f>IF(E932="Cold",1,0)</f>
        <v>0</v>
      </c>
      <c r="K932" s="3">
        <f>IF(E932="Hot",1,0)</f>
        <v>0</v>
      </c>
      <c r="L932" s="3">
        <v>2930</v>
      </c>
      <c r="M932" s="3">
        <v>45</v>
      </c>
      <c r="N932" s="4">
        <v>45397</v>
      </c>
      <c r="O932" s="10">
        <v>359276.06599999999</v>
      </c>
    </row>
    <row r="933" spans="1:15" x14ac:dyDescent="0.3">
      <c r="A933" s="2">
        <v>931</v>
      </c>
      <c r="B933" s="3" t="s">
        <v>26</v>
      </c>
      <c r="C933" s="3" t="s">
        <v>159</v>
      </c>
      <c r="D933" s="3" t="s">
        <v>18</v>
      </c>
      <c r="E933" s="3" t="s">
        <v>21</v>
      </c>
      <c r="F933" s="3">
        <f t="shared" si="14"/>
        <v>1</v>
      </c>
      <c r="G933" s="3">
        <v>28970</v>
      </c>
      <c r="H933" s="3">
        <v>3</v>
      </c>
      <c r="I933" s="3">
        <v>93799</v>
      </c>
      <c r="J933" s="3">
        <f>IF(E933="Cold",1,0)</f>
        <v>0</v>
      </c>
      <c r="K933" s="3">
        <f>IF(E933="Hot",1,0)</f>
        <v>1</v>
      </c>
      <c r="L933" s="3">
        <v>1793</v>
      </c>
      <c r="M933" s="3">
        <v>63</v>
      </c>
      <c r="N933" s="4">
        <v>44493</v>
      </c>
      <c r="O933" s="10">
        <v>380461.75280000002</v>
      </c>
    </row>
    <row r="934" spans="1:15" x14ac:dyDescent="0.3">
      <c r="A934" s="2">
        <v>932</v>
      </c>
      <c r="B934" s="3" t="s">
        <v>16</v>
      </c>
      <c r="C934" s="3" t="s">
        <v>183</v>
      </c>
      <c r="D934" s="3" t="s">
        <v>18</v>
      </c>
      <c r="E934" s="3" t="s">
        <v>15</v>
      </c>
      <c r="F934" s="3">
        <f t="shared" si="14"/>
        <v>1</v>
      </c>
      <c r="G934" s="3">
        <v>20169</v>
      </c>
      <c r="H934" s="3">
        <v>8</v>
      </c>
      <c r="I934" s="3">
        <v>54837</v>
      </c>
      <c r="J934" s="3">
        <f>IF(E934="Cold",1,0)</f>
        <v>1</v>
      </c>
      <c r="K934" s="3">
        <f>IF(E934="Hot",1,0)</f>
        <v>0</v>
      </c>
      <c r="L934" s="3">
        <v>1940</v>
      </c>
      <c r="M934" s="3">
        <v>42</v>
      </c>
      <c r="N934" s="4">
        <v>44344</v>
      </c>
      <c r="O934" s="10">
        <v>338853.29399999999</v>
      </c>
    </row>
    <row r="935" spans="1:15" x14ac:dyDescent="0.3">
      <c r="A935" s="2">
        <v>933</v>
      </c>
      <c r="B935" s="3" t="s">
        <v>29</v>
      </c>
      <c r="C935" s="3" t="s">
        <v>164</v>
      </c>
      <c r="D935" s="3" t="s">
        <v>14</v>
      </c>
      <c r="E935" s="3" t="s">
        <v>15</v>
      </c>
      <c r="F935" s="3">
        <f t="shared" si="14"/>
        <v>0</v>
      </c>
      <c r="G935" s="3">
        <v>8960</v>
      </c>
      <c r="H935" s="3">
        <v>3</v>
      </c>
      <c r="I935" s="3">
        <v>70684</v>
      </c>
      <c r="J935" s="3">
        <f>IF(E935="Cold",1,0)</f>
        <v>1</v>
      </c>
      <c r="K935" s="3">
        <f>IF(E935="Hot",1,0)</f>
        <v>0</v>
      </c>
      <c r="L935" s="3">
        <v>2712</v>
      </c>
      <c r="M935" s="3">
        <v>71</v>
      </c>
      <c r="N935" s="4">
        <v>44183</v>
      </c>
      <c r="O935" s="10">
        <v>337299.44309999997</v>
      </c>
    </row>
    <row r="936" spans="1:15" x14ac:dyDescent="0.3">
      <c r="A936" s="2">
        <v>934</v>
      </c>
      <c r="B936" s="3" t="s">
        <v>37</v>
      </c>
      <c r="C936" s="3" t="s">
        <v>38</v>
      </c>
      <c r="D936" s="3" t="s">
        <v>14</v>
      </c>
      <c r="E936" s="3" t="s">
        <v>21</v>
      </c>
      <c r="F936" s="3">
        <f t="shared" si="14"/>
        <v>0</v>
      </c>
      <c r="G936" s="3">
        <v>17669</v>
      </c>
      <c r="H936" s="3">
        <v>2</v>
      </c>
      <c r="I936" s="3">
        <v>91684</v>
      </c>
      <c r="J936" s="3">
        <f>IF(E936="Cold",1,0)</f>
        <v>0</v>
      </c>
      <c r="K936" s="3">
        <f>IF(E936="Hot",1,0)</f>
        <v>1</v>
      </c>
      <c r="L936" s="3">
        <v>1268</v>
      </c>
      <c r="M936" s="3">
        <v>44</v>
      </c>
      <c r="N936" s="4">
        <v>45360</v>
      </c>
      <c r="O936" s="10">
        <v>325976.83370000002</v>
      </c>
    </row>
    <row r="937" spans="1:15" x14ac:dyDescent="0.3">
      <c r="A937" s="2">
        <v>935</v>
      </c>
      <c r="B937" s="3" t="s">
        <v>16</v>
      </c>
      <c r="C937" s="3" t="s">
        <v>51</v>
      </c>
      <c r="D937" s="3" t="s">
        <v>14</v>
      </c>
      <c r="E937" s="3" t="s">
        <v>15</v>
      </c>
      <c r="F937" s="3">
        <f t="shared" si="14"/>
        <v>0</v>
      </c>
      <c r="G937" s="3">
        <v>27607</v>
      </c>
      <c r="H937" s="3">
        <v>7</v>
      </c>
      <c r="I937" s="3">
        <v>54583</v>
      </c>
      <c r="J937" s="3">
        <f>IF(E937="Cold",1,0)</f>
        <v>1</v>
      </c>
      <c r="K937" s="3">
        <f>IF(E937="Hot",1,0)</f>
        <v>0</v>
      </c>
      <c r="L937" s="3">
        <v>1045</v>
      </c>
      <c r="M937" s="3">
        <v>38</v>
      </c>
      <c r="N937" s="4">
        <v>43986</v>
      </c>
      <c r="O937" s="10">
        <v>295346.53899999999</v>
      </c>
    </row>
    <row r="938" spans="1:15" x14ac:dyDescent="0.3">
      <c r="A938" s="2">
        <v>936</v>
      </c>
      <c r="B938" s="3" t="s">
        <v>55</v>
      </c>
      <c r="C938" s="3" t="s">
        <v>105</v>
      </c>
      <c r="D938" s="3" t="s">
        <v>18</v>
      </c>
      <c r="E938" s="3" t="s">
        <v>21</v>
      </c>
      <c r="F938" s="3">
        <f t="shared" si="14"/>
        <v>1</v>
      </c>
      <c r="G938" s="3">
        <v>8093</v>
      </c>
      <c r="H938" s="3">
        <v>4</v>
      </c>
      <c r="I938" s="3">
        <v>73917</v>
      </c>
      <c r="J938" s="3">
        <f>IF(E938="Cold",1,0)</f>
        <v>0</v>
      </c>
      <c r="K938" s="3">
        <f>IF(E938="Hot",1,0)</f>
        <v>1</v>
      </c>
      <c r="L938" s="3">
        <v>2262</v>
      </c>
      <c r="M938" s="3">
        <v>25</v>
      </c>
      <c r="N938" s="4">
        <v>44168</v>
      </c>
      <c r="O938" s="10">
        <v>359562.06349999999</v>
      </c>
    </row>
    <row r="939" spans="1:15" x14ac:dyDescent="0.3">
      <c r="A939" s="2">
        <v>937</v>
      </c>
      <c r="B939" s="3" t="s">
        <v>35</v>
      </c>
      <c r="C939" s="3" t="s">
        <v>36</v>
      </c>
      <c r="D939" s="3" t="s">
        <v>14</v>
      </c>
      <c r="E939" s="3" t="s">
        <v>21</v>
      </c>
      <c r="F939" s="3">
        <f t="shared" si="14"/>
        <v>0</v>
      </c>
      <c r="G939" s="3">
        <v>19537</v>
      </c>
      <c r="H939" s="3">
        <v>6</v>
      </c>
      <c r="I939" s="3">
        <v>55176</v>
      </c>
      <c r="J939" s="3">
        <f>IF(E939="Cold",1,0)</f>
        <v>0</v>
      </c>
      <c r="K939" s="3">
        <f>IF(E939="Hot",1,0)</f>
        <v>1</v>
      </c>
      <c r="L939" s="3">
        <v>2467</v>
      </c>
      <c r="M939" s="3">
        <v>43</v>
      </c>
      <c r="N939" s="4">
        <v>44136</v>
      </c>
      <c r="O939" s="10">
        <v>345003.57520000002</v>
      </c>
    </row>
    <row r="940" spans="1:15" x14ac:dyDescent="0.3">
      <c r="A940" s="2">
        <v>938</v>
      </c>
      <c r="B940" s="3" t="s">
        <v>31</v>
      </c>
      <c r="C940" s="3" t="s">
        <v>186</v>
      </c>
      <c r="D940" s="3" t="s">
        <v>14</v>
      </c>
      <c r="E940" s="3" t="s">
        <v>23</v>
      </c>
      <c r="F940" s="3">
        <f t="shared" si="14"/>
        <v>0</v>
      </c>
      <c r="G940" s="3">
        <v>23007</v>
      </c>
      <c r="H940" s="3">
        <v>9</v>
      </c>
      <c r="I940" s="3">
        <v>85570</v>
      </c>
      <c r="J940" s="3">
        <f>IF(E940="Cold",1,0)</f>
        <v>0</v>
      </c>
      <c r="K940" s="3">
        <f>IF(E940="Hot",1,0)</f>
        <v>0</v>
      </c>
      <c r="L940" s="3">
        <v>2027</v>
      </c>
      <c r="M940" s="3">
        <v>71</v>
      </c>
      <c r="N940" s="4">
        <v>44189</v>
      </c>
      <c r="O940" s="10">
        <v>342329.33179999999</v>
      </c>
    </row>
    <row r="941" spans="1:15" x14ac:dyDescent="0.3">
      <c r="A941" s="2">
        <v>939</v>
      </c>
      <c r="B941" s="3" t="s">
        <v>31</v>
      </c>
      <c r="C941" s="3" t="s">
        <v>170</v>
      </c>
      <c r="D941" s="3" t="s">
        <v>14</v>
      </c>
      <c r="E941" s="3" t="s">
        <v>23</v>
      </c>
      <c r="F941" s="3">
        <f t="shared" si="14"/>
        <v>0</v>
      </c>
      <c r="G941" s="3">
        <v>25754</v>
      </c>
      <c r="H941" s="3">
        <v>9</v>
      </c>
      <c r="I941" s="3">
        <v>57120</v>
      </c>
      <c r="J941" s="3">
        <f>IF(E941="Cold",1,0)</f>
        <v>0</v>
      </c>
      <c r="K941" s="3">
        <f>IF(E941="Hot",1,0)</f>
        <v>0</v>
      </c>
      <c r="L941" s="3">
        <v>1554</v>
      </c>
      <c r="M941" s="3">
        <v>60</v>
      </c>
      <c r="N941" s="4">
        <v>44932</v>
      </c>
      <c r="O941" s="10">
        <v>316492.34179999999</v>
      </c>
    </row>
    <row r="942" spans="1:15" x14ac:dyDescent="0.3">
      <c r="A942" s="2">
        <v>940</v>
      </c>
      <c r="B942" s="3" t="s">
        <v>26</v>
      </c>
      <c r="C942" s="3" t="s">
        <v>64</v>
      </c>
      <c r="D942" s="3" t="s">
        <v>18</v>
      </c>
      <c r="E942" s="3" t="s">
        <v>23</v>
      </c>
      <c r="F942" s="3">
        <f t="shared" si="14"/>
        <v>1</v>
      </c>
      <c r="G942" s="3">
        <v>1125</v>
      </c>
      <c r="H942" s="3">
        <v>0</v>
      </c>
      <c r="I942" s="3">
        <v>69771</v>
      </c>
      <c r="J942" s="3">
        <f>IF(E942="Cold",1,0)</f>
        <v>0</v>
      </c>
      <c r="K942" s="3">
        <f>IF(E942="Hot",1,0)</f>
        <v>0</v>
      </c>
      <c r="L942" s="3">
        <v>2154</v>
      </c>
      <c r="M942" s="3">
        <v>34</v>
      </c>
      <c r="N942" s="4">
        <v>44673</v>
      </c>
      <c r="O942" s="10">
        <v>371395.12190000003</v>
      </c>
    </row>
    <row r="943" spans="1:15" x14ac:dyDescent="0.3">
      <c r="A943" s="2">
        <v>941</v>
      </c>
      <c r="B943" s="3" t="s">
        <v>12</v>
      </c>
      <c r="C943" s="3" t="s">
        <v>140</v>
      </c>
      <c r="D943" s="3" t="s">
        <v>14</v>
      </c>
      <c r="E943" s="3" t="s">
        <v>15</v>
      </c>
      <c r="F943" s="3">
        <f t="shared" si="14"/>
        <v>0</v>
      </c>
      <c r="G943" s="3">
        <v>24597</v>
      </c>
      <c r="H943" s="3">
        <v>0</v>
      </c>
      <c r="I943" s="3">
        <v>98070</v>
      </c>
      <c r="J943" s="3">
        <f>IF(E943="Cold",1,0)</f>
        <v>1</v>
      </c>
      <c r="K943" s="3">
        <f>IF(E943="Hot",1,0)</f>
        <v>0</v>
      </c>
      <c r="L943" s="3">
        <v>2046</v>
      </c>
      <c r="M943" s="3">
        <v>39</v>
      </c>
      <c r="N943" s="4">
        <v>44320</v>
      </c>
      <c r="O943" s="10">
        <v>313772.9351</v>
      </c>
    </row>
    <row r="944" spans="1:15" x14ac:dyDescent="0.3">
      <c r="A944" s="2">
        <v>942</v>
      </c>
      <c r="B944" s="3" t="s">
        <v>26</v>
      </c>
      <c r="C944" s="3" t="s">
        <v>48</v>
      </c>
      <c r="D944" s="3" t="s">
        <v>18</v>
      </c>
      <c r="E944" s="3" t="s">
        <v>23</v>
      </c>
      <c r="F944" s="3">
        <f t="shared" si="14"/>
        <v>1</v>
      </c>
      <c r="G944" s="3">
        <v>9346</v>
      </c>
      <c r="H944" s="3">
        <v>5</v>
      </c>
      <c r="I944" s="3">
        <v>99671</v>
      </c>
      <c r="J944" s="3">
        <f>IF(E944="Cold",1,0)</f>
        <v>0</v>
      </c>
      <c r="K944" s="3">
        <f>IF(E944="Hot",1,0)</f>
        <v>0</v>
      </c>
      <c r="L944" s="3">
        <v>2160</v>
      </c>
      <c r="M944" s="3">
        <v>44</v>
      </c>
      <c r="N944" s="4">
        <v>44289</v>
      </c>
      <c r="O944" s="10">
        <v>378068.67719999998</v>
      </c>
    </row>
    <row r="945" spans="1:15" x14ac:dyDescent="0.3">
      <c r="A945" s="2">
        <v>943</v>
      </c>
      <c r="B945" s="3" t="s">
        <v>55</v>
      </c>
      <c r="C945" s="3" t="s">
        <v>105</v>
      </c>
      <c r="D945" s="3" t="s">
        <v>18</v>
      </c>
      <c r="E945" s="3" t="s">
        <v>15</v>
      </c>
      <c r="F945" s="3">
        <f t="shared" si="14"/>
        <v>1</v>
      </c>
      <c r="G945" s="3">
        <v>11680</v>
      </c>
      <c r="H945" s="3">
        <v>0</v>
      </c>
      <c r="I945" s="3">
        <v>68062</v>
      </c>
      <c r="J945" s="3">
        <f>IF(E945="Cold",1,0)</f>
        <v>1</v>
      </c>
      <c r="K945" s="3">
        <f>IF(E945="Hot",1,0)</f>
        <v>0</v>
      </c>
      <c r="L945" s="3">
        <v>2316</v>
      </c>
      <c r="M945" s="3">
        <v>86</v>
      </c>
      <c r="N945" s="4">
        <v>45486</v>
      </c>
      <c r="O945" s="10">
        <v>377453.8567</v>
      </c>
    </row>
    <row r="946" spans="1:15" x14ac:dyDescent="0.3">
      <c r="A946" s="2">
        <v>944</v>
      </c>
      <c r="B946" s="3" t="s">
        <v>12</v>
      </c>
      <c r="C946" s="3" t="s">
        <v>95</v>
      </c>
      <c r="D946" s="3" t="s">
        <v>14</v>
      </c>
      <c r="E946" s="3" t="s">
        <v>21</v>
      </c>
      <c r="F946" s="3">
        <f t="shared" si="14"/>
        <v>0</v>
      </c>
      <c r="G946" s="3">
        <v>10451</v>
      </c>
      <c r="H946" s="3">
        <v>8</v>
      </c>
      <c r="I946" s="3">
        <v>90019</v>
      </c>
      <c r="J946" s="3">
        <f>IF(E946="Cold",1,0)</f>
        <v>0</v>
      </c>
      <c r="K946" s="3">
        <f>IF(E946="Hot",1,0)</f>
        <v>1</v>
      </c>
      <c r="L946" s="3">
        <v>2996</v>
      </c>
      <c r="M946" s="3">
        <v>98</v>
      </c>
      <c r="N946" s="4">
        <v>44929</v>
      </c>
      <c r="O946" s="10">
        <v>357368.179</v>
      </c>
    </row>
    <row r="947" spans="1:15" x14ac:dyDescent="0.3">
      <c r="A947" s="2">
        <v>945</v>
      </c>
      <c r="B947" s="3" t="s">
        <v>57</v>
      </c>
      <c r="C947" s="3" t="s">
        <v>206</v>
      </c>
      <c r="D947" s="3" t="s">
        <v>18</v>
      </c>
      <c r="E947" s="3" t="s">
        <v>21</v>
      </c>
      <c r="F947" s="3">
        <f t="shared" si="14"/>
        <v>1</v>
      </c>
      <c r="G947" s="3">
        <v>5985</v>
      </c>
      <c r="H947" s="3">
        <v>6</v>
      </c>
      <c r="I947" s="3">
        <v>67971</v>
      </c>
      <c r="J947" s="3">
        <f>IF(E947="Cold",1,0)</f>
        <v>0</v>
      </c>
      <c r="K947" s="3">
        <f>IF(E947="Hot",1,0)</f>
        <v>1</v>
      </c>
      <c r="L947" s="3">
        <v>2770</v>
      </c>
      <c r="M947" s="3">
        <v>24</v>
      </c>
      <c r="N947" s="4">
        <v>44272</v>
      </c>
      <c r="O947" s="10">
        <v>376688.65629999997</v>
      </c>
    </row>
    <row r="948" spans="1:15" x14ac:dyDescent="0.3">
      <c r="A948" s="2">
        <v>946</v>
      </c>
      <c r="B948" s="3" t="s">
        <v>44</v>
      </c>
      <c r="C948" s="3" t="s">
        <v>217</v>
      </c>
      <c r="D948" s="3" t="s">
        <v>14</v>
      </c>
      <c r="E948" s="3" t="s">
        <v>15</v>
      </c>
      <c r="F948" s="3">
        <f t="shared" si="14"/>
        <v>0</v>
      </c>
      <c r="G948" s="3">
        <v>7983</v>
      </c>
      <c r="H948" s="3">
        <v>5</v>
      </c>
      <c r="I948" s="3">
        <v>72331</v>
      </c>
      <c r="J948" s="3">
        <f>IF(E948="Cold",1,0)</f>
        <v>1</v>
      </c>
      <c r="K948" s="3">
        <f>IF(E948="Hot",1,0)</f>
        <v>0</v>
      </c>
      <c r="L948" s="3">
        <v>1718</v>
      </c>
      <c r="M948" s="3">
        <v>56</v>
      </c>
      <c r="N948" s="4">
        <v>45283</v>
      </c>
      <c r="O948" s="10">
        <v>302222.79239999998</v>
      </c>
    </row>
    <row r="949" spans="1:15" x14ac:dyDescent="0.3">
      <c r="A949" s="2">
        <v>947</v>
      </c>
      <c r="B949" s="3" t="s">
        <v>44</v>
      </c>
      <c r="C949" s="3" t="s">
        <v>223</v>
      </c>
      <c r="D949" s="3" t="s">
        <v>14</v>
      </c>
      <c r="E949" s="3" t="s">
        <v>15</v>
      </c>
      <c r="F949" s="3">
        <f t="shared" si="14"/>
        <v>0</v>
      </c>
      <c r="G949" s="3">
        <v>28858</v>
      </c>
      <c r="H949" s="3">
        <v>2</v>
      </c>
      <c r="I949" s="3">
        <v>56723</v>
      </c>
      <c r="J949" s="3">
        <f>IF(E949="Cold",1,0)</f>
        <v>1</v>
      </c>
      <c r="K949" s="3">
        <f>IF(E949="Hot",1,0)</f>
        <v>0</v>
      </c>
      <c r="L949" s="3">
        <v>1486</v>
      </c>
      <c r="M949" s="3">
        <v>39</v>
      </c>
      <c r="N949" s="4">
        <v>45101</v>
      </c>
      <c r="O949" s="10">
        <v>302493.08169999998</v>
      </c>
    </row>
    <row r="950" spans="1:15" x14ac:dyDescent="0.3">
      <c r="A950" s="2">
        <v>948</v>
      </c>
      <c r="B950" s="3" t="s">
        <v>37</v>
      </c>
      <c r="C950" s="3" t="s">
        <v>114</v>
      </c>
      <c r="D950" s="3" t="s">
        <v>18</v>
      </c>
      <c r="E950" s="3" t="s">
        <v>21</v>
      </c>
      <c r="F950" s="3">
        <f t="shared" si="14"/>
        <v>1</v>
      </c>
      <c r="G950" s="3">
        <v>17875</v>
      </c>
      <c r="H950" s="3">
        <v>9</v>
      </c>
      <c r="I950" s="3">
        <v>84810</v>
      </c>
      <c r="J950" s="3">
        <f>IF(E950="Cold",1,0)</f>
        <v>0</v>
      </c>
      <c r="K950" s="3">
        <f>IF(E950="Hot",1,0)</f>
        <v>1</v>
      </c>
      <c r="L950" s="3">
        <v>2200</v>
      </c>
      <c r="M950" s="3">
        <v>99</v>
      </c>
      <c r="N950" s="4">
        <v>44588</v>
      </c>
      <c r="O950" s="10">
        <v>399626.72330000001</v>
      </c>
    </row>
    <row r="951" spans="1:15" x14ac:dyDescent="0.3">
      <c r="A951" s="2">
        <v>949</v>
      </c>
      <c r="B951" s="3" t="s">
        <v>40</v>
      </c>
      <c r="C951" s="3" t="s">
        <v>121</v>
      </c>
      <c r="D951" s="3" t="s">
        <v>18</v>
      </c>
      <c r="E951" s="3" t="s">
        <v>23</v>
      </c>
      <c r="F951" s="3">
        <f t="shared" si="14"/>
        <v>1</v>
      </c>
      <c r="G951" s="3">
        <v>7773</v>
      </c>
      <c r="H951" s="3">
        <v>7</v>
      </c>
      <c r="I951" s="3">
        <v>59781</v>
      </c>
      <c r="J951" s="3">
        <f>IF(E951="Cold",1,0)</f>
        <v>0</v>
      </c>
      <c r="K951" s="3">
        <f>IF(E951="Hot",1,0)</f>
        <v>0</v>
      </c>
      <c r="L951" s="3">
        <v>1028</v>
      </c>
      <c r="M951" s="3">
        <v>85</v>
      </c>
      <c r="N951" s="4">
        <v>44034</v>
      </c>
      <c r="O951" s="10">
        <v>361469.2634</v>
      </c>
    </row>
    <row r="952" spans="1:15" x14ac:dyDescent="0.3">
      <c r="A952" s="2">
        <v>950</v>
      </c>
      <c r="B952" s="3" t="s">
        <v>28</v>
      </c>
      <c r="C952" s="3" t="s">
        <v>181</v>
      </c>
      <c r="D952" s="3" t="s">
        <v>18</v>
      </c>
      <c r="E952" s="3" t="s">
        <v>21</v>
      </c>
      <c r="F952" s="3">
        <f t="shared" si="14"/>
        <v>1</v>
      </c>
      <c r="G952" s="3">
        <v>14701</v>
      </c>
      <c r="H952" s="3">
        <v>8</v>
      </c>
      <c r="I952" s="3">
        <v>87756</v>
      </c>
      <c r="J952" s="3">
        <f>IF(E952="Cold",1,0)</f>
        <v>0</v>
      </c>
      <c r="K952" s="3">
        <f>IF(E952="Hot",1,0)</f>
        <v>1</v>
      </c>
      <c r="L952" s="3">
        <v>1189</v>
      </c>
      <c r="M952" s="3">
        <v>21</v>
      </c>
      <c r="N952" s="4">
        <v>45263</v>
      </c>
      <c r="O952" s="10">
        <v>335018.98420000001</v>
      </c>
    </row>
    <row r="953" spans="1:15" x14ac:dyDescent="0.3">
      <c r="A953" s="2">
        <v>951</v>
      </c>
      <c r="B953" s="3" t="s">
        <v>72</v>
      </c>
      <c r="C953" s="3" t="s">
        <v>151</v>
      </c>
      <c r="D953" s="3" t="s">
        <v>18</v>
      </c>
      <c r="E953" s="3" t="s">
        <v>15</v>
      </c>
      <c r="F953" s="3">
        <f t="shared" si="14"/>
        <v>1</v>
      </c>
      <c r="G953" s="3">
        <v>14729</v>
      </c>
      <c r="H953" s="3">
        <v>0</v>
      </c>
      <c r="I953" s="3">
        <v>76732</v>
      </c>
      <c r="J953" s="3">
        <f>IF(E953="Cold",1,0)</f>
        <v>1</v>
      </c>
      <c r="K953" s="3">
        <f>IF(E953="Hot",1,0)</f>
        <v>0</v>
      </c>
      <c r="L953" s="3">
        <v>1041</v>
      </c>
      <c r="M953" s="3">
        <v>99</v>
      </c>
      <c r="N953" s="4">
        <v>43953</v>
      </c>
      <c r="O953" s="10">
        <v>354431.2647</v>
      </c>
    </row>
    <row r="954" spans="1:15" x14ac:dyDescent="0.3">
      <c r="A954" s="2">
        <v>952</v>
      </c>
      <c r="B954" s="3" t="s">
        <v>74</v>
      </c>
      <c r="C954" s="3" t="s">
        <v>75</v>
      </c>
      <c r="D954" s="3" t="s">
        <v>14</v>
      </c>
      <c r="E954" s="3" t="s">
        <v>21</v>
      </c>
      <c r="F954" s="3">
        <f t="shared" si="14"/>
        <v>0</v>
      </c>
      <c r="G954" s="3">
        <v>28583</v>
      </c>
      <c r="H954" s="3">
        <v>3</v>
      </c>
      <c r="I954" s="3">
        <v>56344</v>
      </c>
      <c r="J954" s="3">
        <f>IF(E954="Cold",1,0)</f>
        <v>0</v>
      </c>
      <c r="K954" s="3">
        <f>IF(E954="Hot",1,0)</f>
        <v>1</v>
      </c>
      <c r="L954" s="3">
        <v>1833</v>
      </c>
      <c r="M954" s="3">
        <v>21</v>
      </c>
      <c r="N954" s="4">
        <v>45002</v>
      </c>
      <c r="O954" s="10">
        <v>308964.22509999998</v>
      </c>
    </row>
    <row r="955" spans="1:15" x14ac:dyDescent="0.3">
      <c r="A955" s="2">
        <v>953</v>
      </c>
      <c r="B955" s="3" t="s">
        <v>28</v>
      </c>
      <c r="C955" s="3" t="s">
        <v>187</v>
      </c>
      <c r="D955" s="3" t="s">
        <v>18</v>
      </c>
      <c r="E955" s="3" t="s">
        <v>15</v>
      </c>
      <c r="F955" s="3">
        <f t="shared" si="14"/>
        <v>1</v>
      </c>
      <c r="G955" s="3">
        <v>9757</v>
      </c>
      <c r="H955" s="3">
        <v>5</v>
      </c>
      <c r="I955" s="3">
        <v>94778</v>
      </c>
      <c r="J955" s="3">
        <f>IF(E955="Cold",1,0)</f>
        <v>1</v>
      </c>
      <c r="K955" s="3">
        <f>IF(E955="Hot",1,0)</f>
        <v>0</v>
      </c>
      <c r="L955" s="3">
        <v>2395</v>
      </c>
      <c r="M955" s="3">
        <v>96</v>
      </c>
      <c r="N955" s="4">
        <v>44805</v>
      </c>
      <c r="O955" s="10">
        <v>374966.23359999998</v>
      </c>
    </row>
    <row r="956" spans="1:15" x14ac:dyDescent="0.3">
      <c r="A956" s="2">
        <v>954</v>
      </c>
      <c r="B956" s="3" t="s">
        <v>55</v>
      </c>
      <c r="C956" s="3" t="s">
        <v>56</v>
      </c>
      <c r="D956" s="3" t="s">
        <v>18</v>
      </c>
      <c r="E956" s="3" t="s">
        <v>15</v>
      </c>
      <c r="F956" s="3">
        <f t="shared" si="14"/>
        <v>1</v>
      </c>
      <c r="G956" s="3">
        <v>26817</v>
      </c>
      <c r="H956" s="3">
        <v>1</v>
      </c>
      <c r="I956" s="3">
        <v>57570</v>
      </c>
      <c r="J956" s="3">
        <f>IF(E956="Cold",1,0)</f>
        <v>1</v>
      </c>
      <c r="K956" s="3">
        <f>IF(E956="Hot",1,0)</f>
        <v>0</v>
      </c>
      <c r="L956" s="3">
        <v>1062</v>
      </c>
      <c r="M956" s="3">
        <v>40</v>
      </c>
      <c r="N956" s="4">
        <v>44403</v>
      </c>
      <c r="O956" s="10">
        <v>364102.23060000001</v>
      </c>
    </row>
    <row r="957" spans="1:15" x14ac:dyDescent="0.3">
      <c r="A957" s="2">
        <v>955</v>
      </c>
      <c r="B957" s="3" t="s">
        <v>122</v>
      </c>
      <c r="C957" s="3" t="s">
        <v>137</v>
      </c>
      <c r="D957" s="3" t="s">
        <v>18</v>
      </c>
      <c r="E957" s="3" t="s">
        <v>21</v>
      </c>
      <c r="F957" s="3">
        <f t="shared" si="14"/>
        <v>1</v>
      </c>
      <c r="G957" s="3">
        <v>13699</v>
      </c>
      <c r="H957" s="3">
        <v>1</v>
      </c>
      <c r="I957" s="3">
        <v>53271</v>
      </c>
      <c r="J957" s="3">
        <f>IF(E957="Cold",1,0)</f>
        <v>0</v>
      </c>
      <c r="K957" s="3">
        <f>IF(E957="Hot",1,0)</f>
        <v>1</v>
      </c>
      <c r="L957" s="3">
        <v>2530</v>
      </c>
      <c r="M957" s="3">
        <v>66</v>
      </c>
      <c r="N957" s="4">
        <v>44936</v>
      </c>
      <c r="O957" s="10">
        <v>382030.67749999999</v>
      </c>
    </row>
    <row r="958" spans="1:15" x14ac:dyDescent="0.3">
      <c r="A958" s="2">
        <v>956</v>
      </c>
      <c r="B958" s="3" t="s">
        <v>24</v>
      </c>
      <c r="C958" s="3" t="s">
        <v>39</v>
      </c>
      <c r="D958" s="3" t="s">
        <v>18</v>
      </c>
      <c r="E958" s="3" t="s">
        <v>21</v>
      </c>
      <c r="F958" s="3">
        <f t="shared" si="14"/>
        <v>1</v>
      </c>
      <c r="G958" s="3">
        <v>3206</v>
      </c>
      <c r="H958" s="3">
        <v>4</v>
      </c>
      <c r="I958" s="3">
        <v>60917</v>
      </c>
      <c r="J958" s="3">
        <f>IF(E958="Cold",1,0)</f>
        <v>0</v>
      </c>
      <c r="K958" s="3">
        <f>IF(E958="Hot",1,0)</f>
        <v>1</v>
      </c>
      <c r="L958" s="3">
        <v>2619</v>
      </c>
      <c r="M958" s="3">
        <v>26</v>
      </c>
      <c r="N958" s="4">
        <v>45438</v>
      </c>
      <c r="O958" s="10">
        <v>384251.24829999998</v>
      </c>
    </row>
    <row r="959" spans="1:15" x14ac:dyDescent="0.3">
      <c r="A959" s="2">
        <v>957</v>
      </c>
      <c r="B959" s="3" t="s">
        <v>37</v>
      </c>
      <c r="C959" s="3" t="s">
        <v>61</v>
      </c>
      <c r="D959" s="3" t="s">
        <v>14</v>
      </c>
      <c r="E959" s="3" t="s">
        <v>21</v>
      </c>
      <c r="F959" s="3">
        <f t="shared" si="14"/>
        <v>0</v>
      </c>
      <c r="G959" s="3">
        <v>24027</v>
      </c>
      <c r="H959" s="3">
        <v>6</v>
      </c>
      <c r="I959" s="3">
        <v>56030</v>
      </c>
      <c r="J959" s="3">
        <f>IF(E959="Cold",1,0)</f>
        <v>0</v>
      </c>
      <c r="K959" s="3">
        <f>IF(E959="Hot",1,0)</f>
        <v>1</v>
      </c>
      <c r="L959" s="3">
        <v>2714</v>
      </c>
      <c r="M959" s="3">
        <v>21</v>
      </c>
      <c r="N959" s="4">
        <v>45125</v>
      </c>
      <c r="O959" s="10">
        <v>347655.03080000001</v>
      </c>
    </row>
    <row r="960" spans="1:15" x14ac:dyDescent="0.3">
      <c r="A960" s="2">
        <v>958</v>
      </c>
      <c r="B960" s="3" t="s">
        <v>72</v>
      </c>
      <c r="C960" s="3" t="s">
        <v>213</v>
      </c>
      <c r="D960" s="3" t="s">
        <v>14</v>
      </c>
      <c r="E960" s="3" t="s">
        <v>15</v>
      </c>
      <c r="F960" s="3">
        <f t="shared" si="14"/>
        <v>0</v>
      </c>
      <c r="G960" s="3">
        <v>8046</v>
      </c>
      <c r="H960" s="3">
        <v>3</v>
      </c>
      <c r="I960" s="3">
        <v>50147</v>
      </c>
      <c r="J960" s="3">
        <f>IF(E960="Cold",1,0)</f>
        <v>1</v>
      </c>
      <c r="K960" s="3">
        <f>IF(E960="Hot",1,0)</f>
        <v>0</v>
      </c>
      <c r="L960" s="3">
        <v>1695</v>
      </c>
      <c r="M960" s="3">
        <v>73</v>
      </c>
      <c r="N960" s="4">
        <v>43874</v>
      </c>
      <c r="O960" s="10">
        <v>318409.0208</v>
      </c>
    </row>
    <row r="961" spans="1:15" x14ac:dyDescent="0.3">
      <c r="A961" s="2">
        <v>959</v>
      </c>
      <c r="B961" s="3" t="s">
        <v>35</v>
      </c>
      <c r="C961" s="3" t="s">
        <v>36</v>
      </c>
      <c r="D961" s="3" t="s">
        <v>14</v>
      </c>
      <c r="E961" s="3" t="s">
        <v>15</v>
      </c>
      <c r="F961" s="3">
        <f t="shared" si="14"/>
        <v>0</v>
      </c>
      <c r="G961" s="3">
        <v>3610</v>
      </c>
      <c r="H961" s="3">
        <v>0</v>
      </c>
      <c r="I961" s="3">
        <v>78249</v>
      </c>
      <c r="J961" s="3">
        <f>IF(E961="Cold",1,0)</f>
        <v>1</v>
      </c>
      <c r="K961" s="3">
        <f>IF(E961="Hot",1,0)</f>
        <v>0</v>
      </c>
      <c r="L961" s="3">
        <v>2286</v>
      </c>
      <c r="M961" s="3">
        <v>82</v>
      </c>
      <c r="N961" s="4">
        <v>44467</v>
      </c>
      <c r="O961" s="10">
        <v>315742.95669999998</v>
      </c>
    </row>
    <row r="962" spans="1:15" x14ac:dyDescent="0.3">
      <c r="A962" s="2">
        <v>960</v>
      </c>
      <c r="B962" s="3" t="s">
        <v>12</v>
      </c>
      <c r="C962" s="3" t="s">
        <v>126</v>
      </c>
      <c r="D962" s="3" t="s">
        <v>18</v>
      </c>
      <c r="E962" s="3" t="s">
        <v>23</v>
      </c>
      <c r="F962" s="3">
        <f t="shared" si="14"/>
        <v>1</v>
      </c>
      <c r="G962" s="3">
        <v>25197</v>
      </c>
      <c r="H962" s="3">
        <v>3</v>
      </c>
      <c r="I962" s="3">
        <v>82753</v>
      </c>
      <c r="J962" s="3">
        <f>IF(E962="Cold",1,0)</f>
        <v>0</v>
      </c>
      <c r="K962" s="3">
        <f>IF(E962="Hot",1,0)</f>
        <v>0</v>
      </c>
      <c r="L962" s="3">
        <v>1787</v>
      </c>
      <c r="M962" s="3">
        <v>76</v>
      </c>
      <c r="N962" s="4">
        <v>44873</v>
      </c>
      <c r="O962" s="10">
        <v>384058.11570000002</v>
      </c>
    </row>
    <row r="963" spans="1:15" x14ac:dyDescent="0.3">
      <c r="A963" s="2">
        <v>961</v>
      </c>
      <c r="B963" s="3" t="s">
        <v>24</v>
      </c>
      <c r="C963" s="3" t="s">
        <v>134</v>
      </c>
      <c r="D963" s="3" t="s">
        <v>18</v>
      </c>
      <c r="E963" s="3" t="s">
        <v>21</v>
      </c>
      <c r="F963" s="3">
        <f t="shared" ref="F963:F1001" si="15">IF(D963=$F$1,1,0)</f>
        <v>1</v>
      </c>
      <c r="G963" s="3">
        <v>27386</v>
      </c>
      <c r="H963" s="3">
        <v>7</v>
      </c>
      <c r="I963" s="3">
        <v>54598</v>
      </c>
      <c r="J963" s="3">
        <f>IF(E963="Cold",1,0)</f>
        <v>0</v>
      </c>
      <c r="K963" s="3">
        <f>IF(E963="Hot",1,0)</f>
        <v>1</v>
      </c>
      <c r="L963" s="3">
        <v>1363</v>
      </c>
      <c r="M963" s="3">
        <v>34</v>
      </c>
      <c r="N963" s="4">
        <v>45332</v>
      </c>
      <c r="O963" s="10">
        <v>377831.66119999997</v>
      </c>
    </row>
    <row r="964" spans="1:15" x14ac:dyDescent="0.3">
      <c r="A964" s="2">
        <v>962</v>
      </c>
      <c r="B964" s="3" t="s">
        <v>44</v>
      </c>
      <c r="C964" s="3" t="s">
        <v>144</v>
      </c>
      <c r="D964" s="3" t="s">
        <v>18</v>
      </c>
      <c r="E964" s="3" t="s">
        <v>15</v>
      </c>
      <c r="F964" s="3">
        <f t="shared" si="15"/>
        <v>1</v>
      </c>
      <c r="G964" s="3">
        <v>25797</v>
      </c>
      <c r="H964" s="3">
        <v>0</v>
      </c>
      <c r="I964" s="3">
        <v>81392</v>
      </c>
      <c r="J964" s="3">
        <f>IF(E964="Cold",1,0)</f>
        <v>1</v>
      </c>
      <c r="K964" s="3">
        <f>IF(E964="Hot",1,0)</f>
        <v>0</v>
      </c>
      <c r="L964" s="3">
        <v>2267</v>
      </c>
      <c r="M964" s="3">
        <v>70</v>
      </c>
      <c r="N964" s="4">
        <v>45274</v>
      </c>
      <c r="O964" s="10">
        <v>397230.2402</v>
      </c>
    </row>
    <row r="965" spans="1:15" x14ac:dyDescent="0.3">
      <c r="A965" s="2">
        <v>963</v>
      </c>
      <c r="B965" s="3" t="s">
        <v>35</v>
      </c>
      <c r="C965" s="3" t="s">
        <v>148</v>
      </c>
      <c r="D965" s="3" t="s">
        <v>18</v>
      </c>
      <c r="E965" s="3" t="s">
        <v>23</v>
      </c>
      <c r="F965" s="3">
        <f t="shared" si="15"/>
        <v>1</v>
      </c>
      <c r="G965" s="3">
        <v>11994</v>
      </c>
      <c r="H965" s="3">
        <v>4</v>
      </c>
      <c r="I965" s="3">
        <v>52354</v>
      </c>
      <c r="J965" s="3">
        <f>IF(E965="Cold",1,0)</f>
        <v>0</v>
      </c>
      <c r="K965" s="3">
        <f>IF(E965="Hot",1,0)</f>
        <v>0</v>
      </c>
      <c r="L965" s="3">
        <v>2382</v>
      </c>
      <c r="M965" s="3">
        <v>37</v>
      </c>
      <c r="N965" s="4">
        <v>43963</v>
      </c>
      <c r="O965" s="10">
        <v>360600.6128</v>
      </c>
    </row>
    <row r="966" spans="1:15" x14ac:dyDescent="0.3">
      <c r="A966" s="2">
        <v>964</v>
      </c>
      <c r="B966" s="3" t="s">
        <v>53</v>
      </c>
      <c r="C966" s="3" t="s">
        <v>141</v>
      </c>
      <c r="D966" s="3" t="s">
        <v>14</v>
      </c>
      <c r="E966" s="3" t="s">
        <v>15</v>
      </c>
      <c r="F966" s="3">
        <f t="shared" si="15"/>
        <v>0</v>
      </c>
      <c r="G966" s="3">
        <v>12907</v>
      </c>
      <c r="H966" s="3">
        <v>4</v>
      </c>
      <c r="I966" s="3">
        <v>51530</v>
      </c>
      <c r="J966" s="3">
        <f>IF(E966="Cold",1,0)</f>
        <v>1</v>
      </c>
      <c r="K966" s="3">
        <f>IF(E966="Hot",1,0)</f>
        <v>0</v>
      </c>
      <c r="L966" s="3">
        <v>1237</v>
      </c>
      <c r="M966" s="3">
        <v>84</v>
      </c>
      <c r="N966" s="4">
        <v>44881</v>
      </c>
      <c r="O966" s="10">
        <v>304927.4325</v>
      </c>
    </row>
    <row r="967" spans="1:15" x14ac:dyDescent="0.3">
      <c r="A967" s="2">
        <v>965</v>
      </c>
      <c r="B967" s="3" t="s">
        <v>74</v>
      </c>
      <c r="C967" s="3" t="s">
        <v>221</v>
      </c>
      <c r="D967" s="3" t="s">
        <v>18</v>
      </c>
      <c r="E967" s="3" t="s">
        <v>21</v>
      </c>
      <c r="F967" s="3">
        <f t="shared" si="15"/>
        <v>1</v>
      </c>
      <c r="G967" s="3">
        <v>13528</v>
      </c>
      <c r="H967" s="3">
        <v>7</v>
      </c>
      <c r="I967" s="3">
        <v>51372</v>
      </c>
      <c r="J967" s="3">
        <f>IF(E967="Cold",1,0)</f>
        <v>0</v>
      </c>
      <c r="K967" s="3">
        <f>IF(E967="Hot",1,0)</f>
        <v>1</v>
      </c>
      <c r="L967" s="3">
        <v>1773</v>
      </c>
      <c r="M967" s="3">
        <v>60</v>
      </c>
      <c r="N967" s="4">
        <v>43990</v>
      </c>
      <c r="O967" s="10">
        <v>378120.58</v>
      </c>
    </row>
    <row r="968" spans="1:15" x14ac:dyDescent="0.3">
      <c r="A968" s="2">
        <v>966</v>
      </c>
      <c r="B968" s="3" t="s">
        <v>16</v>
      </c>
      <c r="C968" s="3" t="s">
        <v>17</v>
      </c>
      <c r="D968" s="3" t="s">
        <v>14</v>
      </c>
      <c r="E968" s="3" t="s">
        <v>23</v>
      </c>
      <c r="F968" s="3">
        <f t="shared" si="15"/>
        <v>0</v>
      </c>
      <c r="G968" s="3">
        <v>20131</v>
      </c>
      <c r="H968" s="3">
        <v>7</v>
      </c>
      <c r="I968" s="3">
        <v>95492</v>
      </c>
      <c r="J968" s="3">
        <f>IF(E968="Cold",1,0)</f>
        <v>0</v>
      </c>
      <c r="K968" s="3">
        <f>IF(E968="Hot",1,0)</f>
        <v>0</v>
      </c>
      <c r="L968" s="3">
        <v>1230</v>
      </c>
      <c r="M968" s="3">
        <v>27</v>
      </c>
      <c r="N968" s="4">
        <v>45121</v>
      </c>
      <c r="O968" s="10">
        <v>316258.7403</v>
      </c>
    </row>
    <row r="969" spans="1:15" x14ac:dyDescent="0.3">
      <c r="A969" s="2">
        <v>967</v>
      </c>
      <c r="B969" s="3" t="s">
        <v>12</v>
      </c>
      <c r="C969" s="3" t="s">
        <v>196</v>
      </c>
      <c r="D969" s="3" t="s">
        <v>18</v>
      </c>
      <c r="E969" s="3" t="s">
        <v>23</v>
      </c>
      <c r="F969" s="3">
        <f t="shared" si="15"/>
        <v>1</v>
      </c>
      <c r="G969" s="3">
        <v>2093</v>
      </c>
      <c r="H969" s="3">
        <v>7</v>
      </c>
      <c r="I969" s="3">
        <v>68298</v>
      </c>
      <c r="J969" s="3">
        <f>IF(E969="Cold",1,0)</f>
        <v>0</v>
      </c>
      <c r="K969" s="3">
        <f>IF(E969="Hot",1,0)</f>
        <v>0</v>
      </c>
      <c r="L969" s="3">
        <v>1851</v>
      </c>
      <c r="M969" s="3">
        <v>62</v>
      </c>
      <c r="N969" s="4">
        <v>44749</v>
      </c>
      <c r="O969" s="10">
        <v>357267.88400000002</v>
      </c>
    </row>
    <row r="970" spans="1:15" x14ac:dyDescent="0.3">
      <c r="A970" s="2">
        <v>968</v>
      </c>
      <c r="B970" s="3" t="s">
        <v>57</v>
      </c>
      <c r="C970" s="3" t="s">
        <v>162</v>
      </c>
      <c r="D970" s="3" t="s">
        <v>14</v>
      </c>
      <c r="E970" s="3" t="s">
        <v>23</v>
      </c>
      <c r="F970" s="3">
        <f t="shared" si="15"/>
        <v>0</v>
      </c>
      <c r="G970" s="3">
        <v>17976</v>
      </c>
      <c r="H970" s="3">
        <v>3</v>
      </c>
      <c r="I970" s="3">
        <v>64358</v>
      </c>
      <c r="J970" s="3">
        <f>IF(E970="Cold",1,0)</f>
        <v>0</v>
      </c>
      <c r="K970" s="3">
        <f>IF(E970="Hot",1,0)</f>
        <v>0</v>
      </c>
      <c r="L970" s="3">
        <v>2290</v>
      </c>
      <c r="M970" s="3">
        <v>90</v>
      </c>
      <c r="N970" s="4">
        <v>44919</v>
      </c>
      <c r="O970" s="10">
        <v>367459.712</v>
      </c>
    </row>
    <row r="971" spans="1:15" x14ac:dyDescent="0.3">
      <c r="A971" s="2">
        <v>969</v>
      </c>
      <c r="B971" s="3" t="s">
        <v>35</v>
      </c>
      <c r="C971" s="3" t="s">
        <v>200</v>
      </c>
      <c r="D971" s="3" t="s">
        <v>18</v>
      </c>
      <c r="E971" s="3" t="s">
        <v>23</v>
      </c>
      <c r="F971" s="3">
        <f t="shared" si="15"/>
        <v>1</v>
      </c>
      <c r="G971" s="3">
        <v>2362</v>
      </c>
      <c r="H971" s="3">
        <v>3</v>
      </c>
      <c r="I971" s="3">
        <v>55055</v>
      </c>
      <c r="J971" s="3">
        <f>IF(E971="Cold",1,0)</f>
        <v>0</v>
      </c>
      <c r="K971" s="3">
        <f>IF(E971="Hot",1,0)</f>
        <v>0</v>
      </c>
      <c r="L971" s="3">
        <v>2551</v>
      </c>
      <c r="M971" s="3">
        <v>51</v>
      </c>
      <c r="N971" s="4">
        <v>45205</v>
      </c>
      <c r="O971" s="10">
        <v>364193.74780000001</v>
      </c>
    </row>
    <row r="972" spans="1:15" x14ac:dyDescent="0.3">
      <c r="A972" s="2">
        <v>970</v>
      </c>
      <c r="B972" s="3" t="s">
        <v>37</v>
      </c>
      <c r="C972" s="3" t="s">
        <v>114</v>
      </c>
      <c r="D972" s="3" t="s">
        <v>14</v>
      </c>
      <c r="E972" s="3" t="s">
        <v>15</v>
      </c>
      <c r="F972" s="3">
        <f t="shared" si="15"/>
        <v>0</v>
      </c>
      <c r="G972" s="3">
        <v>12005</v>
      </c>
      <c r="H972" s="3">
        <v>4</v>
      </c>
      <c r="I972" s="3">
        <v>58685</v>
      </c>
      <c r="J972" s="3">
        <f>IF(E972="Cold",1,0)</f>
        <v>1</v>
      </c>
      <c r="K972" s="3">
        <f>IF(E972="Hot",1,0)</f>
        <v>0</v>
      </c>
      <c r="L972" s="3">
        <v>2954</v>
      </c>
      <c r="M972" s="3">
        <v>82</v>
      </c>
      <c r="N972" s="4">
        <v>44834</v>
      </c>
      <c r="O972" s="10">
        <v>330391.51079999999</v>
      </c>
    </row>
    <row r="973" spans="1:15" x14ac:dyDescent="0.3">
      <c r="A973" s="2">
        <v>971</v>
      </c>
      <c r="B973" s="3" t="s">
        <v>44</v>
      </c>
      <c r="C973" s="3" t="s">
        <v>82</v>
      </c>
      <c r="D973" s="3" t="s">
        <v>14</v>
      </c>
      <c r="E973" s="3" t="s">
        <v>15</v>
      </c>
      <c r="F973" s="3">
        <f t="shared" si="15"/>
        <v>0</v>
      </c>
      <c r="G973" s="3">
        <v>3088</v>
      </c>
      <c r="H973" s="3">
        <v>2</v>
      </c>
      <c r="I973" s="3">
        <v>82946</v>
      </c>
      <c r="J973" s="3">
        <f>IF(E973="Cold",1,0)</f>
        <v>1</v>
      </c>
      <c r="K973" s="3">
        <f>IF(E973="Hot",1,0)</f>
        <v>0</v>
      </c>
      <c r="L973" s="3">
        <v>2027</v>
      </c>
      <c r="M973" s="3">
        <v>30</v>
      </c>
      <c r="N973" s="4">
        <v>44784</v>
      </c>
      <c r="O973" s="10">
        <v>310895.21889999998</v>
      </c>
    </row>
    <row r="974" spans="1:15" x14ac:dyDescent="0.3">
      <c r="A974" s="2">
        <v>972</v>
      </c>
      <c r="B974" s="3" t="s">
        <v>16</v>
      </c>
      <c r="C974" s="3" t="s">
        <v>183</v>
      </c>
      <c r="D974" s="3" t="s">
        <v>18</v>
      </c>
      <c r="E974" s="3" t="s">
        <v>15</v>
      </c>
      <c r="F974" s="3">
        <f t="shared" si="15"/>
        <v>1</v>
      </c>
      <c r="G974" s="3">
        <v>7933</v>
      </c>
      <c r="H974" s="3">
        <v>7</v>
      </c>
      <c r="I974" s="3">
        <v>57555</v>
      </c>
      <c r="J974" s="3">
        <f>IF(E974="Cold",1,0)</f>
        <v>1</v>
      </c>
      <c r="K974" s="3">
        <f>IF(E974="Hot",1,0)</f>
        <v>0</v>
      </c>
      <c r="L974" s="3">
        <v>2502</v>
      </c>
      <c r="M974" s="3">
        <v>89</v>
      </c>
      <c r="N974" s="4">
        <v>44387</v>
      </c>
      <c r="O974" s="10">
        <v>353211.09389999998</v>
      </c>
    </row>
    <row r="975" spans="1:15" x14ac:dyDescent="0.3">
      <c r="A975" s="2">
        <v>973</v>
      </c>
      <c r="B975" s="3" t="s">
        <v>122</v>
      </c>
      <c r="C975" s="3" t="s">
        <v>138</v>
      </c>
      <c r="D975" s="3" t="s">
        <v>18</v>
      </c>
      <c r="E975" s="3" t="s">
        <v>21</v>
      </c>
      <c r="F975" s="3">
        <f t="shared" si="15"/>
        <v>1</v>
      </c>
      <c r="G975" s="3">
        <v>26345</v>
      </c>
      <c r="H975" s="3">
        <v>8</v>
      </c>
      <c r="I975" s="3">
        <v>63903</v>
      </c>
      <c r="J975" s="3">
        <f>IF(E975="Cold",1,0)</f>
        <v>0</v>
      </c>
      <c r="K975" s="3">
        <f>IF(E975="Hot",1,0)</f>
        <v>1</v>
      </c>
      <c r="L975" s="3">
        <v>2196</v>
      </c>
      <c r="M975" s="3">
        <v>74</v>
      </c>
      <c r="N975" s="4">
        <v>44043</v>
      </c>
      <c r="O975" s="10">
        <v>386255.902</v>
      </c>
    </row>
    <row r="976" spans="1:15" x14ac:dyDescent="0.3">
      <c r="A976" s="2">
        <v>974</v>
      </c>
      <c r="B976" s="3" t="s">
        <v>35</v>
      </c>
      <c r="C976" s="3" t="s">
        <v>62</v>
      </c>
      <c r="D976" s="3" t="s">
        <v>14</v>
      </c>
      <c r="E976" s="3" t="s">
        <v>15</v>
      </c>
      <c r="F976" s="3">
        <f t="shared" si="15"/>
        <v>0</v>
      </c>
      <c r="G976" s="3">
        <v>12314</v>
      </c>
      <c r="H976" s="3">
        <v>7</v>
      </c>
      <c r="I976" s="3">
        <v>54429</v>
      </c>
      <c r="J976" s="3">
        <f>IF(E976="Cold",1,0)</f>
        <v>1</v>
      </c>
      <c r="K976" s="3">
        <f>IF(E976="Hot",1,0)</f>
        <v>0</v>
      </c>
      <c r="L976" s="3">
        <v>1094</v>
      </c>
      <c r="M976" s="3">
        <v>40</v>
      </c>
      <c r="N976" s="4">
        <v>45399</v>
      </c>
      <c r="O976" s="10">
        <v>274192.45990000002</v>
      </c>
    </row>
    <row r="977" spans="1:15" x14ac:dyDescent="0.3">
      <c r="A977" s="2">
        <v>975</v>
      </c>
      <c r="B977" s="3" t="s">
        <v>57</v>
      </c>
      <c r="C977" s="3" t="s">
        <v>67</v>
      </c>
      <c r="D977" s="3" t="s">
        <v>18</v>
      </c>
      <c r="E977" s="3" t="s">
        <v>21</v>
      </c>
      <c r="F977" s="3">
        <f t="shared" si="15"/>
        <v>1</v>
      </c>
      <c r="G977" s="3">
        <v>24562</v>
      </c>
      <c r="H977" s="3">
        <v>9</v>
      </c>
      <c r="I977" s="3">
        <v>54360</v>
      </c>
      <c r="J977" s="3">
        <f>IF(E977="Cold",1,0)</f>
        <v>0</v>
      </c>
      <c r="K977" s="3">
        <f>IF(E977="Hot",1,0)</f>
        <v>1</v>
      </c>
      <c r="L977" s="3">
        <v>1151</v>
      </c>
      <c r="M977" s="3">
        <v>86</v>
      </c>
      <c r="N977" s="4">
        <v>45455</v>
      </c>
      <c r="O977" s="10">
        <v>360220.64189999999</v>
      </c>
    </row>
    <row r="978" spans="1:15" x14ac:dyDescent="0.3">
      <c r="A978" s="2">
        <v>976</v>
      </c>
      <c r="B978" s="3" t="s">
        <v>24</v>
      </c>
      <c r="C978" s="3" t="s">
        <v>94</v>
      </c>
      <c r="D978" s="3" t="s">
        <v>18</v>
      </c>
      <c r="E978" s="3" t="s">
        <v>21</v>
      </c>
      <c r="F978" s="3">
        <f t="shared" si="15"/>
        <v>1</v>
      </c>
      <c r="G978" s="3">
        <v>28836</v>
      </c>
      <c r="H978" s="3">
        <v>9</v>
      </c>
      <c r="I978" s="3">
        <v>68793</v>
      </c>
      <c r="J978" s="3">
        <f>IF(E978="Cold",1,0)</f>
        <v>0</v>
      </c>
      <c r="K978" s="3">
        <f>IF(E978="Hot",1,0)</f>
        <v>1</v>
      </c>
      <c r="L978" s="3">
        <v>1853</v>
      </c>
      <c r="M978" s="3">
        <v>75</v>
      </c>
      <c r="N978" s="4">
        <v>45324</v>
      </c>
      <c r="O978" s="10">
        <v>373695.3627</v>
      </c>
    </row>
    <row r="979" spans="1:15" x14ac:dyDescent="0.3">
      <c r="A979" s="2">
        <v>977</v>
      </c>
      <c r="B979" s="3" t="s">
        <v>53</v>
      </c>
      <c r="C979" s="3" t="s">
        <v>149</v>
      </c>
      <c r="D979" s="3" t="s">
        <v>14</v>
      </c>
      <c r="E979" s="3" t="s">
        <v>15</v>
      </c>
      <c r="F979" s="3">
        <f t="shared" si="15"/>
        <v>0</v>
      </c>
      <c r="G979" s="3">
        <v>16099</v>
      </c>
      <c r="H979" s="3">
        <v>6</v>
      </c>
      <c r="I979" s="3">
        <v>60803</v>
      </c>
      <c r="J979" s="3">
        <f>IF(E979="Cold",1,0)</f>
        <v>1</v>
      </c>
      <c r="K979" s="3">
        <f>IF(E979="Hot",1,0)</f>
        <v>0</v>
      </c>
      <c r="L979" s="3">
        <v>1492</v>
      </c>
      <c r="M979" s="3">
        <v>55</v>
      </c>
      <c r="N979" s="4">
        <v>44614</v>
      </c>
      <c r="O979" s="10">
        <v>288925.4804</v>
      </c>
    </row>
    <row r="980" spans="1:15" x14ac:dyDescent="0.3">
      <c r="A980" s="2">
        <v>978</v>
      </c>
      <c r="B980" s="3" t="s">
        <v>72</v>
      </c>
      <c r="C980" s="3" t="s">
        <v>213</v>
      </c>
      <c r="D980" s="3" t="s">
        <v>14</v>
      </c>
      <c r="E980" s="3" t="s">
        <v>23</v>
      </c>
      <c r="F980" s="3">
        <f t="shared" si="15"/>
        <v>0</v>
      </c>
      <c r="G980" s="3">
        <v>21962</v>
      </c>
      <c r="H980" s="3">
        <v>1</v>
      </c>
      <c r="I980" s="3">
        <v>77565</v>
      </c>
      <c r="J980" s="3">
        <f>IF(E980="Cold",1,0)</f>
        <v>0</v>
      </c>
      <c r="K980" s="3">
        <f>IF(E980="Hot",1,0)</f>
        <v>0</v>
      </c>
      <c r="L980" s="3">
        <v>2106</v>
      </c>
      <c r="M980" s="3">
        <v>54</v>
      </c>
      <c r="N980" s="4">
        <v>44117</v>
      </c>
      <c r="O980" s="10">
        <v>354336.14169999998</v>
      </c>
    </row>
    <row r="981" spans="1:15" x14ac:dyDescent="0.3">
      <c r="A981" s="2">
        <v>979</v>
      </c>
      <c r="B981" s="3" t="s">
        <v>55</v>
      </c>
      <c r="C981" s="3" t="s">
        <v>66</v>
      </c>
      <c r="D981" s="3" t="s">
        <v>14</v>
      </c>
      <c r="E981" s="3" t="s">
        <v>23</v>
      </c>
      <c r="F981" s="3">
        <f t="shared" si="15"/>
        <v>0</v>
      </c>
      <c r="G981" s="3">
        <v>27165</v>
      </c>
      <c r="H981" s="3">
        <v>2</v>
      </c>
      <c r="I981" s="3">
        <v>85867</v>
      </c>
      <c r="J981" s="3">
        <f>IF(E981="Cold",1,0)</f>
        <v>0</v>
      </c>
      <c r="K981" s="3">
        <f>IF(E981="Hot",1,0)</f>
        <v>0</v>
      </c>
      <c r="L981" s="3">
        <v>2730</v>
      </c>
      <c r="M981" s="3">
        <v>57</v>
      </c>
      <c r="N981" s="4">
        <v>44315</v>
      </c>
      <c r="O981" s="10">
        <v>347685.93780000001</v>
      </c>
    </row>
    <row r="982" spans="1:15" x14ac:dyDescent="0.3">
      <c r="A982" s="2">
        <v>980</v>
      </c>
      <c r="B982" s="3" t="s">
        <v>40</v>
      </c>
      <c r="C982" s="3" t="s">
        <v>136</v>
      </c>
      <c r="D982" s="3" t="s">
        <v>14</v>
      </c>
      <c r="E982" s="3" t="s">
        <v>21</v>
      </c>
      <c r="F982" s="3">
        <f t="shared" si="15"/>
        <v>0</v>
      </c>
      <c r="G982" s="3">
        <v>27967</v>
      </c>
      <c r="H982" s="3">
        <v>3</v>
      </c>
      <c r="I982" s="3">
        <v>60840</v>
      </c>
      <c r="J982" s="3">
        <f>IF(E982="Cold",1,0)</f>
        <v>0</v>
      </c>
      <c r="K982" s="3">
        <f>IF(E982="Hot",1,0)</f>
        <v>1</v>
      </c>
      <c r="L982" s="3">
        <v>2360</v>
      </c>
      <c r="M982" s="3">
        <v>30</v>
      </c>
      <c r="N982" s="4">
        <v>45163</v>
      </c>
      <c r="O982" s="10">
        <v>372093.20120000001</v>
      </c>
    </row>
    <row r="983" spans="1:15" x14ac:dyDescent="0.3">
      <c r="A983" s="2">
        <v>981</v>
      </c>
      <c r="B983" s="3" t="s">
        <v>108</v>
      </c>
      <c r="C983" s="3" t="s">
        <v>227</v>
      </c>
      <c r="D983" s="3" t="s">
        <v>14</v>
      </c>
      <c r="E983" s="3" t="s">
        <v>21</v>
      </c>
      <c r="F983" s="3">
        <f t="shared" si="15"/>
        <v>0</v>
      </c>
      <c r="G983" s="3">
        <v>3048</v>
      </c>
      <c r="H983" s="3">
        <v>8</v>
      </c>
      <c r="I983" s="3">
        <v>69769</v>
      </c>
      <c r="J983" s="3">
        <f>IF(E983="Cold",1,0)</f>
        <v>0</v>
      </c>
      <c r="K983" s="3">
        <f>IF(E983="Hot",1,0)</f>
        <v>1</v>
      </c>
      <c r="L983" s="3">
        <v>2884</v>
      </c>
      <c r="M983" s="3">
        <v>72</v>
      </c>
      <c r="N983" s="4">
        <v>45227</v>
      </c>
      <c r="O983" s="10">
        <v>338104.24489999999</v>
      </c>
    </row>
    <row r="984" spans="1:15" x14ac:dyDescent="0.3">
      <c r="A984" s="2">
        <v>982</v>
      </c>
      <c r="B984" s="3" t="s">
        <v>35</v>
      </c>
      <c r="C984" s="3" t="s">
        <v>177</v>
      </c>
      <c r="D984" s="3" t="s">
        <v>18</v>
      </c>
      <c r="E984" s="3" t="s">
        <v>21</v>
      </c>
      <c r="F984" s="3">
        <f t="shared" si="15"/>
        <v>1</v>
      </c>
      <c r="G984" s="3">
        <v>7095</v>
      </c>
      <c r="H984" s="3">
        <v>6</v>
      </c>
      <c r="I984" s="3">
        <v>77936</v>
      </c>
      <c r="J984" s="3">
        <f>IF(E984="Cold",1,0)</f>
        <v>0</v>
      </c>
      <c r="K984" s="3">
        <f>IF(E984="Hot",1,0)</f>
        <v>1</v>
      </c>
      <c r="L984" s="3">
        <v>1224</v>
      </c>
      <c r="M984" s="3">
        <v>83</v>
      </c>
      <c r="N984" s="4">
        <v>44752</v>
      </c>
      <c r="O984" s="10">
        <v>368937.16310000001</v>
      </c>
    </row>
    <row r="985" spans="1:15" x14ac:dyDescent="0.3">
      <c r="A985" s="2">
        <v>983</v>
      </c>
      <c r="B985" s="3" t="s">
        <v>16</v>
      </c>
      <c r="C985" s="3" t="s">
        <v>22</v>
      </c>
      <c r="D985" s="3" t="s">
        <v>18</v>
      </c>
      <c r="E985" s="3" t="s">
        <v>21</v>
      </c>
      <c r="F985" s="3">
        <f t="shared" si="15"/>
        <v>1</v>
      </c>
      <c r="G985" s="3">
        <v>23490</v>
      </c>
      <c r="H985" s="3">
        <v>5</v>
      </c>
      <c r="I985" s="3">
        <v>51619</v>
      </c>
      <c r="J985" s="3">
        <f>IF(E985="Cold",1,0)</f>
        <v>0</v>
      </c>
      <c r="K985" s="3">
        <f>IF(E985="Hot",1,0)</f>
        <v>1</v>
      </c>
      <c r="L985" s="3">
        <v>1128</v>
      </c>
      <c r="M985" s="3">
        <v>82</v>
      </c>
      <c r="N985" s="4">
        <v>43921</v>
      </c>
      <c r="O985" s="10">
        <v>371777.57339999999</v>
      </c>
    </row>
    <row r="986" spans="1:15" x14ac:dyDescent="0.3">
      <c r="A986" s="2">
        <v>984</v>
      </c>
      <c r="B986" s="3" t="s">
        <v>53</v>
      </c>
      <c r="C986" s="3" t="s">
        <v>131</v>
      </c>
      <c r="D986" s="3" t="s">
        <v>18</v>
      </c>
      <c r="E986" s="3" t="s">
        <v>15</v>
      </c>
      <c r="F986" s="3">
        <f t="shared" si="15"/>
        <v>1</v>
      </c>
      <c r="G986" s="3">
        <v>19935</v>
      </c>
      <c r="H986" s="3">
        <v>4</v>
      </c>
      <c r="I986" s="3">
        <v>73281</v>
      </c>
      <c r="J986" s="3">
        <f>IF(E986="Cold",1,0)</f>
        <v>1</v>
      </c>
      <c r="K986" s="3">
        <f>IF(E986="Hot",1,0)</f>
        <v>0</v>
      </c>
      <c r="L986" s="3">
        <v>2563</v>
      </c>
      <c r="M986" s="3">
        <v>91</v>
      </c>
      <c r="N986" s="4">
        <v>44872</v>
      </c>
      <c r="O986" s="10">
        <v>393692.24229999998</v>
      </c>
    </row>
    <row r="987" spans="1:15" x14ac:dyDescent="0.3">
      <c r="A987" s="2">
        <v>985</v>
      </c>
      <c r="B987" s="3" t="s">
        <v>57</v>
      </c>
      <c r="C987" s="3" t="s">
        <v>174</v>
      </c>
      <c r="D987" s="3" t="s">
        <v>18</v>
      </c>
      <c r="E987" s="3" t="s">
        <v>21</v>
      </c>
      <c r="F987" s="3">
        <f t="shared" si="15"/>
        <v>1</v>
      </c>
      <c r="G987" s="3">
        <v>3017</v>
      </c>
      <c r="H987" s="3">
        <v>7</v>
      </c>
      <c r="I987" s="3">
        <v>72669</v>
      </c>
      <c r="J987" s="3">
        <f>IF(E987="Cold",1,0)</f>
        <v>0</v>
      </c>
      <c r="K987" s="3">
        <f>IF(E987="Hot",1,0)</f>
        <v>1</v>
      </c>
      <c r="L987" s="3">
        <v>1352</v>
      </c>
      <c r="M987" s="3">
        <v>59</v>
      </c>
      <c r="N987" s="4">
        <v>44632</v>
      </c>
      <c r="O987" s="10">
        <v>353578.63789999997</v>
      </c>
    </row>
    <row r="988" spans="1:15" x14ac:dyDescent="0.3">
      <c r="A988" s="2">
        <v>986</v>
      </c>
      <c r="B988" s="3" t="s">
        <v>19</v>
      </c>
      <c r="C988" s="3" t="s">
        <v>130</v>
      </c>
      <c r="D988" s="3" t="s">
        <v>14</v>
      </c>
      <c r="E988" s="3" t="s">
        <v>21</v>
      </c>
      <c r="F988" s="3">
        <f t="shared" si="15"/>
        <v>0</v>
      </c>
      <c r="G988" s="3">
        <v>10386</v>
      </c>
      <c r="H988" s="3">
        <v>0</v>
      </c>
      <c r="I988" s="3">
        <v>79357</v>
      </c>
      <c r="J988" s="3">
        <f>IF(E988="Cold",1,0)</f>
        <v>0</v>
      </c>
      <c r="K988" s="3">
        <f>IF(E988="Hot",1,0)</f>
        <v>1</v>
      </c>
      <c r="L988" s="3">
        <v>2068</v>
      </c>
      <c r="M988" s="3">
        <v>31</v>
      </c>
      <c r="N988" s="4">
        <v>43980</v>
      </c>
      <c r="O988" s="10">
        <v>328391.41320000001</v>
      </c>
    </row>
    <row r="989" spans="1:15" x14ac:dyDescent="0.3">
      <c r="A989" s="2">
        <v>987</v>
      </c>
      <c r="B989" s="3" t="s">
        <v>57</v>
      </c>
      <c r="C989" s="3" t="s">
        <v>78</v>
      </c>
      <c r="D989" s="3" t="s">
        <v>14</v>
      </c>
      <c r="E989" s="3" t="s">
        <v>23</v>
      </c>
      <c r="F989" s="3">
        <f t="shared" si="15"/>
        <v>0</v>
      </c>
      <c r="G989" s="3">
        <v>4944</v>
      </c>
      <c r="H989" s="3">
        <v>6</v>
      </c>
      <c r="I989" s="3">
        <v>86468</v>
      </c>
      <c r="J989" s="3">
        <f>IF(E989="Cold",1,0)</f>
        <v>0</v>
      </c>
      <c r="K989" s="3">
        <f>IF(E989="Hot",1,0)</f>
        <v>0</v>
      </c>
      <c r="L989" s="3">
        <v>2807</v>
      </c>
      <c r="M989" s="3">
        <v>37</v>
      </c>
      <c r="N989" s="4">
        <v>44506</v>
      </c>
      <c r="O989" s="10">
        <v>333058.62589999998</v>
      </c>
    </row>
    <row r="990" spans="1:15" x14ac:dyDescent="0.3">
      <c r="A990" s="2">
        <v>988</v>
      </c>
      <c r="B990" s="3" t="s">
        <v>74</v>
      </c>
      <c r="C990" s="3" t="s">
        <v>89</v>
      </c>
      <c r="D990" s="3" t="s">
        <v>18</v>
      </c>
      <c r="E990" s="3" t="s">
        <v>15</v>
      </c>
      <c r="F990" s="3">
        <f t="shared" si="15"/>
        <v>1</v>
      </c>
      <c r="G990" s="3">
        <v>26470</v>
      </c>
      <c r="H990" s="3">
        <v>3</v>
      </c>
      <c r="I990" s="3">
        <v>76073</v>
      </c>
      <c r="J990" s="3">
        <f>IF(E990="Cold",1,0)</f>
        <v>1</v>
      </c>
      <c r="K990" s="3">
        <f>IF(E990="Hot",1,0)</f>
        <v>0</v>
      </c>
      <c r="L990" s="3">
        <v>1955</v>
      </c>
      <c r="M990" s="3">
        <v>57</v>
      </c>
      <c r="N990" s="4">
        <v>44930</v>
      </c>
      <c r="O990" s="10">
        <v>366963.5858</v>
      </c>
    </row>
    <row r="991" spans="1:15" x14ac:dyDescent="0.3">
      <c r="A991" s="2">
        <v>989</v>
      </c>
      <c r="B991" s="3" t="s">
        <v>53</v>
      </c>
      <c r="C991" s="3" t="s">
        <v>141</v>
      </c>
      <c r="D991" s="3" t="s">
        <v>18</v>
      </c>
      <c r="E991" s="3" t="s">
        <v>23</v>
      </c>
      <c r="F991" s="3">
        <f t="shared" si="15"/>
        <v>1</v>
      </c>
      <c r="G991" s="3">
        <v>28501</v>
      </c>
      <c r="H991" s="3">
        <v>4</v>
      </c>
      <c r="I991" s="3">
        <v>52061</v>
      </c>
      <c r="J991" s="3">
        <f>IF(E991="Cold",1,0)</f>
        <v>0</v>
      </c>
      <c r="K991" s="3">
        <f>IF(E991="Hot",1,0)</f>
        <v>0</v>
      </c>
      <c r="L991" s="3">
        <v>1041</v>
      </c>
      <c r="M991" s="3">
        <v>27</v>
      </c>
      <c r="N991" s="4">
        <v>44652</v>
      </c>
      <c r="O991" s="10">
        <v>360234.20039999997</v>
      </c>
    </row>
    <row r="992" spans="1:15" x14ac:dyDescent="0.3">
      <c r="A992" s="2">
        <v>990</v>
      </c>
      <c r="B992" s="3" t="s">
        <v>37</v>
      </c>
      <c r="C992" s="3" t="s">
        <v>128</v>
      </c>
      <c r="D992" s="3" t="s">
        <v>14</v>
      </c>
      <c r="E992" s="3" t="s">
        <v>23</v>
      </c>
      <c r="F992" s="3">
        <f t="shared" si="15"/>
        <v>0</v>
      </c>
      <c r="G992" s="3">
        <v>9848</v>
      </c>
      <c r="H992" s="3">
        <v>6</v>
      </c>
      <c r="I992" s="3">
        <v>75616</v>
      </c>
      <c r="J992" s="3">
        <f>IF(E992="Cold",1,0)</f>
        <v>0</v>
      </c>
      <c r="K992" s="3">
        <f>IF(E992="Hot",1,0)</f>
        <v>0</v>
      </c>
      <c r="L992" s="3">
        <v>2251</v>
      </c>
      <c r="M992" s="3">
        <v>43</v>
      </c>
      <c r="N992" s="4">
        <v>44831</v>
      </c>
      <c r="O992" s="10">
        <v>359489.99190000002</v>
      </c>
    </row>
    <row r="993" spans="1:15" x14ac:dyDescent="0.3">
      <c r="A993" s="2">
        <v>991</v>
      </c>
      <c r="B993" s="3" t="s">
        <v>122</v>
      </c>
      <c r="C993" s="3" t="s">
        <v>133</v>
      </c>
      <c r="D993" s="3" t="s">
        <v>18</v>
      </c>
      <c r="E993" s="3" t="s">
        <v>23</v>
      </c>
      <c r="F993" s="3">
        <f t="shared" si="15"/>
        <v>1</v>
      </c>
      <c r="G993" s="3">
        <v>28451</v>
      </c>
      <c r="H993" s="3">
        <v>2</v>
      </c>
      <c r="I993" s="3">
        <v>65171</v>
      </c>
      <c r="J993" s="3">
        <f>IF(E993="Cold",1,0)</f>
        <v>0</v>
      </c>
      <c r="K993" s="3">
        <f>IF(E993="Hot",1,0)</f>
        <v>0</v>
      </c>
      <c r="L993" s="3">
        <v>1113</v>
      </c>
      <c r="M993" s="3">
        <v>61</v>
      </c>
      <c r="N993" s="4">
        <v>44771</v>
      </c>
      <c r="O993" s="10">
        <v>336178.95689999999</v>
      </c>
    </row>
    <row r="994" spans="1:15" x14ac:dyDescent="0.3">
      <c r="A994" s="2">
        <v>992</v>
      </c>
      <c r="B994" s="3" t="s">
        <v>16</v>
      </c>
      <c r="C994" s="3" t="s">
        <v>87</v>
      </c>
      <c r="D994" s="3" t="s">
        <v>14</v>
      </c>
      <c r="E994" s="3" t="s">
        <v>23</v>
      </c>
      <c r="F994" s="3">
        <f t="shared" si="15"/>
        <v>0</v>
      </c>
      <c r="G994" s="3">
        <v>21042</v>
      </c>
      <c r="H994" s="3">
        <v>1</v>
      </c>
      <c r="I994" s="3">
        <v>93086</v>
      </c>
      <c r="J994" s="3">
        <f>IF(E994="Cold",1,0)</f>
        <v>0</v>
      </c>
      <c r="K994" s="3">
        <f>IF(E994="Hot",1,0)</f>
        <v>0</v>
      </c>
      <c r="L994" s="3">
        <v>1013</v>
      </c>
      <c r="M994" s="3">
        <v>36</v>
      </c>
      <c r="N994" s="4">
        <v>45407</v>
      </c>
      <c r="O994" s="10">
        <v>318525.85739999998</v>
      </c>
    </row>
    <row r="995" spans="1:15" x14ac:dyDescent="0.3">
      <c r="A995" s="2">
        <v>993</v>
      </c>
      <c r="B995" s="3" t="s">
        <v>53</v>
      </c>
      <c r="C995" s="3" t="s">
        <v>149</v>
      </c>
      <c r="D995" s="3" t="s">
        <v>18</v>
      </c>
      <c r="E995" s="3" t="s">
        <v>15</v>
      </c>
      <c r="F995" s="3">
        <f t="shared" si="15"/>
        <v>1</v>
      </c>
      <c r="G995" s="3">
        <v>690</v>
      </c>
      <c r="H995" s="3">
        <v>0</v>
      </c>
      <c r="I995" s="3">
        <v>71845</v>
      </c>
      <c r="J995" s="3">
        <f>IF(E995="Cold",1,0)</f>
        <v>1</v>
      </c>
      <c r="K995" s="3">
        <f>IF(E995="Hot",1,0)</f>
        <v>0</v>
      </c>
      <c r="L995" s="3">
        <v>2487</v>
      </c>
      <c r="M995" s="3">
        <v>20</v>
      </c>
      <c r="N995" s="4">
        <v>44285</v>
      </c>
      <c r="O995" s="10">
        <v>360607.31550000003</v>
      </c>
    </row>
    <row r="996" spans="1:15" x14ac:dyDescent="0.3">
      <c r="A996" s="2">
        <v>994</v>
      </c>
      <c r="B996" s="3" t="s">
        <v>29</v>
      </c>
      <c r="C996" s="3" t="s">
        <v>135</v>
      </c>
      <c r="D996" s="3" t="s">
        <v>14</v>
      </c>
      <c r="E996" s="3" t="s">
        <v>21</v>
      </c>
      <c r="F996" s="3">
        <f t="shared" si="15"/>
        <v>0</v>
      </c>
      <c r="G996" s="3">
        <v>24979</v>
      </c>
      <c r="H996" s="3">
        <v>5</v>
      </c>
      <c r="I996" s="3">
        <v>82388</v>
      </c>
      <c r="J996" s="3">
        <f>IF(E996="Cold",1,0)</f>
        <v>0</v>
      </c>
      <c r="K996" s="3">
        <f>IF(E996="Hot",1,0)</f>
        <v>1</v>
      </c>
      <c r="L996" s="3">
        <v>2511</v>
      </c>
      <c r="M996" s="3">
        <v>25</v>
      </c>
      <c r="N996" s="4">
        <v>44837</v>
      </c>
      <c r="O996" s="10">
        <v>328948.74560000002</v>
      </c>
    </row>
    <row r="997" spans="1:15" x14ac:dyDescent="0.3">
      <c r="A997" s="2">
        <v>995</v>
      </c>
      <c r="B997" s="3" t="s">
        <v>44</v>
      </c>
      <c r="C997" s="3" t="s">
        <v>82</v>
      </c>
      <c r="D997" s="3" t="s">
        <v>18</v>
      </c>
      <c r="E997" s="3" t="s">
        <v>15</v>
      </c>
      <c r="F997" s="3">
        <f t="shared" si="15"/>
        <v>1</v>
      </c>
      <c r="G997" s="3">
        <v>19798</v>
      </c>
      <c r="H997" s="3">
        <v>1</v>
      </c>
      <c r="I997" s="3">
        <v>97050</v>
      </c>
      <c r="J997" s="3">
        <f>IF(E997="Cold",1,0)</f>
        <v>1</v>
      </c>
      <c r="K997" s="3">
        <f>IF(E997="Hot",1,0)</f>
        <v>0</v>
      </c>
      <c r="L997" s="3">
        <v>2304</v>
      </c>
      <c r="M997" s="3">
        <v>90</v>
      </c>
      <c r="N997" s="4">
        <v>45544</v>
      </c>
      <c r="O997" s="10">
        <v>406706.92719999998</v>
      </c>
    </row>
    <row r="998" spans="1:15" x14ac:dyDescent="0.3">
      <c r="A998" s="2">
        <v>996</v>
      </c>
      <c r="B998" s="3" t="s">
        <v>35</v>
      </c>
      <c r="C998" s="3" t="s">
        <v>62</v>
      </c>
      <c r="D998" s="3" t="s">
        <v>18</v>
      </c>
      <c r="E998" s="3" t="s">
        <v>15</v>
      </c>
      <c r="F998" s="3">
        <f t="shared" si="15"/>
        <v>1</v>
      </c>
      <c r="G998" s="3">
        <v>5964</v>
      </c>
      <c r="H998" s="3">
        <v>2</v>
      </c>
      <c r="I998" s="3">
        <v>86616</v>
      </c>
      <c r="J998" s="3">
        <f>IF(E998="Cold",1,0)</f>
        <v>1</v>
      </c>
      <c r="K998" s="3">
        <f>IF(E998="Hot",1,0)</f>
        <v>0</v>
      </c>
      <c r="L998" s="3">
        <v>2933</v>
      </c>
      <c r="M998" s="3">
        <v>54</v>
      </c>
      <c r="N998" s="4">
        <v>44639</v>
      </c>
      <c r="O998" s="10">
        <v>375107.69890000002</v>
      </c>
    </row>
    <row r="999" spans="1:15" x14ac:dyDescent="0.3">
      <c r="A999" s="2">
        <v>997</v>
      </c>
      <c r="B999" s="3" t="s">
        <v>44</v>
      </c>
      <c r="C999" s="3" t="s">
        <v>111</v>
      </c>
      <c r="D999" s="3" t="s">
        <v>18</v>
      </c>
      <c r="E999" s="3" t="s">
        <v>15</v>
      </c>
      <c r="F999" s="3">
        <f t="shared" si="15"/>
        <v>1</v>
      </c>
      <c r="G999" s="3">
        <v>8703</v>
      </c>
      <c r="H999" s="3">
        <v>3</v>
      </c>
      <c r="I999" s="3">
        <v>90733</v>
      </c>
      <c r="J999" s="3">
        <f>IF(E999="Cold",1,0)</f>
        <v>1</v>
      </c>
      <c r="K999" s="3">
        <f>IF(E999="Hot",1,0)</f>
        <v>0</v>
      </c>
      <c r="L999" s="3">
        <v>2160</v>
      </c>
      <c r="M999" s="3">
        <v>64</v>
      </c>
      <c r="N999" s="4">
        <v>44928</v>
      </c>
      <c r="O999" s="10">
        <v>359580.90240000002</v>
      </c>
    </row>
    <row r="1000" spans="1:15" x14ac:dyDescent="0.3">
      <c r="A1000" s="2">
        <v>998</v>
      </c>
      <c r="B1000" s="3" t="s">
        <v>31</v>
      </c>
      <c r="C1000" s="3" t="s">
        <v>63</v>
      </c>
      <c r="D1000" s="3" t="s">
        <v>18</v>
      </c>
      <c r="E1000" s="3" t="s">
        <v>21</v>
      </c>
      <c r="F1000" s="3">
        <f t="shared" si="15"/>
        <v>1</v>
      </c>
      <c r="G1000" s="3">
        <v>8980</v>
      </c>
      <c r="H1000" s="3">
        <v>8</v>
      </c>
      <c r="I1000" s="3">
        <v>86523</v>
      </c>
      <c r="J1000" s="3">
        <f>IF(E1000="Cold",1,0)</f>
        <v>0</v>
      </c>
      <c r="K1000" s="3">
        <f>IF(E1000="Hot",1,0)</f>
        <v>1</v>
      </c>
      <c r="L1000" s="3">
        <v>1697</v>
      </c>
      <c r="M1000" s="3">
        <v>82</v>
      </c>
      <c r="N1000" s="4">
        <v>44954</v>
      </c>
      <c r="O1000" s="10">
        <v>377200.10080000001</v>
      </c>
    </row>
    <row r="1001" spans="1:15" x14ac:dyDescent="0.3">
      <c r="A1001" s="5">
        <v>999</v>
      </c>
      <c r="B1001" s="6" t="s">
        <v>55</v>
      </c>
      <c r="C1001" s="6" t="s">
        <v>148</v>
      </c>
      <c r="D1001" s="6" t="s">
        <v>14</v>
      </c>
      <c r="E1001" s="6" t="s">
        <v>21</v>
      </c>
      <c r="F1001" s="3">
        <f t="shared" si="15"/>
        <v>0</v>
      </c>
      <c r="G1001" s="6">
        <v>23667</v>
      </c>
      <c r="H1001" s="6">
        <v>9</v>
      </c>
      <c r="I1001" s="6">
        <v>69133</v>
      </c>
      <c r="J1001" s="3">
        <f>IF(E1001="Cold",1,0)</f>
        <v>0</v>
      </c>
      <c r="K1001" s="3">
        <f>IF(E1001="Hot",1,0)</f>
        <v>1</v>
      </c>
      <c r="L1001" s="6">
        <v>2978</v>
      </c>
      <c r="M1001" s="6">
        <v>52</v>
      </c>
      <c r="N1001" s="7">
        <v>44445</v>
      </c>
      <c r="O1001" s="11">
        <v>360777.52299999999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BC63-EE72-45AB-9D70-268E1C2C5523}">
  <dimension ref="A1:S1014"/>
  <sheetViews>
    <sheetView tabSelected="1" topLeftCell="H1" workbookViewId="0">
      <selection activeCell="S14" sqref="S14"/>
    </sheetView>
  </sheetViews>
  <sheetFormatPr defaultRowHeight="14.4" x14ac:dyDescent="0.3"/>
  <cols>
    <col min="1" max="1" width="8.77734375" bestFit="1" customWidth="1"/>
    <col min="2" max="2" width="22.33203125" customWidth="1"/>
    <col min="3" max="3" width="14.44140625" bestFit="1" customWidth="1"/>
    <col min="4" max="4" width="14.21875" bestFit="1" customWidth="1"/>
    <col min="5" max="5" width="20.109375" bestFit="1" customWidth="1"/>
    <col min="6" max="6" width="6.6640625" bestFit="1" customWidth="1"/>
    <col min="7" max="7" width="19.109375" bestFit="1" customWidth="1"/>
    <col min="8" max="8" width="23.88671875" bestFit="1" customWidth="1"/>
    <col min="9" max="9" width="27.21875" bestFit="1" customWidth="1"/>
    <col min="10" max="10" width="14.21875" bestFit="1" customWidth="1"/>
    <col min="11" max="11" width="13.109375" bestFit="1" customWidth="1"/>
    <col min="12" max="12" width="10.5546875" bestFit="1" customWidth="1"/>
    <col min="13" max="13" width="14.77734375" bestFit="1" customWidth="1"/>
    <col min="14" max="14" width="14.109375" bestFit="1" customWidth="1"/>
    <col min="15" max="15" width="12" bestFit="1" customWidth="1"/>
    <col min="16" max="16" width="17.109375" customWidth="1"/>
  </cols>
  <sheetData>
    <row r="1" spans="1:19" ht="1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/>
      <c r="B2" s="14"/>
      <c r="C2" s="14" t="s">
        <v>247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6" t="s">
        <v>241</v>
      </c>
      <c r="C3" s="12">
        <v>265536.23536582728</v>
      </c>
      <c r="D3" s="1"/>
      <c r="E3" s="1"/>
      <c r="F3" s="1"/>
      <c r="G3" s="1"/>
      <c r="H3" s="1"/>
      <c r="I3" s="1"/>
      <c r="J3" s="1"/>
      <c r="K3" s="1"/>
      <c r="L3" s="1"/>
      <c r="M3" s="42" t="s">
        <v>256</v>
      </c>
      <c r="N3" s="43"/>
      <c r="O3" s="43"/>
      <c r="P3" s="43"/>
      <c r="Q3" s="43"/>
      <c r="R3" s="44"/>
      <c r="S3" s="1"/>
    </row>
    <row r="4" spans="1:19" x14ac:dyDescent="0.3">
      <c r="A4" s="1"/>
      <c r="B4" s="16" t="s">
        <v>18</v>
      </c>
      <c r="C4" s="12">
        <v>44718.22984324165</v>
      </c>
      <c r="D4" s="1"/>
      <c r="E4" s="1"/>
      <c r="F4" s="1"/>
      <c r="G4" s="1"/>
      <c r="H4" s="1"/>
      <c r="I4" s="1"/>
      <c r="J4" s="1"/>
      <c r="K4" s="1"/>
      <c r="L4" s="1"/>
      <c r="M4" s="27"/>
      <c r="N4" s="21"/>
      <c r="O4" s="21"/>
      <c r="P4" s="21"/>
      <c r="Q4" s="21"/>
      <c r="R4" s="28"/>
      <c r="S4" s="1"/>
    </row>
    <row r="5" spans="1:19" x14ac:dyDescent="0.3">
      <c r="A5" s="1"/>
      <c r="B5" s="16"/>
      <c r="C5" s="12"/>
      <c r="D5" s="1"/>
      <c r="E5" s="1"/>
      <c r="F5" s="1"/>
      <c r="G5" s="1"/>
      <c r="H5" s="1"/>
      <c r="I5" s="1"/>
      <c r="J5" s="1"/>
      <c r="K5" s="1"/>
      <c r="L5" s="1"/>
      <c r="M5" s="27"/>
      <c r="N5" s="21"/>
      <c r="O5" s="21"/>
      <c r="P5" s="21"/>
      <c r="Q5" s="21"/>
      <c r="R5" s="28"/>
      <c r="S5" s="1"/>
    </row>
    <row r="6" spans="1:19" ht="15.6" x14ac:dyDescent="0.3">
      <c r="A6" s="1"/>
      <c r="B6" s="16" t="s">
        <v>5</v>
      </c>
      <c r="C6" s="12">
        <v>-950.09765435120642</v>
      </c>
      <c r="D6" s="1"/>
      <c r="E6" s="1"/>
      <c r="F6" s="1"/>
      <c r="G6" s="1"/>
      <c r="H6" s="1"/>
      <c r="I6" s="1"/>
      <c r="J6" s="1"/>
      <c r="K6" s="1"/>
      <c r="L6" s="1"/>
      <c r="M6" s="29" t="s">
        <v>254</v>
      </c>
      <c r="N6" s="30"/>
      <c r="O6" s="30"/>
      <c r="P6" s="30"/>
      <c r="Q6" s="30"/>
      <c r="R6" s="31"/>
      <c r="S6" s="1"/>
    </row>
    <row r="7" spans="1:19" ht="15.6" x14ac:dyDescent="0.3">
      <c r="A7" s="1"/>
      <c r="B7" s="19"/>
      <c r="C7" s="12"/>
      <c r="D7" s="1"/>
      <c r="E7" s="1"/>
      <c r="F7" s="1"/>
      <c r="G7" s="1"/>
      <c r="H7" s="1"/>
      <c r="I7" s="1"/>
      <c r="J7" s="1"/>
      <c r="K7" s="1"/>
      <c r="L7" s="1"/>
      <c r="M7" s="38" t="s">
        <v>255</v>
      </c>
      <c r="N7" s="39"/>
      <c r="O7" s="39"/>
      <c r="P7" s="39"/>
      <c r="Q7" s="39"/>
      <c r="R7" s="40"/>
      <c r="S7" s="1"/>
    </row>
    <row r="8" spans="1:19" ht="15.6" x14ac:dyDescent="0.3">
      <c r="A8" s="1"/>
      <c r="B8" s="16" t="s">
        <v>228</v>
      </c>
      <c r="C8" s="12">
        <v>-18937.510254502824</v>
      </c>
      <c r="D8" s="1"/>
      <c r="E8" s="1"/>
      <c r="F8" s="1"/>
      <c r="G8" s="1"/>
      <c r="H8" s="1"/>
      <c r="I8" s="1"/>
      <c r="J8" s="1"/>
      <c r="K8" s="1"/>
      <c r="L8" s="1"/>
      <c r="M8" s="32" t="s">
        <v>259</v>
      </c>
      <c r="N8" s="33"/>
      <c r="O8" s="33"/>
      <c r="P8" s="33"/>
      <c r="Q8" s="33"/>
      <c r="R8" s="34"/>
      <c r="S8" s="1"/>
    </row>
    <row r="9" spans="1:19" ht="15.6" x14ac:dyDescent="0.3">
      <c r="A9" s="1"/>
      <c r="B9" s="12" t="s">
        <v>229</v>
      </c>
      <c r="C9" s="12">
        <v>1284.3113547290618</v>
      </c>
      <c r="D9" s="1"/>
      <c r="E9" s="1"/>
      <c r="F9" s="1"/>
      <c r="G9" s="1"/>
      <c r="H9" s="1"/>
      <c r="I9" s="1"/>
      <c r="J9" s="1"/>
      <c r="K9" s="1"/>
      <c r="L9" s="1"/>
      <c r="M9" s="32" t="s">
        <v>258</v>
      </c>
      <c r="N9" s="33"/>
      <c r="O9" s="33"/>
      <c r="P9" s="33"/>
      <c r="Q9" s="33"/>
      <c r="R9" s="34"/>
      <c r="S9" s="1"/>
    </row>
    <row r="10" spans="1:19" ht="15.6" x14ac:dyDescent="0.3">
      <c r="A10" s="1"/>
      <c r="B10" s="16" t="s">
        <v>8</v>
      </c>
      <c r="C10" s="12">
        <v>19.957050683223457</v>
      </c>
      <c r="D10" s="1"/>
      <c r="E10" s="1"/>
      <c r="F10" s="1"/>
      <c r="G10" s="1"/>
      <c r="H10" s="1"/>
      <c r="I10" s="1"/>
      <c r="J10" s="1"/>
      <c r="K10" s="1"/>
      <c r="L10" s="1"/>
      <c r="M10" s="35" t="s">
        <v>257</v>
      </c>
      <c r="N10" s="36"/>
      <c r="O10" s="36"/>
      <c r="P10" s="36"/>
      <c r="Q10" s="36"/>
      <c r="R10" s="37"/>
      <c r="S10" s="1"/>
    </row>
    <row r="11" spans="1:19" ht="16.2" thickBot="1" x14ac:dyDescent="0.35">
      <c r="A11" s="1"/>
      <c r="B11" s="18" t="s">
        <v>9</v>
      </c>
      <c r="C11" s="13">
        <v>308.23003274341255</v>
      </c>
      <c r="D11" s="1"/>
      <c r="E11" s="1"/>
      <c r="F11" s="1"/>
      <c r="G11" s="1"/>
      <c r="H11" s="1"/>
      <c r="I11" s="1"/>
      <c r="J11" s="1"/>
      <c r="K11" s="1"/>
      <c r="M11" s="33"/>
      <c r="N11" s="33"/>
      <c r="O11" s="33"/>
      <c r="P11" s="33"/>
      <c r="Q11" s="33"/>
      <c r="R11" s="33"/>
      <c r="S11" s="4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6" x14ac:dyDescent="0.3">
      <c r="A14" s="8" t="s">
        <v>0</v>
      </c>
      <c r="B14" s="8" t="s">
        <v>1</v>
      </c>
      <c r="C14" s="8" t="s">
        <v>2</v>
      </c>
      <c r="D14" s="8" t="s">
        <v>3</v>
      </c>
      <c r="E14" s="8" t="s">
        <v>7</v>
      </c>
      <c r="F14" s="8" t="s">
        <v>18</v>
      </c>
      <c r="G14" s="8" t="s">
        <v>4</v>
      </c>
      <c r="H14" s="8" t="s">
        <v>5</v>
      </c>
      <c r="I14" s="8" t="s">
        <v>6</v>
      </c>
      <c r="J14" s="8" t="s">
        <v>228</v>
      </c>
      <c r="K14" s="8" t="s">
        <v>229</v>
      </c>
      <c r="L14" s="8" t="s">
        <v>8</v>
      </c>
      <c r="M14" s="8" t="s">
        <v>9</v>
      </c>
      <c r="N14" s="8" t="s">
        <v>10</v>
      </c>
      <c r="O14" s="8" t="s">
        <v>11</v>
      </c>
      <c r="P14" s="8" t="s">
        <v>260</v>
      </c>
      <c r="Q14" s="8" t="s">
        <v>261</v>
      </c>
      <c r="R14" s="1"/>
      <c r="S14" s="1"/>
    </row>
    <row r="15" spans="1:19" x14ac:dyDescent="0.3">
      <c r="A15" s="2">
        <v>335</v>
      </c>
      <c r="B15" s="3" t="s">
        <v>35</v>
      </c>
      <c r="C15" s="3" t="s">
        <v>150</v>
      </c>
      <c r="D15" s="3" t="s">
        <v>14</v>
      </c>
      <c r="E15" s="3" t="s">
        <v>15</v>
      </c>
      <c r="F15" s="3">
        <f>IF(D15="Urban",1,0)</f>
        <v>0</v>
      </c>
      <c r="G15" s="3">
        <v>23654</v>
      </c>
      <c r="H15" s="3">
        <v>5</v>
      </c>
      <c r="I15" s="3">
        <v>53052</v>
      </c>
      <c r="J15" s="3">
        <f>IF(E15="Cold",1,0)</f>
        <v>1</v>
      </c>
      <c r="K15" s="3">
        <f>IF(E15="Hot",1,0)</f>
        <v>0</v>
      </c>
      <c r="L15" s="3">
        <v>1079</v>
      </c>
      <c r="M15" s="3">
        <v>40</v>
      </c>
      <c r="N15" s="4">
        <v>44002</v>
      </c>
      <c r="O15" s="9">
        <v>321729.22070000001</v>
      </c>
      <c r="P15" s="1">
        <f>$C$3+F15*$C$4+H15*$C$6+J15*$C$8+K15*$C$9+L15*$C$10+M15*$C$11</f>
        <v>275711.09583650302</v>
      </c>
      <c r="Q15" s="1">
        <f>(O15-P15)/O15</f>
        <v>0.14303371252189459</v>
      </c>
      <c r="R15" s="1"/>
      <c r="S15" s="1"/>
    </row>
    <row r="16" spans="1:19" x14ac:dyDescent="0.3">
      <c r="A16" s="2">
        <v>75</v>
      </c>
      <c r="B16" s="3" t="s">
        <v>33</v>
      </c>
      <c r="C16" s="3" t="s">
        <v>92</v>
      </c>
      <c r="D16" s="3" t="s">
        <v>18</v>
      </c>
      <c r="E16" s="3" t="s">
        <v>23</v>
      </c>
      <c r="F16" s="3">
        <f>IF(D16="Urban",1,0)</f>
        <v>1</v>
      </c>
      <c r="G16" s="3">
        <v>23585</v>
      </c>
      <c r="H16" s="3">
        <v>1</v>
      </c>
      <c r="I16" s="3">
        <v>67312</v>
      </c>
      <c r="J16" s="3">
        <f>IF(E16="Cold",1,0)</f>
        <v>0</v>
      </c>
      <c r="K16" s="3">
        <f>IF(E16="Hot",1,0)</f>
        <v>0</v>
      </c>
      <c r="L16" s="3">
        <v>1527</v>
      </c>
      <c r="M16" s="3">
        <v>33</v>
      </c>
      <c r="N16" s="4">
        <v>44479</v>
      </c>
      <c r="O16" s="10">
        <v>406868.70919999998</v>
      </c>
      <c r="P16" s="1">
        <f>$C$3+F16*$C$4+H16*$C$6+J16*$C$8+K16*$C$9+L16*$C$10+M16*$C$11</f>
        <v>349950.37502853258</v>
      </c>
      <c r="Q16" s="1">
        <f>(O16-P16)/O16</f>
        <v>0.13989361404415271</v>
      </c>
      <c r="R16" s="1"/>
      <c r="S16" s="1"/>
    </row>
    <row r="17" spans="1:19" x14ac:dyDescent="0.3">
      <c r="A17" s="2">
        <v>980</v>
      </c>
      <c r="B17" s="3" t="s">
        <v>40</v>
      </c>
      <c r="C17" s="3" t="s">
        <v>136</v>
      </c>
      <c r="D17" s="3" t="s">
        <v>14</v>
      </c>
      <c r="E17" s="3" t="s">
        <v>21</v>
      </c>
      <c r="F17" s="3">
        <f>IF(D17="Urban",1,0)</f>
        <v>0</v>
      </c>
      <c r="G17" s="3">
        <v>27967</v>
      </c>
      <c r="H17" s="3">
        <v>3</v>
      </c>
      <c r="I17" s="3">
        <v>60840</v>
      </c>
      <c r="J17" s="3">
        <f>IF(E17="Cold",1,0)</f>
        <v>0</v>
      </c>
      <c r="K17" s="3">
        <f>IF(E17="Hot",1,0)</f>
        <v>1</v>
      </c>
      <c r="L17" s="3">
        <v>2360</v>
      </c>
      <c r="M17" s="3">
        <v>30</v>
      </c>
      <c r="N17" s="4">
        <v>45163</v>
      </c>
      <c r="O17" s="10">
        <v>372093.20120000001</v>
      </c>
      <c r="P17" s="1">
        <f>$C$3+F17*$C$4+H17*$C$6+J17*$C$8+K17*$C$9+L17*$C$10+M17*$C$11</f>
        <v>320315.79435221246</v>
      </c>
      <c r="Q17" s="1">
        <f>(O17-P17)/O17</f>
        <v>0.13915171435760046</v>
      </c>
      <c r="R17" s="1"/>
      <c r="S17" s="1"/>
    </row>
    <row r="18" spans="1:19" x14ac:dyDescent="0.3">
      <c r="A18" s="2">
        <v>784</v>
      </c>
      <c r="B18" s="3" t="s">
        <v>29</v>
      </c>
      <c r="C18" s="3" t="s">
        <v>107</v>
      </c>
      <c r="D18" s="3" t="s">
        <v>18</v>
      </c>
      <c r="E18" s="3" t="s">
        <v>21</v>
      </c>
      <c r="F18" s="3">
        <f>IF(D18="Urban",1,0)</f>
        <v>1</v>
      </c>
      <c r="G18" s="3">
        <v>17300</v>
      </c>
      <c r="H18" s="3">
        <v>3</v>
      </c>
      <c r="I18" s="3">
        <v>99358</v>
      </c>
      <c r="J18" s="3">
        <f>IF(E18="Cold",1,0)</f>
        <v>0</v>
      </c>
      <c r="K18" s="3">
        <f>IF(E18="Hot",1,0)</f>
        <v>1</v>
      </c>
      <c r="L18" s="3">
        <v>1816</v>
      </c>
      <c r="M18" s="3">
        <v>85</v>
      </c>
      <c r="N18" s="4">
        <v>44857</v>
      </c>
      <c r="O18" s="10">
        <v>429178.15649999998</v>
      </c>
      <c r="P18" s="1">
        <f>$C$3+F18*$C$4+H18*$C$6+J18*$C$8+K18*$C$9+L18*$C$10+M18*$C$11</f>
        <v>371130.04042466817</v>
      </c>
      <c r="Q18" s="1">
        <f>(O18-P18)/O18</f>
        <v>0.13525412511373192</v>
      </c>
      <c r="R18" s="1"/>
      <c r="S18" s="1"/>
    </row>
    <row r="19" spans="1:19" x14ac:dyDescent="0.3">
      <c r="A19" s="2">
        <v>853</v>
      </c>
      <c r="B19" s="3" t="s">
        <v>29</v>
      </c>
      <c r="C19" s="3" t="s">
        <v>188</v>
      </c>
      <c r="D19" s="3" t="s">
        <v>18</v>
      </c>
      <c r="E19" s="3" t="s">
        <v>15</v>
      </c>
      <c r="F19" s="3">
        <f>IF(D19="Urban",1,0)</f>
        <v>1</v>
      </c>
      <c r="G19" s="3">
        <v>25818</v>
      </c>
      <c r="H19" s="3">
        <v>7</v>
      </c>
      <c r="I19" s="3">
        <v>95298</v>
      </c>
      <c r="J19" s="3">
        <f>IF(E19="Cold",1,0)</f>
        <v>1</v>
      </c>
      <c r="K19" s="3">
        <f>IF(E19="Hot",1,0)</f>
        <v>0</v>
      </c>
      <c r="L19" s="3">
        <v>1464</v>
      </c>
      <c r="M19" s="3">
        <v>87</v>
      </c>
      <c r="N19" s="4">
        <v>44311</v>
      </c>
      <c r="O19" s="10">
        <v>393423.11339999997</v>
      </c>
      <c r="P19" s="1">
        <f>$C$3+F19*$C$4+H19*$C$6+J19*$C$8+K19*$C$9+L19*$C$10+M19*$C$11</f>
        <v>340699.40642302367</v>
      </c>
      <c r="Q19" s="1">
        <f>(O19-P19)/O19</f>
        <v>0.13401273382576079</v>
      </c>
      <c r="R19" s="1"/>
      <c r="S19" s="1"/>
    </row>
    <row r="20" spans="1:19" x14ac:dyDescent="0.3">
      <c r="A20" s="2">
        <v>400</v>
      </c>
      <c r="B20" s="3" t="s">
        <v>33</v>
      </c>
      <c r="C20" s="3" t="s">
        <v>198</v>
      </c>
      <c r="D20" s="3" t="s">
        <v>14</v>
      </c>
      <c r="E20" s="3" t="s">
        <v>21</v>
      </c>
      <c r="F20" s="3">
        <f>IF(D20="Urban",1,0)</f>
        <v>0</v>
      </c>
      <c r="G20" s="3">
        <v>26599</v>
      </c>
      <c r="H20" s="3">
        <v>8</v>
      </c>
      <c r="I20" s="3">
        <v>79860</v>
      </c>
      <c r="J20" s="3">
        <f>IF(E20="Cold",1,0)</f>
        <v>0</v>
      </c>
      <c r="K20" s="3">
        <f>IF(E20="Hot",1,0)</f>
        <v>1</v>
      </c>
      <c r="L20" s="3">
        <v>1677</v>
      </c>
      <c r="M20" s="3">
        <v>46</v>
      </c>
      <c r="N20" s="4">
        <v>45167</v>
      </c>
      <c r="O20" s="10">
        <v>354175.69549999997</v>
      </c>
      <c r="P20" s="1">
        <f>$C$3+F20*$C$4+H20*$C$6+J20*$C$8+K20*$C$9+L20*$C$10+M20*$C$11</f>
        <v>306866.32098770939</v>
      </c>
      <c r="Q20" s="1">
        <f>(O20-P20)/O20</f>
        <v>0.13357600511097348</v>
      </c>
      <c r="R20" s="1"/>
      <c r="S20" s="1"/>
    </row>
    <row r="21" spans="1:19" x14ac:dyDescent="0.3">
      <c r="A21" s="2">
        <v>4</v>
      </c>
      <c r="B21" s="3" t="s">
        <v>24</v>
      </c>
      <c r="C21" s="3" t="s">
        <v>25</v>
      </c>
      <c r="D21" s="3" t="s">
        <v>14</v>
      </c>
      <c r="E21" s="3" t="s">
        <v>23</v>
      </c>
      <c r="F21" s="3">
        <f>IF(D21="Urban",1,0)</f>
        <v>0</v>
      </c>
      <c r="G21" s="3">
        <v>29822</v>
      </c>
      <c r="H21" s="3">
        <v>6</v>
      </c>
      <c r="I21" s="3">
        <v>93144</v>
      </c>
      <c r="J21" s="3">
        <f>IF(E21="Cold",1,0)</f>
        <v>0</v>
      </c>
      <c r="K21" s="3">
        <f>IF(E21="Hot",1,0)</f>
        <v>0</v>
      </c>
      <c r="L21" s="3">
        <v>1495</v>
      </c>
      <c r="M21" s="3">
        <v>32</v>
      </c>
      <c r="N21" s="4">
        <v>44821</v>
      </c>
      <c r="O21" s="10">
        <v>344911.7095</v>
      </c>
      <c r="P21" s="1">
        <f>$C$3+F21*$C$4+H21*$C$6+J21*$C$8+K21*$C$9+L21*$C$10+M21*$C$11</f>
        <v>299534.80125892832</v>
      </c>
      <c r="Q21" s="1">
        <f>(O21-P21)/O21</f>
        <v>0.13156093861484769</v>
      </c>
      <c r="R21" s="1"/>
      <c r="S21" s="1"/>
    </row>
    <row r="22" spans="1:19" x14ac:dyDescent="0.3">
      <c r="A22" s="2">
        <v>66</v>
      </c>
      <c r="B22" s="3" t="s">
        <v>12</v>
      </c>
      <c r="C22" s="3" t="s">
        <v>85</v>
      </c>
      <c r="D22" s="3" t="s">
        <v>18</v>
      </c>
      <c r="E22" s="3" t="s">
        <v>21</v>
      </c>
      <c r="F22" s="3">
        <f>IF(D22="Urban",1,0)</f>
        <v>1</v>
      </c>
      <c r="G22" s="3">
        <v>21288</v>
      </c>
      <c r="H22" s="3">
        <v>6</v>
      </c>
      <c r="I22" s="3">
        <v>92053</v>
      </c>
      <c r="J22" s="3">
        <f>IF(E22="Cold",1,0)</f>
        <v>0</v>
      </c>
      <c r="K22" s="3">
        <f>IF(E22="Hot",1,0)</f>
        <v>1</v>
      </c>
      <c r="L22" s="3">
        <v>2501</v>
      </c>
      <c r="M22" s="3">
        <v>55</v>
      </c>
      <c r="N22" s="4">
        <v>44741</v>
      </c>
      <c r="O22" s="10">
        <v>427937.12689999997</v>
      </c>
      <c r="P22" s="1">
        <f>$C$3+F22*$C$4+H22*$C$6+J22*$C$8+K22*$C$9+L22*$C$10+M22*$C$11</f>
        <v>372703.42619732028</v>
      </c>
      <c r="Q22" s="1">
        <f>(O22-P22)/O22</f>
        <v>0.129069662879675</v>
      </c>
      <c r="R22" s="1"/>
      <c r="S22" s="1"/>
    </row>
    <row r="23" spans="1:19" x14ac:dyDescent="0.3">
      <c r="A23" s="2">
        <v>893</v>
      </c>
      <c r="B23" s="3" t="s">
        <v>31</v>
      </c>
      <c r="C23" s="3" t="s">
        <v>63</v>
      </c>
      <c r="D23" s="3" t="s">
        <v>18</v>
      </c>
      <c r="E23" s="3" t="s">
        <v>23</v>
      </c>
      <c r="F23" s="3">
        <f>IF(D23="Urban",1,0)</f>
        <v>1</v>
      </c>
      <c r="G23" s="3">
        <v>24892</v>
      </c>
      <c r="H23" s="3">
        <v>0</v>
      </c>
      <c r="I23" s="3">
        <v>97110</v>
      </c>
      <c r="J23" s="3">
        <f>IF(E23="Cold",1,0)</f>
        <v>0</v>
      </c>
      <c r="K23" s="3">
        <f>IF(E23="Hot",1,0)</f>
        <v>0</v>
      </c>
      <c r="L23" s="3">
        <v>2080</v>
      </c>
      <c r="M23" s="3">
        <v>68</v>
      </c>
      <c r="N23" s="4">
        <v>45031</v>
      </c>
      <c r="O23" s="10">
        <v>427681.4596</v>
      </c>
      <c r="P23" s="1">
        <f>$C$3+F23*$C$4+H23*$C$6+J23*$C$8+K23*$C$9+L23*$C$10+M23*$C$11</f>
        <v>372724.77285672579</v>
      </c>
      <c r="Q23" s="1">
        <f>(O23-P23)/O23</f>
        <v>0.1284991095818693</v>
      </c>
      <c r="R23" s="1"/>
      <c r="S23" s="1"/>
    </row>
    <row r="24" spans="1:19" x14ac:dyDescent="0.3">
      <c r="A24" s="2">
        <v>879</v>
      </c>
      <c r="B24" s="3" t="s">
        <v>108</v>
      </c>
      <c r="C24" s="3" t="s">
        <v>205</v>
      </c>
      <c r="D24" s="3" t="s">
        <v>18</v>
      </c>
      <c r="E24" s="3" t="s">
        <v>21</v>
      </c>
      <c r="F24" s="3">
        <f>IF(D24="Urban",1,0)</f>
        <v>1</v>
      </c>
      <c r="G24" s="3">
        <v>26595</v>
      </c>
      <c r="H24" s="3">
        <v>8</v>
      </c>
      <c r="I24" s="3">
        <v>56596</v>
      </c>
      <c r="J24" s="3">
        <f>IF(E24="Cold",1,0)</f>
        <v>0</v>
      </c>
      <c r="K24" s="3">
        <f>IF(E24="Hot",1,0)</f>
        <v>1</v>
      </c>
      <c r="L24" s="3">
        <v>2147</v>
      </c>
      <c r="M24" s="3">
        <v>77</v>
      </c>
      <c r="N24" s="4">
        <v>44385</v>
      </c>
      <c r="O24" s="10">
        <v>423633.52649999998</v>
      </c>
      <c r="P24" s="1">
        <f>$C$3+F24*$C$4+H24*$C$6+J24*$C$8+K24*$C$9+L24*$C$10+M24*$C$11</f>
        <v>370519.49566711183</v>
      </c>
      <c r="Q24" s="1">
        <f>(O24-P24)/O24</f>
        <v>0.12537730729602242</v>
      </c>
      <c r="R24" s="1"/>
      <c r="S24" s="1"/>
    </row>
    <row r="25" spans="1:19" x14ac:dyDescent="0.3">
      <c r="A25" s="2">
        <v>423</v>
      </c>
      <c r="B25" s="3" t="s">
        <v>57</v>
      </c>
      <c r="C25" s="3" t="s">
        <v>86</v>
      </c>
      <c r="D25" s="3" t="s">
        <v>18</v>
      </c>
      <c r="E25" s="3" t="s">
        <v>15</v>
      </c>
      <c r="F25" s="3">
        <f>IF(D25="Urban",1,0)</f>
        <v>1</v>
      </c>
      <c r="G25" s="3">
        <v>20153</v>
      </c>
      <c r="H25" s="3">
        <v>6</v>
      </c>
      <c r="I25" s="3">
        <v>52355</v>
      </c>
      <c r="J25" s="3">
        <f>IF(E25="Cold",1,0)</f>
        <v>1</v>
      </c>
      <c r="K25" s="3">
        <f>IF(E25="Hot",1,0)</f>
        <v>0</v>
      </c>
      <c r="L25" s="3">
        <v>2911</v>
      </c>
      <c r="M25" s="3">
        <v>46</v>
      </c>
      <c r="N25" s="4">
        <v>45185</v>
      </c>
      <c r="O25" s="10">
        <v>409078.3174</v>
      </c>
      <c r="P25" s="1">
        <f>$C$3+F25*$C$4+H25*$C$6+J25*$C$8+K25*$C$9+L25*$C$10+M25*$C$11</f>
        <v>357889.92507351929</v>
      </c>
      <c r="Q25" s="1">
        <f>(O25-P25)/O25</f>
        <v>0.12513103273676637</v>
      </c>
      <c r="R25" s="1"/>
      <c r="S25" s="1"/>
    </row>
    <row r="26" spans="1:19" x14ac:dyDescent="0.3">
      <c r="A26" s="2">
        <v>528</v>
      </c>
      <c r="B26" s="3" t="s">
        <v>122</v>
      </c>
      <c r="C26" s="3" t="s">
        <v>195</v>
      </c>
      <c r="D26" s="3" t="s">
        <v>18</v>
      </c>
      <c r="E26" s="3" t="s">
        <v>15</v>
      </c>
      <c r="F26" s="3">
        <f>IF(D26="Urban",1,0)</f>
        <v>1</v>
      </c>
      <c r="G26" s="3">
        <v>6212</v>
      </c>
      <c r="H26" s="3">
        <v>8</v>
      </c>
      <c r="I26" s="3">
        <v>82853</v>
      </c>
      <c r="J26" s="3">
        <f>IF(E26="Cold",1,0)</f>
        <v>1</v>
      </c>
      <c r="K26" s="3">
        <f>IF(E26="Hot",1,0)</f>
        <v>0</v>
      </c>
      <c r="L26" s="3">
        <v>2266</v>
      </c>
      <c r="M26" s="3">
        <v>70</v>
      </c>
      <c r="N26" s="4">
        <v>45097</v>
      </c>
      <c r="O26" s="10">
        <v>400290.10969999997</v>
      </c>
      <c r="P26" s="1">
        <f>$C$3+F26*$C$4+H26*$C$6+J26*$C$8+K26*$C$9+L26*$C$10+M26*$C$11</f>
        <v>350514.9528599797</v>
      </c>
      <c r="Q26" s="1">
        <f>(O26-P26)/O26</f>
        <v>0.12434770591090692</v>
      </c>
      <c r="R26" s="1"/>
      <c r="S26" s="1"/>
    </row>
    <row r="27" spans="1:19" x14ac:dyDescent="0.3">
      <c r="A27" s="2">
        <v>291</v>
      </c>
      <c r="B27" s="3" t="s">
        <v>57</v>
      </c>
      <c r="C27" s="3" t="s">
        <v>116</v>
      </c>
      <c r="D27" s="3" t="s">
        <v>14</v>
      </c>
      <c r="E27" s="3" t="s">
        <v>15</v>
      </c>
      <c r="F27" s="3">
        <f>IF(D27="Urban",1,0)</f>
        <v>0</v>
      </c>
      <c r="G27" s="3">
        <v>16896</v>
      </c>
      <c r="H27" s="3">
        <v>7</v>
      </c>
      <c r="I27" s="3">
        <v>64541</v>
      </c>
      <c r="J27" s="3">
        <f>IF(E27="Cold",1,0)</f>
        <v>1</v>
      </c>
      <c r="K27" s="3">
        <f>IF(E27="Hot",1,0)</f>
        <v>0</v>
      </c>
      <c r="L27" s="3">
        <v>2101</v>
      </c>
      <c r="M27" s="3">
        <v>67</v>
      </c>
      <c r="N27" s="4">
        <v>45525</v>
      </c>
      <c r="O27" s="10">
        <v>345442.71590000001</v>
      </c>
      <c r="P27" s="1">
        <f>$C$3+F27*$C$4+H27*$C$6+J27*$C$8+K27*$C$9+L27*$C$10+M27*$C$11</f>
        <v>302529.2172101271</v>
      </c>
      <c r="Q27" s="1">
        <f>(O27-P27)/O27</f>
        <v>0.12422753966042713</v>
      </c>
      <c r="R27" s="1"/>
      <c r="S27" s="1"/>
    </row>
    <row r="28" spans="1:19" x14ac:dyDescent="0.3">
      <c r="A28" s="2">
        <v>480</v>
      </c>
      <c r="B28" s="3" t="s">
        <v>12</v>
      </c>
      <c r="C28" s="3" t="s">
        <v>95</v>
      </c>
      <c r="D28" s="3" t="s">
        <v>14</v>
      </c>
      <c r="E28" s="3" t="s">
        <v>15</v>
      </c>
      <c r="F28" s="3">
        <f>IF(D28="Urban",1,0)</f>
        <v>0</v>
      </c>
      <c r="G28" s="3">
        <v>15465</v>
      </c>
      <c r="H28" s="3">
        <v>6</v>
      </c>
      <c r="I28" s="3">
        <v>93485</v>
      </c>
      <c r="J28" s="3">
        <f>IF(E28="Cold",1,0)</f>
        <v>1</v>
      </c>
      <c r="K28" s="3">
        <f>IF(E28="Hot",1,0)</f>
        <v>0</v>
      </c>
      <c r="L28" s="3">
        <v>1832</v>
      </c>
      <c r="M28" s="3">
        <v>75</v>
      </c>
      <c r="N28" s="4">
        <v>44460</v>
      </c>
      <c r="O28" s="10">
        <v>343159.61430000002</v>
      </c>
      <c r="P28" s="1">
        <f>$C$3+F28*$C$4+H28*$C$6+J28*$C$8+K28*$C$9+L28*$C$10+M28*$C$11</f>
        <v>300576.70849263854</v>
      </c>
      <c r="Q28" s="1">
        <f>(O28-P28)/O28</f>
        <v>0.12409066811147033</v>
      </c>
      <c r="R28" s="1"/>
      <c r="S28" s="1"/>
    </row>
    <row r="29" spans="1:19" x14ac:dyDescent="0.3">
      <c r="A29" s="2">
        <v>844</v>
      </c>
      <c r="B29" s="3" t="s">
        <v>16</v>
      </c>
      <c r="C29" s="3" t="s">
        <v>183</v>
      </c>
      <c r="D29" s="3" t="s">
        <v>14</v>
      </c>
      <c r="E29" s="3" t="s">
        <v>21</v>
      </c>
      <c r="F29" s="3">
        <f>IF(D29="Urban",1,0)</f>
        <v>0</v>
      </c>
      <c r="G29" s="3">
        <v>13962</v>
      </c>
      <c r="H29" s="3">
        <v>4</v>
      </c>
      <c r="I29" s="3">
        <v>77213</v>
      </c>
      <c r="J29" s="3">
        <f>IF(E29="Cold",1,0)</f>
        <v>0</v>
      </c>
      <c r="K29" s="3">
        <f>IF(E29="Hot",1,0)</f>
        <v>1</v>
      </c>
      <c r="L29" s="3">
        <v>1177</v>
      </c>
      <c r="M29" s="3">
        <v>55</v>
      </c>
      <c r="N29" s="4">
        <v>45138</v>
      </c>
      <c r="O29" s="10">
        <v>346201.69030000002</v>
      </c>
      <c r="P29" s="1">
        <f>$C$3+F29*$C$4+H29*$C$6+J29*$C$8+K29*$C$9+L29*$C$10+M29*$C$11</f>
        <v>303462.25655819324</v>
      </c>
      <c r="Q29" s="1">
        <f>(O29-P29)/O29</f>
        <v>0.12345241210339282</v>
      </c>
      <c r="R29" s="1"/>
      <c r="S29" s="1"/>
    </row>
    <row r="30" spans="1:19" x14ac:dyDescent="0.3">
      <c r="A30" s="2">
        <v>314</v>
      </c>
      <c r="B30" s="3" t="s">
        <v>35</v>
      </c>
      <c r="C30" s="3" t="s">
        <v>139</v>
      </c>
      <c r="D30" s="3" t="s">
        <v>18</v>
      </c>
      <c r="E30" s="3" t="s">
        <v>23</v>
      </c>
      <c r="F30" s="3">
        <f>IF(D30="Urban",1,0)</f>
        <v>1</v>
      </c>
      <c r="G30" s="3">
        <v>15861</v>
      </c>
      <c r="H30" s="3">
        <v>8</v>
      </c>
      <c r="I30" s="3">
        <v>73030</v>
      </c>
      <c r="J30" s="3">
        <f>IF(E30="Cold",1,0)</f>
        <v>0</v>
      </c>
      <c r="K30" s="3">
        <f>IF(E30="Hot",1,0)</f>
        <v>0</v>
      </c>
      <c r="L30" s="3">
        <v>1672</v>
      </c>
      <c r="M30" s="3">
        <v>79</v>
      </c>
      <c r="N30" s="4">
        <v>45118</v>
      </c>
      <c r="O30" s="10">
        <v>410851.92320000002</v>
      </c>
      <c r="P30" s="1">
        <f>$C$3+F30*$C$4+H30*$C$6+J30*$C$8+K30*$C$9+L30*$C$10+M30*$C$11</f>
        <v>360372.04530333844</v>
      </c>
      <c r="Q30" s="1">
        <f>(O30-P30)/O30</f>
        <v>0.12286635414406544</v>
      </c>
      <c r="R30" s="1"/>
      <c r="S30" s="1"/>
    </row>
    <row r="31" spans="1:19" x14ac:dyDescent="0.3">
      <c r="A31" s="2">
        <v>929</v>
      </c>
      <c r="B31" s="3" t="s">
        <v>19</v>
      </c>
      <c r="C31" s="3" t="s">
        <v>129</v>
      </c>
      <c r="D31" s="3" t="s">
        <v>14</v>
      </c>
      <c r="E31" s="3" t="s">
        <v>23</v>
      </c>
      <c r="F31" s="3">
        <f>IF(D31="Urban",1,0)</f>
        <v>0</v>
      </c>
      <c r="G31" s="3">
        <v>27364</v>
      </c>
      <c r="H31" s="3">
        <v>3</v>
      </c>
      <c r="I31" s="3">
        <v>54724</v>
      </c>
      <c r="J31" s="3">
        <f>IF(E31="Cold",1,0)</f>
        <v>0</v>
      </c>
      <c r="K31" s="3">
        <f>IF(E31="Hot",1,0)</f>
        <v>0</v>
      </c>
      <c r="L31" s="3">
        <v>2353</v>
      </c>
      <c r="M31" s="3">
        <v>76</v>
      </c>
      <c r="N31" s="4">
        <v>44558</v>
      </c>
      <c r="O31" s="10">
        <v>379574.77120000002</v>
      </c>
      <c r="P31" s="1">
        <f>$C$3+F31*$C$4+H31*$C$6+J31*$C$8+K31*$C$9+L31*$C$10+M31*$C$11</f>
        <v>333070.36514889781</v>
      </c>
      <c r="Q31" s="1">
        <f>(O31-P31)/O31</f>
        <v>0.12251711541333916</v>
      </c>
      <c r="R31" s="1"/>
      <c r="S31" s="1"/>
    </row>
    <row r="32" spans="1:19" x14ac:dyDescent="0.3">
      <c r="A32" s="2">
        <v>913</v>
      </c>
      <c r="B32" s="3" t="s">
        <v>44</v>
      </c>
      <c r="C32" s="3" t="s">
        <v>201</v>
      </c>
      <c r="D32" s="3" t="s">
        <v>18</v>
      </c>
      <c r="E32" s="3" t="s">
        <v>23</v>
      </c>
      <c r="F32" s="3">
        <f>IF(D32="Urban",1,0)</f>
        <v>1</v>
      </c>
      <c r="G32" s="3">
        <v>3040</v>
      </c>
      <c r="H32" s="3">
        <v>3</v>
      </c>
      <c r="I32" s="3">
        <v>60535</v>
      </c>
      <c r="J32" s="3">
        <f>IF(E32="Cold",1,0)</f>
        <v>0</v>
      </c>
      <c r="K32" s="3">
        <f>IF(E32="Hot",1,0)</f>
        <v>0</v>
      </c>
      <c r="L32" s="3">
        <v>1983</v>
      </c>
      <c r="M32" s="3">
        <v>41</v>
      </c>
      <c r="N32" s="4">
        <v>45425</v>
      </c>
      <c r="O32" s="10">
        <v>409435.1655</v>
      </c>
      <c r="P32" s="1">
        <f>$C$3+F32*$C$4+H32*$C$6+J32*$C$8+K32*$C$9+L32*$C$10+M32*$C$11</f>
        <v>359616.43509332731</v>
      </c>
      <c r="Q32" s="1">
        <f>(O32-P32)/O32</f>
        <v>0.12167672590075239</v>
      </c>
      <c r="R32" s="1"/>
      <c r="S32" s="1"/>
    </row>
    <row r="33" spans="1:19" x14ac:dyDescent="0.3">
      <c r="A33" s="2">
        <v>783</v>
      </c>
      <c r="B33" s="3" t="s">
        <v>33</v>
      </c>
      <c r="C33" s="3" t="s">
        <v>79</v>
      </c>
      <c r="D33" s="3" t="s">
        <v>18</v>
      </c>
      <c r="E33" s="3" t="s">
        <v>21</v>
      </c>
      <c r="F33" s="3">
        <f>IF(D33="Urban",1,0)</f>
        <v>1</v>
      </c>
      <c r="G33" s="3">
        <v>24803</v>
      </c>
      <c r="H33" s="3">
        <v>0</v>
      </c>
      <c r="I33" s="3">
        <v>88967</v>
      </c>
      <c r="J33" s="3">
        <f>IF(E33="Cold",1,0)</f>
        <v>0</v>
      </c>
      <c r="K33" s="3">
        <f>IF(E33="Hot",1,0)</f>
        <v>1</v>
      </c>
      <c r="L33" s="3">
        <v>2807</v>
      </c>
      <c r="M33" s="3">
        <v>33</v>
      </c>
      <c r="N33" s="4">
        <v>44841</v>
      </c>
      <c r="O33" s="10">
        <v>429602.98139999999</v>
      </c>
      <c r="P33" s="1">
        <f>$C$3+F33*$C$4+H33*$C$6+J33*$C$8+K33*$C$9+L33*$C$10+M33*$C$11</f>
        <v>377729.80891213886</v>
      </c>
      <c r="Q33" s="1">
        <f>(O33-P33)/O33</f>
        <v>0.12074677023612744</v>
      </c>
      <c r="R33" s="1"/>
      <c r="S33" s="1"/>
    </row>
    <row r="34" spans="1:19" x14ac:dyDescent="0.3">
      <c r="A34" s="2">
        <v>567</v>
      </c>
      <c r="B34" s="3" t="s">
        <v>12</v>
      </c>
      <c r="C34" s="3" t="s">
        <v>13</v>
      </c>
      <c r="D34" s="3" t="s">
        <v>14</v>
      </c>
      <c r="E34" s="3" t="s">
        <v>15</v>
      </c>
      <c r="F34" s="3">
        <f>IF(D34="Urban",1,0)</f>
        <v>0</v>
      </c>
      <c r="G34" s="3">
        <v>25113</v>
      </c>
      <c r="H34" s="3">
        <v>1</v>
      </c>
      <c r="I34" s="3">
        <v>92655</v>
      </c>
      <c r="J34" s="3">
        <f>IF(E34="Cold",1,0)</f>
        <v>1</v>
      </c>
      <c r="K34" s="3">
        <f>IF(E34="Hot",1,0)</f>
        <v>0</v>
      </c>
      <c r="L34" s="3">
        <v>1014</v>
      </c>
      <c r="M34" s="3">
        <v>72</v>
      </c>
      <c r="N34" s="4">
        <v>43976</v>
      </c>
      <c r="O34" s="10">
        <v>327230.51750000002</v>
      </c>
      <c r="P34" s="1">
        <f>$C$3+F34*$C$4+H34*$C$6+J34*$C$8+K34*$C$9+L34*$C$10+M34*$C$11</f>
        <v>288077.63920728752</v>
      </c>
      <c r="Q34" s="1">
        <f>(O34-P34)/O34</f>
        <v>0.11964922645918102</v>
      </c>
      <c r="R34" s="1"/>
      <c r="S34" s="1"/>
    </row>
    <row r="35" spans="1:19" x14ac:dyDescent="0.3">
      <c r="A35" s="2">
        <v>619</v>
      </c>
      <c r="B35" s="3" t="s">
        <v>24</v>
      </c>
      <c r="C35" s="3" t="s">
        <v>94</v>
      </c>
      <c r="D35" s="3" t="s">
        <v>14</v>
      </c>
      <c r="E35" s="3" t="s">
        <v>15</v>
      </c>
      <c r="F35" s="3">
        <f>IF(D35="Urban",1,0)</f>
        <v>0</v>
      </c>
      <c r="G35" s="3">
        <v>6194</v>
      </c>
      <c r="H35" s="3">
        <v>7</v>
      </c>
      <c r="I35" s="3">
        <v>95556</v>
      </c>
      <c r="J35" s="3">
        <f>IF(E35="Cold",1,0)</f>
        <v>1</v>
      </c>
      <c r="K35" s="3">
        <f>IF(E35="Hot",1,0)</f>
        <v>0</v>
      </c>
      <c r="L35" s="3">
        <v>1563</v>
      </c>
      <c r="M35" s="3">
        <v>97</v>
      </c>
      <c r="N35" s="4">
        <v>44120</v>
      </c>
      <c r="O35" s="10">
        <v>341950.94900000002</v>
      </c>
      <c r="P35" s="1">
        <f>$C$3+F35*$C$4+H35*$C$6+J35*$C$8+K35*$C$9+L35*$C$10+M35*$C$11</f>
        <v>301039.22492485528</v>
      </c>
      <c r="Q35" s="1">
        <f>(O35-P35)/O35</f>
        <v>0.11964208373974929</v>
      </c>
      <c r="R35" s="1"/>
      <c r="S35" s="1"/>
    </row>
    <row r="36" spans="1:19" x14ac:dyDescent="0.3">
      <c r="A36" s="2">
        <v>310</v>
      </c>
      <c r="B36" s="3" t="s">
        <v>53</v>
      </c>
      <c r="C36" s="3" t="s">
        <v>152</v>
      </c>
      <c r="D36" s="3" t="s">
        <v>14</v>
      </c>
      <c r="E36" s="3" t="s">
        <v>21</v>
      </c>
      <c r="F36" s="3">
        <f>IF(D36="Urban",1,0)</f>
        <v>0</v>
      </c>
      <c r="G36" s="3">
        <v>24084</v>
      </c>
      <c r="H36" s="3">
        <v>8</v>
      </c>
      <c r="I36" s="3">
        <v>86072</v>
      </c>
      <c r="J36" s="3">
        <f>IF(E36="Cold",1,0)</f>
        <v>0</v>
      </c>
      <c r="K36" s="3">
        <f>IF(E36="Hot",1,0)</f>
        <v>1</v>
      </c>
      <c r="L36" s="3">
        <v>1210</v>
      </c>
      <c r="M36" s="3">
        <v>66</v>
      </c>
      <c r="N36" s="4">
        <v>43909</v>
      </c>
      <c r="O36" s="10">
        <v>344422.1961</v>
      </c>
      <c r="P36" s="1">
        <f>$C$3+F36*$C$4+H36*$C$6+J36*$C$8+K36*$C$9+L36*$C$10+M36*$C$11</f>
        <v>303710.9789735123</v>
      </c>
      <c r="Q36" s="1">
        <f>(O36-P36)/O36</f>
        <v>0.1182014910405703</v>
      </c>
      <c r="R36" s="1"/>
      <c r="S36" s="1"/>
    </row>
    <row r="37" spans="1:19" x14ac:dyDescent="0.3">
      <c r="A37" s="2">
        <v>369</v>
      </c>
      <c r="B37" s="3" t="s">
        <v>72</v>
      </c>
      <c r="C37" s="3" t="s">
        <v>167</v>
      </c>
      <c r="D37" s="3" t="s">
        <v>18</v>
      </c>
      <c r="E37" s="3" t="s">
        <v>15</v>
      </c>
      <c r="F37" s="3">
        <f>IF(D37="Urban",1,0)</f>
        <v>1</v>
      </c>
      <c r="G37" s="3">
        <v>29687</v>
      </c>
      <c r="H37" s="3">
        <v>1</v>
      </c>
      <c r="I37" s="3">
        <v>64397</v>
      </c>
      <c r="J37" s="3">
        <f>IF(E37="Cold",1,0)</f>
        <v>1</v>
      </c>
      <c r="K37" s="3">
        <f>IF(E37="Hot",1,0)</f>
        <v>0</v>
      </c>
      <c r="L37" s="3">
        <v>1236</v>
      </c>
      <c r="M37" s="3">
        <v>61</v>
      </c>
      <c r="N37" s="4">
        <v>45225</v>
      </c>
      <c r="O37" s="10">
        <v>378473.74489999999</v>
      </c>
      <c r="P37" s="1">
        <f>$C$3+F37*$C$4+H37*$C$6+J37*$C$8+K37*$C$9+L37*$C$10+M37*$C$11</f>
        <v>333835.80394202727</v>
      </c>
      <c r="Q37" s="1">
        <f>(O37-P37)/O37</f>
        <v>0.11794197499688365</v>
      </c>
      <c r="R37" s="1"/>
      <c r="S37" s="1"/>
    </row>
    <row r="38" spans="1:19" x14ac:dyDescent="0.3">
      <c r="A38" s="2">
        <v>53</v>
      </c>
      <c r="B38" s="3" t="s">
        <v>57</v>
      </c>
      <c r="C38" s="3" t="s">
        <v>78</v>
      </c>
      <c r="D38" s="3" t="s">
        <v>18</v>
      </c>
      <c r="E38" s="3" t="s">
        <v>15</v>
      </c>
      <c r="F38" s="3">
        <f>IF(D38="Urban",1,0)</f>
        <v>1</v>
      </c>
      <c r="G38" s="3">
        <v>28914</v>
      </c>
      <c r="H38" s="3">
        <v>5</v>
      </c>
      <c r="I38" s="3">
        <v>55999</v>
      </c>
      <c r="J38" s="3">
        <f>IF(E38="Cold",1,0)</f>
        <v>1</v>
      </c>
      <c r="K38" s="3">
        <f>IF(E38="Hot",1,0)</f>
        <v>0</v>
      </c>
      <c r="L38" s="3">
        <v>1332</v>
      </c>
      <c r="M38" s="3">
        <v>26</v>
      </c>
      <c r="N38" s="4">
        <v>43987</v>
      </c>
      <c r="O38" s="10">
        <v>363854.62550000002</v>
      </c>
      <c r="P38" s="1">
        <f>$C$3+F38*$C$4+H38*$C$6+J38*$C$8+K38*$C$9+L38*$C$10+M38*$C$11</f>
        <v>321163.23904419236</v>
      </c>
      <c r="Q38" s="1">
        <f>(O38-P38)/O38</f>
        <v>0.11733088839297347</v>
      </c>
      <c r="R38" s="1"/>
      <c r="S38" s="1"/>
    </row>
    <row r="39" spans="1:19" x14ac:dyDescent="0.3">
      <c r="A39" s="2">
        <v>686</v>
      </c>
      <c r="B39" s="3" t="s">
        <v>122</v>
      </c>
      <c r="C39" s="3" t="s">
        <v>133</v>
      </c>
      <c r="D39" s="3" t="s">
        <v>14</v>
      </c>
      <c r="E39" s="3" t="s">
        <v>15</v>
      </c>
      <c r="F39" s="3">
        <f>IF(D39="Urban",1,0)</f>
        <v>0</v>
      </c>
      <c r="G39" s="3">
        <v>26916</v>
      </c>
      <c r="H39" s="3">
        <v>3</v>
      </c>
      <c r="I39" s="3">
        <v>63836</v>
      </c>
      <c r="J39" s="3">
        <f>IF(E39="Cold",1,0)</f>
        <v>1</v>
      </c>
      <c r="K39" s="3">
        <f>IF(E39="Hot",1,0)</f>
        <v>0</v>
      </c>
      <c r="L39" s="3">
        <v>2516</v>
      </c>
      <c r="M39" s="3">
        <v>21</v>
      </c>
      <c r="N39" s="4">
        <v>45388</v>
      </c>
      <c r="O39" s="10">
        <v>340303.1299</v>
      </c>
      <c r="P39" s="1">
        <f>$C$3+F39*$C$4+H39*$C$6+J39*$C$8+K39*$C$9+L39*$C$10+M39*$C$11</f>
        <v>300433.20235487272</v>
      </c>
      <c r="Q39" s="1">
        <f>(O39-P39)/O39</f>
        <v>0.11716003774882496</v>
      </c>
      <c r="R39" s="1"/>
      <c r="S39" s="1"/>
    </row>
    <row r="40" spans="1:19" x14ac:dyDescent="0.3">
      <c r="A40" s="2">
        <v>921</v>
      </c>
      <c r="B40" s="3" t="s">
        <v>72</v>
      </c>
      <c r="C40" s="3" t="s">
        <v>180</v>
      </c>
      <c r="D40" s="3" t="s">
        <v>14</v>
      </c>
      <c r="E40" s="3" t="s">
        <v>23</v>
      </c>
      <c r="F40" s="3">
        <f>IF(D40="Urban",1,0)</f>
        <v>0</v>
      </c>
      <c r="G40" s="3">
        <v>27691</v>
      </c>
      <c r="H40" s="3">
        <v>2</v>
      </c>
      <c r="I40" s="3">
        <v>89703</v>
      </c>
      <c r="J40" s="3">
        <f>IF(E40="Cold",1,0)</f>
        <v>0</v>
      </c>
      <c r="K40" s="3">
        <f>IF(E40="Hot",1,0)</f>
        <v>0</v>
      </c>
      <c r="L40" s="3">
        <v>2921</v>
      </c>
      <c r="M40" s="3">
        <v>78</v>
      </c>
      <c r="N40" s="4">
        <v>45124</v>
      </c>
      <c r="O40" s="10">
        <v>391689.99979999999</v>
      </c>
      <c r="P40" s="1">
        <f>$C$3+F40*$C$4+H40*$C$6+J40*$C$8+K40*$C$9+L40*$C$10+M40*$C$11</f>
        <v>345972.52765680675</v>
      </c>
      <c r="Q40" s="1">
        <f>(O40-P40)/O40</f>
        <v>0.11671850740773812</v>
      </c>
      <c r="R40" s="1"/>
      <c r="S40" s="1"/>
    </row>
    <row r="41" spans="1:19" x14ac:dyDescent="0.3">
      <c r="A41" s="2">
        <v>467</v>
      </c>
      <c r="B41" s="3" t="s">
        <v>37</v>
      </c>
      <c r="C41" s="3" t="s">
        <v>38</v>
      </c>
      <c r="D41" s="3" t="s">
        <v>14</v>
      </c>
      <c r="E41" s="3" t="s">
        <v>21</v>
      </c>
      <c r="F41" s="3">
        <f>IF(D41="Urban",1,0)</f>
        <v>0</v>
      </c>
      <c r="G41" s="3">
        <v>18055</v>
      </c>
      <c r="H41" s="3">
        <v>5</v>
      </c>
      <c r="I41" s="3">
        <v>76327</v>
      </c>
      <c r="J41" s="3">
        <f>IF(E41="Cold",1,0)</f>
        <v>0</v>
      </c>
      <c r="K41" s="3">
        <f>IF(E41="Hot",1,0)</f>
        <v>1</v>
      </c>
      <c r="L41" s="3">
        <v>2015</v>
      </c>
      <c r="M41" s="3">
        <v>63</v>
      </c>
      <c r="N41" s="4">
        <v>43895</v>
      </c>
      <c r="O41" s="10">
        <v>363745.9926</v>
      </c>
      <c r="P41" s="1">
        <f>$C$3+F41*$C$4+H41*$C$6+J41*$C$8+K41*$C$9+L41*$C$10+M41*$C$11</f>
        <v>321702.00763833051</v>
      </c>
      <c r="Q41" s="1">
        <f>(O41-P41)/O41</f>
        <v>0.11558611178406557</v>
      </c>
      <c r="R41" s="1"/>
      <c r="S41" s="1"/>
    </row>
    <row r="42" spans="1:19" x14ac:dyDescent="0.3">
      <c r="A42" s="2">
        <v>990</v>
      </c>
      <c r="B42" s="3" t="s">
        <v>37</v>
      </c>
      <c r="C42" s="3" t="s">
        <v>128</v>
      </c>
      <c r="D42" s="3" t="s">
        <v>14</v>
      </c>
      <c r="E42" s="3" t="s">
        <v>23</v>
      </c>
      <c r="F42" s="3">
        <f>IF(D42="Urban",1,0)</f>
        <v>0</v>
      </c>
      <c r="G42" s="3">
        <v>9848</v>
      </c>
      <c r="H42" s="3">
        <v>6</v>
      </c>
      <c r="I42" s="3">
        <v>75616</v>
      </c>
      <c r="J42" s="3">
        <f>IF(E42="Cold",1,0)</f>
        <v>0</v>
      </c>
      <c r="K42" s="3">
        <f>IF(E42="Hot",1,0)</f>
        <v>0</v>
      </c>
      <c r="L42" s="3">
        <v>2251</v>
      </c>
      <c r="M42" s="3">
        <v>43</v>
      </c>
      <c r="N42" s="4">
        <v>44831</v>
      </c>
      <c r="O42" s="10">
        <v>359489.99190000002</v>
      </c>
      <c r="P42" s="1">
        <f>$C$3+F42*$C$4+H42*$C$6+J42*$C$8+K42*$C$9+L42*$C$10+M42*$C$11</f>
        <v>318012.86193562276</v>
      </c>
      <c r="Q42" s="1">
        <f>(O42-P42)/O42</f>
        <v>0.11537770424472632</v>
      </c>
      <c r="R42" s="1"/>
      <c r="S42" s="1"/>
    </row>
    <row r="43" spans="1:19" x14ac:dyDescent="0.3">
      <c r="A43" s="2">
        <v>721</v>
      </c>
      <c r="B43" s="3" t="s">
        <v>31</v>
      </c>
      <c r="C43" s="3" t="s">
        <v>63</v>
      </c>
      <c r="D43" s="3" t="s">
        <v>14</v>
      </c>
      <c r="E43" s="3" t="s">
        <v>15</v>
      </c>
      <c r="F43" s="3">
        <f>IF(D43="Urban",1,0)</f>
        <v>0</v>
      </c>
      <c r="G43" s="3">
        <v>22476</v>
      </c>
      <c r="H43" s="3">
        <v>1</v>
      </c>
      <c r="I43" s="3">
        <v>96503</v>
      </c>
      <c r="J43" s="3">
        <f>IF(E43="Cold",1,0)</f>
        <v>1</v>
      </c>
      <c r="K43" s="3">
        <f>IF(E43="Hot",1,0)</f>
        <v>0</v>
      </c>
      <c r="L43" s="3">
        <v>1670</v>
      </c>
      <c r="M43" s="3">
        <v>86</v>
      </c>
      <c r="N43" s="4">
        <v>44920</v>
      </c>
      <c r="O43" s="10">
        <v>345006.45730000001</v>
      </c>
      <c r="P43" s="1">
        <f>$C$3+F43*$C$4+H43*$C$6+J43*$C$8+K43*$C$9+L43*$C$10+M43*$C$11</f>
        <v>305484.68491388985</v>
      </c>
      <c r="Q43" s="1">
        <f>(O43-P43)/O43</f>
        <v>0.11455371790836957</v>
      </c>
      <c r="R43" s="1"/>
      <c r="S43" s="1"/>
    </row>
    <row r="44" spans="1:19" x14ac:dyDescent="0.3">
      <c r="A44" s="2">
        <v>49</v>
      </c>
      <c r="B44" s="3" t="s">
        <v>74</v>
      </c>
      <c r="C44" s="3" t="s">
        <v>75</v>
      </c>
      <c r="D44" s="3" t="s">
        <v>18</v>
      </c>
      <c r="E44" s="3" t="s">
        <v>15</v>
      </c>
      <c r="F44" s="3">
        <f>IF(D44="Urban",1,0)</f>
        <v>1</v>
      </c>
      <c r="G44" s="3">
        <v>26927</v>
      </c>
      <c r="H44" s="3">
        <v>8</v>
      </c>
      <c r="I44" s="3">
        <v>53407</v>
      </c>
      <c r="J44" s="3">
        <f>IF(E44="Cold",1,0)</f>
        <v>1</v>
      </c>
      <c r="K44" s="3">
        <f>IF(E44="Hot",1,0)</f>
        <v>0</v>
      </c>
      <c r="L44" s="3">
        <v>2442</v>
      </c>
      <c r="M44" s="3">
        <v>66</v>
      </c>
      <c r="N44" s="4">
        <v>45033</v>
      </c>
      <c r="O44" s="10">
        <v>398332.00630000001</v>
      </c>
      <c r="P44" s="1">
        <f>$C$3+F44*$C$4+H44*$C$6+J44*$C$8+K44*$C$9+L44*$C$10+M44*$C$11</f>
        <v>352794.47364925331</v>
      </c>
      <c r="Q44" s="1">
        <f>(O44-P44)/O44</f>
        <v>0.11432054650524501</v>
      </c>
      <c r="R44" s="1"/>
      <c r="S44" s="1"/>
    </row>
    <row r="45" spans="1:19" x14ac:dyDescent="0.3">
      <c r="A45" s="2">
        <v>99</v>
      </c>
      <c r="B45" s="3" t="s">
        <v>44</v>
      </c>
      <c r="C45" s="3" t="s">
        <v>111</v>
      </c>
      <c r="D45" s="3" t="s">
        <v>18</v>
      </c>
      <c r="E45" s="3" t="s">
        <v>23</v>
      </c>
      <c r="F45" s="3">
        <f>IF(D45="Urban",1,0)</f>
        <v>1</v>
      </c>
      <c r="G45" s="3">
        <v>25820</v>
      </c>
      <c r="H45" s="3">
        <v>2</v>
      </c>
      <c r="I45" s="3">
        <v>50293</v>
      </c>
      <c r="J45" s="3">
        <f>IF(E45="Cold",1,0)</f>
        <v>0</v>
      </c>
      <c r="K45" s="3">
        <f>IF(E45="Hot",1,0)</f>
        <v>0</v>
      </c>
      <c r="L45" s="3">
        <v>1270</v>
      </c>
      <c r="M45" s="3">
        <v>31</v>
      </c>
      <c r="N45" s="4">
        <v>44233</v>
      </c>
      <c r="O45" s="10">
        <v>387448.1447</v>
      </c>
      <c r="P45" s="1">
        <f>$C$3+F45*$C$4+H45*$C$6+J45*$C$8+K45*$C$9+L45*$C$10+M45*$C$11</f>
        <v>343254.8552831061</v>
      </c>
      <c r="Q45" s="1">
        <f>(O45-P45)/O45</f>
        <v>0.11406246234863932</v>
      </c>
      <c r="R45" s="1"/>
      <c r="S45" s="1"/>
    </row>
    <row r="46" spans="1:19" x14ac:dyDescent="0.3">
      <c r="A46" s="2">
        <v>221</v>
      </c>
      <c r="B46" s="3" t="s">
        <v>26</v>
      </c>
      <c r="C46" s="3" t="s">
        <v>48</v>
      </c>
      <c r="D46" s="3" t="s">
        <v>18</v>
      </c>
      <c r="E46" s="3" t="s">
        <v>15</v>
      </c>
      <c r="F46" s="3">
        <f>IF(D46="Urban",1,0)</f>
        <v>1</v>
      </c>
      <c r="G46" s="3">
        <v>9297</v>
      </c>
      <c r="H46" s="3">
        <v>0</v>
      </c>
      <c r="I46" s="3">
        <v>97703</v>
      </c>
      <c r="J46" s="3">
        <f>IF(E46="Cold",1,0)</f>
        <v>1</v>
      </c>
      <c r="K46" s="3">
        <f>IF(E46="Hot",1,0)</f>
        <v>0</v>
      </c>
      <c r="L46" s="3">
        <v>2264</v>
      </c>
      <c r="M46" s="3">
        <v>45</v>
      </c>
      <c r="N46" s="4">
        <v>44634</v>
      </c>
      <c r="O46" s="10">
        <v>395258.93939999997</v>
      </c>
      <c r="P46" s="1">
        <f>$C$3+F46*$C$4+H46*$C$6+J46*$C$8+K46*$C$9+L46*$C$10+M46*$C$11</f>
        <v>350370.06917483755</v>
      </c>
      <c r="Q46" s="1">
        <f>(O46-P46)/O46</f>
        <v>0.11356826057698627</v>
      </c>
      <c r="R46" s="1"/>
      <c r="S46" s="1"/>
    </row>
    <row r="47" spans="1:19" x14ac:dyDescent="0.3">
      <c r="A47" s="2">
        <v>758</v>
      </c>
      <c r="B47" s="3" t="s">
        <v>37</v>
      </c>
      <c r="C47" s="3" t="s">
        <v>61</v>
      </c>
      <c r="D47" s="3" t="s">
        <v>14</v>
      </c>
      <c r="E47" s="3" t="s">
        <v>23</v>
      </c>
      <c r="F47" s="3">
        <f>IF(D47="Urban",1,0)</f>
        <v>0</v>
      </c>
      <c r="G47" s="3">
        <v>17625</v>
      </c>
      <c r="H47" s="3">
        <v>6</v>
      </c>
      <c r="I47" s="3">
        <v>72597</v>
      </c>
      <c r="J47" s="3">
        <f>IF(E47="Cold",1,0)</f>
        <v>0</v>
      </c>
      <c r="K47" s="3">
        <f>IF(E47="Hot",1,0)</f>
        <v>0</v>
      </c>
      <c r="L47" s="3">
        <v>2631</v>
      </c>
      <c r="M47" s="3">
        <v>40</v>
      </c>
      <c r="N47" s="4">
        <v>44107</v>
      </c>
      <c r="O47" s="10">
        <v>366183.6923</v>
      </c>
      <c r="P47" s="1">
        <f>$C$3+F47*$C$4+H47*$C$6+J47*$C$8+K47*$C$9+L47*$C$10+M47*$C$11</f>
        <v>324671.85109701747</v>
      </c>
      <c r="Q47" s="1">
        <f>(O47-P47)/O47</f>
        <v>0.11336343500784163</v>
      </c>
      <c r="R47" s="1"/>
      <c r="S47" s="1"/>
    </row>
    <row r="48" spans="1:19" x14ac:dyDescent="0.3">
      <c r="A48" s="2">
        <v>708</v>
      </c>
      <c r="B48" s="3" t="s">
        <v>26</v>
      </c>
      <c r="C48" s="3" t="s">
        <v>159</v>
      </c>
      <c r="D48" s="3" t="s">
        <v>18</v>
      </c>
      <c r="E48" s="3" t="s">
        <v>23</v>
      </c>
      <c r="F48" s="3">
        <f>IF(D48="Urban",1,0)</f>
        <v>1</v>
      </c>
      <c r="G48" s="3">
        <v>9467</v>
      </c>
      <c r="H48" s="3">
        <v>5</v>
      </c>
      <c r="I48" s="3">
        <v>58397</v>
      </c>
      <c r="J48" s="3">
        <f>IF(E48="Cold",1,0)</f>
        <v>0</v>
      </c>
      <c r="K48" s="3">
        <f>IF(E48="Hot",1,0)</f>
        <v>0</v>
      </c>
      <c r="L48" s="3">
        <v>1723</v>
      </c>
      <c r="M48" s="3">
        <v>74</v>
      </c>
      <c r="N48" s="4">
        <v>44357</v>
      </c>
      <c r="O48" s="10">
        <v>408675.06839999999</v>
      </c>
      <c r="P48" s="1">
        <f>$C$3+F48*$C$4+H48*$C$6+J48*$C$8+K48*$C$9+L48*$C$10+M48*$C$11</f>
        <v>362698.99768751941</v>
      </c>
      <c r="Q48" s="1">
        <f>(O48-P48)/O48</f>
        <v>0.11250030713270831</v>
      </c>
      <c r="R48" s="1"/>
      <c r="S48" s="1"/>
    </row>
    <row r="49" spans="1:19" x14ac:dyDescent="0.3">
      <c r="A49" s="2">
        <v>21</v>
      </c>
      <c r="B49" s="3" t="s">
        <v>28</v>
      </c>
      <c r="C49" s="3" t="s">
        <v>49</v>
      </c>
      <c r="D49" s="3" t="s">
        <v>18</v>
      </c>
      <c r="E49" s="3" t="s">
        <v>23</v>
      </c>
      <c r="F49" s="3">
        <f>IF(D49="Urban",1,0)</f>
        <v>1</v>
      </c>
      <c r="G49" s="3">
        <v>1640</v>
      </c>
      <c r="H49" s="3">
        <v>6</v>
      </c>
      <c r="I49" s="3">
        <v>53267</v>
      </c>
      <c r="J49" s="3">
        <f>IF(E49="Cold",1,0)</f>
        <v>0</v>
      </c>
      <c r="K49" s="3">
        <f>IF(E49="Hot",1,0)</f>
        <v>0</v>
      </c>
      <c r="L49" s="3">
        <v>1439</v>
      </c>
      <c r="M49" s="3">
        <v>26</v>
      </c>
      <c r="N49" s="4">
        <v>44288</v>
      </c>
      <c r="O49" s="10">
        <v>384292.07740000001</v>
      </c>
      <c r="P49" s="1">
        <f>$C$3+F49*$C$4+H49*$C$6+J49*$C$8+K49*$C$9+L49*$C$10+M49*$C$11</f>
        <v>341286.05606744892</v>
      </c>
      <c r="Q49" s="1">
        <f>(O49-P49)/O49</f>
        <v>0.11190972664208008</v>
      </c>
      <c r="R49" s="1"/>
      <c r="S49" s="1"/>
    </row>
    <row r="50" spans="1:19" x14ac:dyDescent="0.3">
      <c r="A50" s="2">
        <v>666</v>
      </c>
      <c r="B50" s="3" t="s">
        <v>44</v>
      </c>
      <c r="C50" s="3" t="s">
        <v>201</v>
      </c>
      <c r="D50" s="3" t="s">
        <v>18</v>
      </c>
      <c r="E50" s="3" t="s">
        <v>15</v>
      </c>
      <c r="F50" s="3">
        <f>IF(D50="Urban",1,0)</f>
        <v>1</v>
      </c>
      <c r="G50" s="3">
        <v>29466</v>
      </c>
      <c r="H50" s="3">
        <v>6</v>
      </c>
      <c r="I50" s="3">
        <v>77212</v>
      </c>
      <c r="J50" s="3">
        <f>IF(E50="Cold",1,0)</f>
        <v>1</v>
      </c>
      <c r="K50" s="3">
        <f>IF(E50="Hot",1,0)</f>
        <v>0</v>
      </c>
      <c r="L50" s="3">
        <v>2494</v>
      </c>
      <c r="M50" s="3">
        <v>43</v>
      </c>
      <c r="N50" s="4">
        <v>44193</v>
      </c>
      <c r="O50" s="10">
        <v>392439.79239999998</v>
      </c>
      <c r="P50" s="1">
        <f>$C$3+F50*$C$4+H50*$C$6+J50*$C$8+K50*$C$9+L50*$C$10+M50*$C$11</f>
        <v>348643.14484038489</v>
      </c>
      <c r="Q50" s="1">
        <f>(O50-P50)/O50</f>
        <v>0.11160093448162543</v>
      </c>
      <c r="R50" s="1"/>
      <c r="S50" s="1"/>
    </row>
    <row r="51" spans="1:19" x14ac:dyDescent="0.3">
      <c r="A51" s="2">
        <v>895</v>
      </c>
      <c r="B51" s="3" t="s">
        <v>37</v>
      </c>
      <c r="C51" s="3" t="s">
        <v>202</v>
      </c>
      <c r="D51" s="3" t="s">
        <v>14</v>
      </c>
      <c r="E51" s="3" t="s">
        <v>23</v>
      </c>
      <c r="F51" s="3">
        <f>IF(D51="Urban",1,0)</f>
        <v>0</v>
      </c>
      <c r="G51" s="3">
        <v>29956</v>
      </c>
      <c r="H51" s="3">
        <v>9</v>
      </c>
      <c r="I51" s="3">
        <v>89715</v>
      </c>
      <c r="J51" s="3">
        <f>IF(E51="Cold",1,0)</f>
        <v>0</v>
      </c>
      <c r="K51" s="3">
        <f>IF(E51="Hot",1,0)</f>
        <v>0</v>
      </c>
      <c r="L51" s="3">
        <v>2898</v>
      </c>
      <c r="M51" s="3">
        <v>84</v>
      </c>
      <c r="N51" s="4">
        <v>44604</v>
      </c>
      <c r="O51" s="10">
        <v>383249.6752</v>
      </c>
      <c r="P51" s="1">
        <f>$C$3+F51*$C$4+H51*$C$6+J51*$C$8+K51*$C$9+L51*$C$10+M51*$C$11</f>
        <v>340712.21210709465</v>
      </c>
      <c r="Q51" s="1">
        <f>(O51-P51)/O51</f>
        <v>0.11099151765936148</v>
      </c>
      <c r="R51" s="1"/>
      <c r="S51" s="1"/>
    </row>
    <row r="52" spans="1:19" x14ac:dyDescent="0.3">
      <c r="A52" s="2">
        <v>334</v>
      </c>
      <c r="B52" s="3" t="s">
        <v>33</v>
      </c>
      <c r="C52" s="3" t="s">
        <v>92</v>
      </c>
      <c r="D52" s="3" t="s">
        <v>18</v>
      </c>
      <c r="E52" s="3" t="s">
        <v>23</v>
      </c>
      <c r="F52" s="3">
        <f>IF(D52="Urban",1,0)</f>
        <v>1</v>
      </c>
      <c r="G52" s="3">
        <v>6062</v>
      </c>
      <c r="H52" s="3">
        <v>1</v>
      </c>
      <c r="I52" s="3">
        <v>61421</v>
      </c>
      <c r="J52" s="3">
        <f>IF(E52="Cold",1,0)</f>
        <v>0</v>
      </c>
      <c r="K52" s="3">
        <f>IF(E52="Hot",1,0)</f>
        <v>0</v>
      </c>
      <c r="L52" s="3">
        <v>1142</v>
      </c>
      <c r="M52" s="3">
        <v>76</v>
      </c>
      <c r="N52" s="4">
        <v>44959</v>
      </c>
      <c r="O52" s="10">
        <v>399878.07449999999</v>
      </c>
      <c r="P52" s="1">
        <f>$C$3+F52*$C$4+H52*$C$6+J52*$C$8+K52*$C$9+L52*$C$10+M52*$C$11</f>
        <v>355520.80192345823</v>
      </c>
      <c r="Q52" s="1">
        <f>(O52-P52)/O52</f>
        <v>0.11092699351422369</v>
      </c>
      <c r="R52" s="1"/>
      <c r="S52" s="1"/>
    </row>
    <row r="53" spans="1:19" x14ac:dyDescent="0.3">
      <c r="A53" s="2">
        <v>922</v>
      </c>
      <c r="B53" s="3" t="s">
        <v>24</v>
      </c>
      <c r="C53" s="3" t="s">
        <v>154</v>
      </c>
      <c r="D53" s="3" t="s">
        <v>14</v>
      </c>
      <c r="E53" s="3" t="s">
        <v>21</v>
      </c>
      <c r="F53" s="3">
        <f>IF(D53="Urban",1,0)</f>
        <v>0</v>
      </c>
      <c r="G53" s="3">
        <v>23372</v>
      </c>
      <c r="H53" s="3">
        <v>8</v>
      </c>
      <c r="I53" s="3">
        <v>77225</v>
      </c>
      <c r="J53" s="3">
        <f>IF(E53="Cold",1,0)</f>
        <v>0</v>
      </c>
      <c r="K53" s="3">
        <f>IF(E53="Hot",1,0)</f>
        <v>1</v>
      </c>
      <c r="L53" s="3">
        <v>1898</v>
      </c>
      <c r="M53" s="3">
        <v>43</v>
      </c>
      <c r="N53" s="4">
        <v>43983</v>
      </c>
      <c r="O53" s="10">
        <v>349072.2231</v>
      </c>
      <c r="P53" s="1">
        <f>$C$3+F53*$C$4+H53*$C$6+J53*$C$8+K53*$C$9+L53*$C$10+M53*$C$11</f>
        <v>310352.13909047155</v>
      </c>
      <c r="Q53" s="1">
        <f>(O53-P53)/O53</f>
        <v>0.11092284475019992</v>
      </c>
      <c r="R53" s="1"/>
      <c r="S53" s="1"/>
    </row>
    <row r="54" spans="1:19" x14ac:dyDescent="0.3">
      <c r="A54" s="2">
        <v>95</v>
      </c>
      <c r="B54" s="3" t="s">
        <v>33</v>
      </c>
      <c r="C54" s="3" t="s">
        <v>34</v>
      </c>
      <c r="D54" s="3" t="s">
        <v>14</v>
      </c>
      <c r="E54" s="3" t="s">
        <v>21</v>
      </c>
      <c r="F54" s="3">
        <f>IF(D54="Urban",1,0)</f>
        <v>0</v>
      </c>
      <c r="G54" s="3">
        <v>26590</v>
      </c>
      <c r="H54" s="3">
        <v>0</v>
      </c>
      <c r="I54" s="3">
        <v>69020</v>
      </c>
      <c r="J54" s="3">
        <f>IF(E54="Cold",1,0)</f>
        <v>0</v>
      </c>
      <c r="K54" s="3">
        <f>IF(E54="Hot",1,0)</f>
        <v>1</v>
      </c>
      <c r="L54" s="3">
        <v>1434</v>
      </c>
      <c r="M54" s="3">
        <v>67</v>
      </c>
      <c r="N54" s="4">
        <v>44550</v>
      </c>
      <c r="O54" s="10">
        <v>355502.79470000003</v>
      </c>
      <c r="P54" s="1">
        <f>$C$3+F54*$C$4+H54*$C$6+J54*$C$8+K54*$C$9+L54*$C$10+M54*$C$11</f>
        <v>316090.36959410744</v>
      </c>
      <c r="Q54" s="1">
        <f>(O54-P54)/O54</f>
        <v>0.11086389669355975</v>
      </c>
      <c r="R54" s="1"/>
      <c r="S54" s="1"/>
    </row>
    <row r="55" spans="1:19" x14ac:dyDescent="0.3">
      <c r="A55" s="2">
        <v>608</v>
      </c>
      <c r="B55" s="3" t="s">
        <v>57</v>
      </c>
      <c r="C55" s="3" t="s">
        <v>162</v>
      </c>
      <c r="D55" s="3" t="s">
        <v>14</v>
      </c>
      <c r="E55" s="3" t="s">
        <v>15</v>
      </c>
      <c r="F55" s="3">
        <f>IF(D55="Urban",1,0)</f>
        <v>0</v>
      </c>
      <c r="G55" s="3">
        <v>23790</v>
      </c>
      <c r="H55" s="3">
        <v>4</v>
      </c>
      <c r="I55" s="3">
        <v>58375</v>
      </c>
      <c r="J55" s="3">
        <f>IF(E55="Cold",1,0)</f>
        <v>1</v>
      </c>
      <c r="K55" s="3">
        <f>IF(E55="Hot",1,0)</f>
        <v>0</v>
      </c>
      <c r="L55" s="3">
        <v>1547</v>
      </c>
      <c r="M55" s="3">
        <v>52</v>
      </c>
      <c r="N55" s="4">
        <v>44068</v>
      </c>
      <c r="O55" s="10">
        <v>325735.23690000002</v>
      </c>
      <c r="P55" s="1">
        <f>$C$3+F55*$C$4+H55*$C$6+J55*$C$8+K55*$C$9+L55*$C$10+M55*$C$11</f>
        <v>289699.85360352375</v>
      </c>
      <c r="Q55" s="1">
        <f>(O55-P55)/O55</f>
        <v>0.11062783271291908</v>
      </c>
      <c r="R55" s="1"/>
      <c r="S55" s="1"/>
    </row>
    <row r="56" spans="1:19" x14ac:dyDescent="0.3">
      <c r="A56" s="2">
        <v>112</v>
      </c>
      <c r="B56" s="3" t="s">
        <v>35</v>
      </c>
      <c r="C56" s="3" t="s">
        <v>119</v>
      </c>
      <c r="D56" s="3" t="s">
        <v>14</v>
      </c>
      <c r="E56" s="3" t="s">
        <v>21</v>
      </c>
      <c r="F56" s="3">
        <f>IF(D56="Urban",1,0)</f>
        <v>0</v>
      </c>
      <c r="G56" s="3">
        <v>20442</v>
      </c>
      <c r="H56" s="3">
        <v>6</v>
      </c>
      <c r="I56" s="3">
        <v>95616</v>
      </c>
      <c r="J56" s="3">
        <f>IF(E56="Cold",1,0)</f>
        <v>0</v>
      </c>
      <c r="K56" s="3">
        <f>IF(E56="Hot",1,0)</f>
        <v>1</v>
      </c>
      <c r="L56" s="3">
        <v>1216</v>
      </c>
      <c r="M56" s="3">
        <v>55</v>
      </c>
      <c r="N56" s="4">
        <v>44035</v>
      </c>
      <c r="O56" s="10">
        <v>339900.92369999998</v>
      </c>
      <c r="P56" s="1">
        <f>$C$3+F56*$C$4+H56*$C$6+J56*$C$8+K56*$C$9+L56*$C$10+M56*$C$11</f>
        <v>302340.38622613653</v>
      </c>
      <c r="Q56" s="1">
        <f>(O56-P56)/O56</f>
        <v>0.1105043701117293</v>
      </c>
      <c r="R56" s="1"/>
      <c r="S56" s="1"/>
    </row>
    <row r="57" spans="1:19" x14ac:dyDescent="0.3">
      <c r="A57" s="2">
        <v>954</v>
      </c>
      <c r="B57" s="3" t="s">
        <v>55</v>
      </c>
      <c r="C57" s="3" t="s">
        <v>56</v>
      </c>
      <c r="D57" s="3" t="s">
        <v>18</v>
      </c>
      <c r="E57" s="3" t="s">
        <v>15</v>
      </c>
      <c r="F57" s="3">
        <f>IF(D57="Urban",1,0)</f>
        <v>1</v>
      </c>
      <c r="G57" s="3">
        <v>26817</v>
      </c>
      <c r="H57" s="3">
        <v>1</v>
      </c>
      <c r="I57" s="3">
        <v>57570</v>
      </c>
      <c r="J57" s="3">
        <f>IF(E57="Cold",1,0)</f>
        <v>1</v>
      </c>
      <c r="K57" s="3">
        <f>IF(E57="Hot",1,0)</f>
        <v>0</v>
      </c>
      <c r="L57" s="3">
        <v>1062</v>
      </c>
      <c r="M57" s="3">
        <v>40</v>
      </c>
      <c r="N57" s="4">
        <v>44403</v>
      </c>
      <c r="O57" s="10">
        <v>364102.23060000001</v>
      </c>
      <c r="P57" s="1">
        <f>$C$3+F57*$C$4+H57*$C$6+J57*$C$8+K57*$C$9+L57*$C$10+M57*$C$11</f>
        <v>323890.44643553469</v>
      </c>
      <c r="Q57" s="1">
        <f>(O57-P57)/O57</f>
        <v>0.11044091682218143</v>
      </c>
      <c r="R57" s="1"/>
      <c r="S57" s="1"/>
    </row>
    <row r="58" spans="1:19" x14ac:dyDescent="0.3">
      <c r="A58" s="2">
        <v>819</v>
      </c>
      <c r="B58" s="3" t="s">
        <v>29</v>
      </c>
      <c r="C58" s="3" t="s">
        <v>83</v>
      </c>
      <c r="D58" s="3" t="s">
        <v>18</v>
      </c>
      <c r="E58" s="3" t="s">
        <v>15</v>
      </c>
      <c r="F58" s="3">
        <f>IF(D58="Urban",1,0)</f>
        <v>1</v>
      </c>
      <c r="G58" s="3">
        <v>16389</v>
      </c>
      <c r="H58" s="3">
        <v>4</v>
      </c>
      <c r="I58" s="3">
        <v>89128</v>
      </c>
      <c r="J58" s="3">
        <f>IF(E58="Cold",1,0)</f>
        <v>1</v>
      </c>
      <c r="K58" s="3">
        <f>IF(E58="Hot",1,0)</f>
        <v>0</v>
      </c>
      <c r="L58" s="3">
        <v>2298</v>
      </c>
      <c r="M58" s="3">
        <v>46</v>
      </c>
      <c r="N58" s="4">
        <v>45366</v>
      </c>
      <c r="O58" s="10">
        <v>390657.26809999999</v>
      </c>
      <c r="P58" s="1">
        <f>$C$3+F58*$C$4+H58*$C$6+J58*$C$8+K58*$C$9+L58*$C$10+M58*$C$11</f>
        <v>347556.44831340574</v>
      </c>
      <c r="Q58" s="1">
        <f>(O58-P58)/O58</f>
        <v>0.11032898478049397</v>
      </c>
      <c r="R58" s="1"/>
      <c r="S58" s="1"/>
    </row>
    <row r="59" spans="1:19" x14ac:dyDescent="0.3">
      <c r="A59" s="2">
        <v>269</v>
      </c>
      <c r="B59" s="3" t="s">
        <v>55</v>
      </c>
      <c r="C59" s="3" t="s">
        <v>169</v>
      </c>
      <c r="D59" s="3" t="s">
        <v>18</v>
      </c>
      <c r="E59" s="3" t="s">
        <v>21</v>
      </c>
      <c r="F59" s="3">
        <f>IF(D59="Urban",1,0)</f>
        <v>1</v>
      </c>
      <c r="G59" s="3">
        <v>21698</v>
      </c>
      <c r="H59" s="3">
        <v>1</v>
      </c>
      <c r="I59" s="3">
        <v>69814</v>
      </c>
      <c r="J59" s="3">
        <f>IF(E59="Cold",1,0)</f>
        <v>0</v>
      </c>
      <c r="K59" s="3">
        <f>IF(E59="Hot",1,0)</f>
        <v>1</v>
      </c>
      <c r="L59" s="3">
        <v>1031</v>
      </c>
      <c r="M59" s="3">
        <v>83</v>
      </c>
      <c r="N59" s="4">
        <v>45347</v>
      </c>
      <c r="O59" s="10">
        <v>400897.50390000001</v>
      </c>
      <c r="P59" s="1">
        <f>$C$3+F59*$C$4+H59*$C$6+J59*$C$8+K59*$C$9+L59*$C$10+M59*$C$11</f>
        <v>356747.49088155339</v>
      </c>
      <c r="Q59" s="1">
        <f>(O59-P59)/O59</f>
        <v>0.11012793192511225</v>
      </c>
      <c r="R59" s="1"/>
      <c r="S59" s="1"/>
    </row>
    <row r="60" spans="1:19" x14ac:dyDescent="0.3">
      <c r="A60" s="2">
        <v>354</v>
      </c>
      <c r="B60" s="3" t="s">
        <v>28</v>
      </c>
      <c r="C60" s="3" t="s">
        <v>46</v>
      </c>
      <c r="D60" s="3" t="s">
        <v>18</v>
      </c>
      <c r="E60" s="3" t="s">
        <v>15</v>
      </c>
      <c r="F60" s="3">
        <f>IF(D60="Urban",1,0)</f>
        <v>1</v>
      </c>
      <c r="G60" s="3">
        <v>3516</v>
      </c>
      <c r="H60" s="3">
        <v>1</v>
      </c>
      <c r="I60" s="3">
        <v>66105</v>
      </c>
      <c r="J60" s="3">
        <f>IF(E60="Cold",1,0)</f>
        <v>1</v>
      </c>
      <c r="K60" s="3">
        <f>IF(E60="Hot",1,0)</f>
        <v>0</v>
      </c>
      <c r="L60" s="3">
        <v>1359</v>
      </c>
      <c r="M60" s="3">
        <v>20</v>
      </c>
      <c r="N60" s="4">
        <v>45039</v>
      </c>
      <c r="O60" s="10">
        <v>363692.25809999998</v>
      </c>
      <c r="P60" s="1">
        <f>$C$3+F60*$C$4+H60*$C$6+J60*$C$8+K60*$C$9+L60*$C$10+M60*$C$11</f>
        <v>323653.0898335838</v>
      </c>
      <c r="Q60" s="1">
        <f>(O60-P60)/O60</f>
        <v>0.11009079070197612</v>
      </c>
      <c r="R60" s="1"/>
      <c r="S60" s="1"/>
    </row>
    <row r="61" spans="1:19" x14ac:dyDescent="0.3">
      <c r="A61" s="2">
        <v>320</v>
      </c>
      <c r="B61" s="3" t="s">
        <v>40</v>
      </c>
      <c r="C61" s="3" t="s">
        <v>42</v>
      </c>
      <c r="D61" s="3" t="s">
        <v>18</v>
      </c>
      <c r="E61" s="3" t="s">
        <v>23</v>
      </c>
      <c r="F61" s="3">
        <f>IF(D61="Urban",1,0)</f>
        <v>1</v>
      </c>
      <c r="G61" s="3">
        <v>9901</v>
      </c>
      <c r="H61" s="3">
        <v>4</v>
      </c>
      <c r="I61" s="3">
        <v>61402</v>
      </c>
      <c r="J61" s="3">
        <f>IF(E61="Cold",1,0)</f>
        <v>0</v>
      </c>
      <c r="K61" s="3">
        <f>IF(E61="Hot",1,0)</f>
        <v>0</v>
      </c>
      <c r="L61" s="3">
        <v>1211</v>
      </c>
      <c r="M61" s="3">
        <v>51</v>
      </c>
      <c r="N61" s="4">
        <v>45036</v>
      </c>
      <c r="O61" s="10">
        <v>389185.86489999999</v>
      </c>
      <c r="P61" s="1">
        <f>$C$3+F61*$C$4+H61*$C$6+J61*$C$8+K61*$C$9+L61*$C$10+M61*$C$11</f>
        <v>346341.79463896173</v>
      </c>
      <c r="Q61" s="1">
        <f>(O61-P61)/O61</f>
        <v>0.1100863986209954</v>
      </c>
      <c r="R61" s="1"/>
      <c r="S61" s="1"/>
    </row>
    <row r="62" spans="1:19" x14ac:dyDescent="0.3">
      <c r="A62" s="2">
        <v>173</v>
      </c>
      <c r="B62" s="3" t="s">
        <v>35</v>
      </c>
      <c r="C62" s="3" t="s">
        <v>148</v>
      </c>
      <c r="D62" s="3" t="s">
        <v>18</v>
      </c>
      <c r="E62" s="3" t="s">
        <v>15</v>
      </c>
      <c r="F62" s="3">
        <f>IF(D62="Urban",1,0)</f>
        <v>1</v>
      </c>
      <c r="G62" s="3">
        <v>2972</v>
      </c>
      <c r="H62" s="3">
        <v>2</v>
      </c>
      <c r="I62" s="3">
        <v>84509</v>
      </c>
      <c r="J62" s="3">
        <f>IF(E62="Cold",1,0)</f>
        <v>1</v>
      </c>
      <c r="K62" s="3">
        <f>IF(E62="Hot",1,0)</f>
        <v>0</v>
      </c>
      <c r="L62" s="3">
        <v>1259</v>
      </c>
      <c r="M62" s="3">
        <v>71</v>
      </c>
      <c r="N62" s="4">
        <v>44017</v>
      </c>
      <c r="O62" s="10">
        <v>377931.54399999999</v>
      </c>
      <c r="P62" s="1">
        <f>$C$3+F62*$C$4+H62*$C$6+J62*$C$8+K62*$C$9+L62*$C$10+M62*$C$11</f>
        <v>336427.01878082426</v>
      </c>
      <c r="Q62" s="1">
        <f>(O62-P62)/O62</f>
        <v>0.10982021976756651</v>
      </c>
      <c r="R62" s="1"/>
      <c r="S62" s="1"/>
    </row>
    <row r="63" spans="1:19" x14ac:dyDescent="0.3">
      <c r="A63" s="2">
        <v>709</v>
      </c>
      <c r="B63" s="3" t="s">
        <v>72</v>
      </c>
      <c r="C63" s="3" t="s">
        <v>147</v>
      </c>
      <c r="D63" s="3" t="s">
        <v>18</v>
      </c>
      <c r="E63" s="3" t="s">
        <v>23</v>
      </c>
      <c r="F63" s="3">
        <f>IF(D63="Urban",1,0)</f>
        <v>1</v>
      </c>
      <c r="G63" s="3">
        <v>16486</v>
      </c>
      <c r="H63" s="3">
        <v>4</v>
      </c>
      <c r="I63" s="3">
        <v>73387</v>
      </c>
      <c r="J63" s="3">
        <f>IF(E63="Cold",1,0)</f>
        <v>0</v>
      </c>
      <c r="K63" s="3">
        <f>IF(E63="Hot",1,0)</f>
        <v>0</v>
      </c>
      <c r="L63" s="3">
        <v>1136</v>
      </c>
      <c r="M63" s="3">
        <v>49</v>
      </c>
      <c r="N63" s="4">
        <v>44032</v>
      </c>
      <c r="O63" s="10">
        <v>386681.99080000003</v>
      </c>
      <c r="P63" s="1">
        <f>$C$3+F63*$C$4+H63*$C$6+J63*$C$8+K63*$C$9+L63*$C$10+M63*$C$11</f>
        <v>344228.55577223311</v>
      </c>
      <c r="Q63" s="1">
        <f>(O63-P63)/O63</f>
        <v>0.10978901536100943</v>
      </c>
      <c r="R63" s="1"/>
      <c r="S63" s="1"/>
    </row>
    <row r="64" spans="1:19" x14ac:dyDescent="0.3">
      <c r="A64" s="2">
        <v>700</v>
      </c>
      <c r="B64" s="3" t="s">
        <v>108</v>
      </c>
      <c r="C64" s="3" t="s">
        <v>117</v>
      </c>
      <c r="D64" s="3" t="s">
        <v>18</v>
      </c>
      <c r="E64" s="3" t="s">
        <v>23</v>
      </c>
      <c r="F64" s="3">
        <f>IF(D64="Urban",1,0)</f>
        <v>1</v>
      </c>
      <c r="G64" s="3">
        <v>28828</v>
      </c>
      <c r="H64" s="3">
        <v>8</v>
      </c>
      <c r="I64" s="3">
        <v>69093</v>
      </c>
      <c r="J64" s="3">
        <f>IF(E64="Cold",1,0)</f>
        <v>0</v>
      </c>
      <c r="K64" s="3">
        <f>IF(E64="Hot",1,0)</f>
        <v>0</v>
      </c>
      <c r="L64" s="3">
        <v>1005</v>
      </c>
      <c r="M64" s="3">
        <v>78</v>
      </c>
      <c r="N64" s="4">
        <v>45033</v>
      </c>
      <c r="O64" s="10">
        <v>389494.27590000001</v>
      </c>
      <c r="P64" s="1">
        <f>$C$3+F64*$C$4+H64*$C$6+J64*$C$8+K64*$C$9+L64*$C$10+M64*$C$11</f>
        <v>346752.46246488497</v>
      </c>
      <c r="Q64" s="1">
        <f>(O64-P64)/O64</f>
        <v>0.10973669211531289</v>
      </c>
      <c r="R64" s="1"/>
      <c r="S64" s="1"/>
    </row>
    <row r="65" spans="1:19" x14ac:dyDescent="0.3">
      <c r="A65" s="2">
        <v>220</v>
      </c>
      <c r="B65" s="3" t="s">
        <v>35</v>
      </c>
      <c r="C65" s="3" t="s">
        <v>62</v>
      </c>
      <c r="D65" s="3" t="s">
        <v>18</v>
      </c>
      <c r="E65" s="3" t="s">
        <v>21</v>
      </c>
      <c r="F65" s="3">
        <f>IF(D65="Urban",1,0)</f>
        <v>1</v>
      </c>
      <c r="G65" s="3">
        <v>16589</v>
      </c>
      <c r="H65" s="3">
        <v>4</v>
      </c>
      <c r="I65" s="3">
        <v>79687</v>
      </c>
      <c r="J65" s="3">
        <f>IF(E65="Cold",1,0)</f>
        <v>0</v>
      </c>
      <c r="K65" s="3">
        <f>IF(E65="Hot",1,0)</f>
        <v>1</v>
      </c>
      <c r="L65" s="3">
        <v>1326</v>
      </c>
      <c r="M65" s="3">
        <v>33</v>
      </c>
      <c r="N65" s="4">
        <v>44280</v>
      </c>
      <c r="O65" s="10">
        <v>386563.65120000002</v>
      </c>
      <c r="P65" s="1">
        <f>$C$3+F65*$C$4+H65*$C$6+J65*$C$8+K65*$C$9+L65*$C$10+M65*$C$11</f>
        <v>344373.02623288007</v>
      </c>
      <c r="Q65" s="1">
        <f>(O65-P65)/O65</f>
        <v>0.1091427629994404</v>
      </c>
      <c r="R65" s="1"/>
      <c r="S65" s="1"/>
    </row>
    <row r="66" spans="1:19" x14ac:dyDescent="0.3">
      <c r="A66" s="2">
        <v>826</v>
      </c>
      <c r="B66" s="3" t="s">
        <v>53</v>
      </c>
      <c r="C66" s="3" t="s">
        <v>131</v>
      </c>
      <c r="D66" s="3" t="s">
        <v>18</v>
      </c>
      <c r="E66" s="3" t="s">
        <v>23</v>
      </c>
      <c r="F66" s="3">
        <f>IF(D66="Urban",1,0)</f>
        <v>1</v>
      </c>
      <c r="G66" s="3">
        <v>22464</v>
      </c>
      <c r="H66" s="3">
        <v>7</v>
      </c>
      <c r="I66" s="3">
        <v>84328</v>
      </c>
      <c r="J66" s="3">
        <f>IF(E66="Cold",1,0)</f>
        <v>0</v>
      </c>
      <c r="K66" s="3">
        <f>IF(E66="Hot",1,0)</f>
        <v>0</v>
      </c>
      <c r="L66" s="3">
        <v>1312</v>
      </c>
      <c r="M66" s="3">
        <v>81</v>
      </c>
      <c r="N66" s="4">
        <v>45366</v>
      </c>
      <c r="O66" s="10">
        <v>398118.35269999999</v>
      </c>
      <c r="P66" s="1">
        <f>$C$3+F66*$C$4+H66*$C$6+J66*$C$8+K66*$C$9+L66*$C$10+M66*$C$11</f>
        <v>354754.06477721606</v>
      </c>
      <c r="Q66" s="1">
        <f>(O66-P66)/O66</f>
        <v>0.10892310698236225</v>
      </c>
      <c r="R66" s="1"/>
      <c r="S66" s="1"/>
    </row>
    <row r="67" spans="1:19" x14ac:dyDescent="0.3">
      <c r="A67" s="2">
        <v>774</v>
      </c>
      <c r="B67" s="3" t="s">
        <v>74</v>
      </c>
      <c r="C67" s="3" t="s">
        <v>75</v>
      </c>
      <c r="D67" s="3" t="s">
        <v>18</v>
      </c>
      <c r="E67" s="3" t="s">
        <v>15</v>
      </c>
      <c r="F67" s="3">
        <f>IF(D67="Urban",1,0)</f>
        <v>1</v>
      </c>
      <c r="G67" s="3">
        <v>15171</v>
      </c>
      <c r="H67" s="3">
        <v>4</v>
      </c>
      <c r="I67" s="3">
        <v>72370</v>
      </c>
      <c r="J67" s="3">
        <f>IF(E67="Cold",1,0)</f>
        <v>1</v>
      </c>
      <c r="K67" s="3">
        <f>IF(E67="Hot",1,0)</f>
        <v>0</v>
      </c>
      <c r="L67" s="3">
        <v>1262</v>
      </c>
      <c r="M67" s="3">
        <v>50</v>
      </c>
      <c r="N67" s="4">
        <v>45369</v>
      </c>
      <c r="O67" s="10">
        <v>368033.71879999997</v>
      </c>
      <c r="P67" s="1">
        <f>$C$3+F67*$C$4+H67*$C$6+J67*$C$8+K67*$C$9+L67*$C$10+M67*$C$11</f>
        <v>328113.86393655988</v>
      </c>
      <c r="Q67" s="1">
        <f>(O67-P67)/O67</f>
        <v>0.10846792786704873</v>
      </c>
      <c r="R67" s="1"/>
      <c r="S67" s="1"/>
    </row>
    <row r="68" spans="1:19" x14ac:dyDescent="0.3">
      <c r="A68" s="2">
        <v>773</v>
      </c>
      <c r="B68" s="3" t="s">
        <v>28</v>
      </c>
      <c r="C68" s="3" t="s">
        <v>49</v>
      </c>
      <c r="D68" s="3" t="s">
        <v>14</v>
      </c>
      <c r="E68" s="3" t="s">
        <v>15</v>
      </c>
      <c r="F68" s="3">
        <f>IF(D68="Urban",1,0)</f>
        <v>0</v>
      </c>
      <c r="G68" s="3">
        <v>22065</v>
      </c>
      <c r="H68" s="3">
        <v>4</v>
      </c>
      <c r="I68" s="3">
        <v>68462</v>
      </c>
      <c r="J68" s="3">
        <f>IF(E68="Cold",1,0)</f>
        <v>1</v>
      </c>
      <c r="K68" s="3">
        <f>IF(E68="Hot",1,0)</f>
        <v>0</v>
      </c>
      <c r="L68" s="3">
        <v>1270</v>
      </c>
      <c r="M68" s="3">
        <v>50</v>
      </c>
      <c r="N68" s="4">
        <v>45215</v>
      </c>
      <c r="O68" s="10">
        <v>317987.61820000003</v>
      </c>
      <c r="P68" s="1">
        <f>$C$3+F68*$C$4+H68*$C$6+J68*$C$8+K68*$C$9+L68*$C$10+M68*$C$11</f>
        <v>283555.29049878404</v>
      </c>
      <c r="Q68" s="1">
        <f>(O68-P68)/O68</f>
        <v>0.10828197618549909</v>
      </c>
      <c r="R68" s="1"/>
      <c r="S68" s="1"/>
    </row>
    <row r="69" spans="1:19" x14ac:dyDescent="0.3">
      <c r="A69" s="2">
        <v>807</v>
      </c>
      <c r="B69" s="3" t="s">
        <v>26</v>
      </c>
      <c r="C69" s="3" t="s">
        <v>67</v>
      </c>
      <c r="D69" s="3" t="s">
        <v>18</v>
      </c>
      <c r="E69" s="3" t="s">
        <v>15</v>
      </c>
      <c r="F69" s="3">
        <f>IF(D69="Urban",1,0)</f>
        <v>1</v>
      </c>
      <c r="G69" s="3">
        <v>26922</v>
      </c>
      <c r="H69" s="3">
        <v>8</v>
      </c>
      <c r="I69" s="3">
        <v>88802</v>
      </c>
      <c r="J69" s="3">
        <f>IF(E69="Cold",1,0)</f>
        <v>1</v>
      </c>
      <c r="K69" s="3">
        <f>IF(E69="Hot",1,0)</f>
        <v>0</v>
      </c>
      <c r="L69" s="3">
        <v>2293</v>
      </c>
      <c r="M69" s="3">
        <v>39</v>
      </c>
      <c r="N69" s="4">
        <v>44129</v>
      </c>
      <c r="O69" s="10">
        <v>382954.07069999998</v>
      </c>
      <c r="P69" s="1">
        <f>$C$3+F69*$C$4+H69*$C$6+J69*$C$8+K69*$C$9+L69*$C$10+M69*$C$11</f>
        <v>341498.66221338091</v>
      </c>
      <c r="Q69" s="1">
        <f>(O69-P69)/O69</f>
        <v>0.10825164597635147</v>
      </c>
      <c r="R69" s="1"/>
      <c r="S69" s="1"/>
    </row>
    <row r="70" spans="1:19" x14ac:dyDescent="0.3">
      <c r="A70" s="2">
        <v>705</v>
      </c>
      <c r="B70" s="3" t="s">
        <v>12</v>
      </c>
      <c r="C70" s="3" t="s">
        <v>173</v>
      </c>
      <c r="D70" s="3" t="s">
        <v>14</v>
      </c>
      <c r="E70" s="3" t="s">
        <v>15</v>
      </c>
      <c r="F70" s="3">
        <f>IF(D70="Urban",1,0)</f>
        <v>0</v>
      </c>
      <c r="G70" s="3">
        <v>29388</v>
      </c>
      <c r="H70" s="3">
        <v>9</v>
      </c>
      <c r="I70" s="3">
        <v>72226</v>
      </c>
      <c r="J70" s="3">
        <f>IF(E70="Cold",1,0)</f>
        <v>1</v>
      </c>
      <c r="K70" s="3">
        <f>IF(E70="Hot",1,0)</f>
        <v>0</v>
      </c>
      <c r="L70" s="3">
        <v>1378</v>
      </c>
      <c r="M70" s="3">
        <v>36</v>
      </c>
      <c r="N70" s="4">
        <v>44074</v>
      </c>
      <c r="O70" s="10">
        <v>310100.6655</v>
      </c>
      <c r="P70" s="1">
        <f>$C$3+F70*$C$4+H70*$C$6+J70*$C$8+K70*$C$9+L70*$C$10+M70*$C$11</f>
        <v>276644.94324240834</v>
      </c>
      <c r="Q70" s="1">
        <f>(O70-P70)/O70</f>
        <v>0.10788665094816337</v>
      </c>
      <c r="R70" s="1"/>
      <c r="S70" s="1"/>
    </row>
    <row r="71" spans="1:19" x14ac:dyDescent="0.3">
      <c r="A71" s="2">
        <v>146</v>
      </c>
      <c r="B71" s="3" t="s">
        <v>122</v>
      </c>
      <c r="C71" s="3" t="s">
        <v>138</v>
      </c>
      <c r="D71" s="3" t="s">
        <v>18</v>
      </c>
      <c r="E71" s="3" t="s">
        <v>23</v>
      </c>
      <c r="F71" s="3">
        <f>IF(D71="Urban",1,0)</f>
        <v>1</v>
      </c>
      <c r="G71" s="3">
        <v>17088</v>
      </c>
      <c r="H71" s="3">
        <v>9</v>
      </c>
      <c r="I71" s="3">
        <v>94552</v>
      </c>
      <c r="J71" s="3">
        <f>IF(E71="Cold",1,0)</f>
        <v>0</v>
      </c>
      <c r="K71" s="3">
        <f>IF(E71="Hot",1,0)</f>
        <v>0</v>
      </c>
      <c r="L71" s="3">
        <v>1033</v>
      </c>
      <c r="M71" s="3">
        <v>36</v>
      </c>
      <c r="N71" s="4">
        <v>44670</v>
      </c>
      <c r="O71" s="10">
        <v>373424.10869999998</v>
      </c>
      <c r="P71" s="1">
        <f>$C$3+F71*$C$4+H71*$C$6+J71*$C$8+K71*$C$9+L71*$C$10+M71*$C$11</f>
        <v>333415.50085444073</v>
      </c>
      <c r="Q71" s="1">
        <f>(O71-P71)/O71</f>
        <v>0.10713986299610133</v>
      </c>
      <c r="R71" s="1"/>
      <c r="S71" s="1"/>
    </row>
    <row r="72" spans="1:19" x14ac:dyDescent="0.3">
      <c r="A72" s="2">
        <v>80</v>
      </c>
      <c r="B72" s="3" t="s">
        <v>44</v>
      </c>
      <c r="C72" s="3" t="s">
        <v>65</v>
      </c>
      <c r="D72" s="3" t="s">
        <v>18</v>
      </c>
      <c r="E72" s="3" t="s">
        <v>15</v>
      </c>
      <c r="F72" s="3">
        <f>IF(D72="Urban",1,0)</f>
        <v>1</v>
      </c>
      <c r="G72" s="3">
        <v>29840</v>
      </c>
      <c r="H72" s="3">
        <v>4</v>
      </c>
      <c r="I72" s="3">
        <v>65754</v>
      </c>
      <c r="J72" s="3">
        <f>IF(E72="Cold",1,0)</f>
        <v>1</v>
      </c>
      <c r="K72" s="3">
        <f>IF(E72="Hot",1,0)</f>
        <v>0</v>
      </c>
      <c r="L72" s="3">
        <v>1326</v>
      </c>
      <c r="M72" s="3">
        <v>96</v>
      </c>
      <c r="N72" s="4">
        <v>44470</v>
      </c>
      <c r="O72" s="10">
        <v>384760.06420000002</v>
      </c>
      <c r="P72" s="1">
        <f>$C$3+F72*$C$4+H72*$C$6+J72*$C$8+K72*$C$9+L72*$C$10+M72*$C$11</f>
        <v>343569.69668648316</v>
      </c>
      <c r="Q72" s="1">
        <f>(O72-P72)/O72</f>
        <v>0.1070546851039767</v>
      </c>
      <c r="R72" s="1"/>
      <c r="S72" s="1"/>
    </row>
    <row r="73" spans="1:19" x14ac:dyDescent="0.3">
      <c r="A73" s="2">
        <v>585</v>
      </c>
      <c r="B73" s="3" t="s">
        <v>74</v>
      </c>
      <c r="C73" s="3" t="s">
        <v>89</v>
      </c>
      <c r="D73" s="3" t="s">
        <v>14</v>
      </c>
      <c r="E73" s="3" t="s">
        <v>21</v>
      </c>
      <c r="F73" s="3">
        <f>IF(D73="Urban",1,0)</f>
        <v>0</v>
      </c>
      <c r="G73" s="3">
        <v>3245</v>
      </c>
      <c r="H73" s="3">
        <v>5</v>
      </c>
      <c r="I73" s="3">
        <v>93819</v>
      </c>
      <c r="J73" s="3">
        <f>IF(E73="Cold",1,0)</f>
        <v>0</v>
      </c>
      <c r="K73" s="3">
        <f>IF(E73="Hot",1,0)</f>
        <v>1</v>
      </c>
      <c r="L73" s="3">
        <v>2168</v>
      </c>
      <c r="M73" s="3">
        <v>90</v>
      </c>
      <c r="N73" s="4">
        <v>44129</v>
      </c>
      <c r="O73" s="10">
        <v>372708.09529999999</v>
      </c>
      <c r="P73" s="1">
        <f>$C$3+F73*$C$4+H73*$C$6+J73*$C$8+K73*$C$9+L73*$C$10+M73*$C$11</f>
        <v>333077.64727693587</v>
      </c>
      <c r="Q73" s="1">
        <f>(O73-P73)/O73</f>
        <v>0.10633106316396161</v>
      </c>
      <c r="R73" s="1"/>
      <c r="S73" s="1"/>
    </row>
    <row r="74" spans="1:19" x14ac:dyDescent="0.3">
      <c r="A74" s="2">
        <v>912</v>
      </c>
      <c r="B74" s="3" t="s">
        <v>35</v>
      </c>
      <c r="C74" s="3" t="s">
        <v>191</v>
      </c>
      <c r="D74" s="3" t="s">
        <v>14</v>
      </c>
      <c r="E74" s="3" t="s">
        <v>15</v>
      </c>
      <c r="F74" s="3">
        <f>IF(D74="Urban",1,0)</f>
        <v>0</v>
      </c>
      <c r="G74" s="3">
        <v>28559</v>
      </c>
      <c r="H74" s="3">
        <v>4</v>
      </c>
      <c r="I74" s="3">
        <v>61211</v>
      </c>
      <c r="J74" s="3">
        <f>IF(E74="Cold",1,0)</f>
        <v>1</v>
      </c>
      <c r="K74" s="3">
        <f>IF(E74="Hot",1,0)</f>
        <v>0</v>
      </c>
      <c r="L74" s="3">
        <v>2084</v>
      </c>
      <c r="M74" s="3">
        <v>44</v>
      </c>
      <c r="N74" s="4">
        <v>43979</v>
      </c>
      <c r="O74" s="10">
        <v>333005.71159999998</v>
      </c>
      <c r="P74" s="1">
        <f>$C$3+F74*$C$4+H74*$C$6+J74*$C$8+K74*$C$9+L74*$C$10+M74*$C$11</f>
        <v>297950.94955846749</v>
      </c>
      <c r="Q74" s="1">
        <f>(O74-P74)/O74</f>
        <v>0.10526775013288539</v>
      </c>
      <c r="R74" s="1"/>
      <c r="S74" s="1"/>
    </row>
    <row r="75" spans="1:19" x14ac:dyDescent="0.3">
      <c r="A75" s="2">
        <v>704</v>
      </c>
      <c r="B75" s="3" t="s">
        <v>55</v>
      </c>
      <c r="C75" s="3" t="s">
        <v>66</v>
      </c>
      <c r="D75" s="3" t="s">
        <v>14</v>
      </c>
      <c r="E75" s="3" t="s">
        <v>23</v>
      </c>
      <c r="F75" s="3">
        <f>IF(D75="Urban",1,0)</f>
        <v>0</v>
      </c>
      <c r="G75" s="3">
        <v>23267</v>
      </c>
      <c r="H75" s="3">
        <v>1</v>
      </c>
      <c r="I75" s="3">
        <v>67790</v>
      </c>
      <c r="J75" s="3">
        <f>IF(E75="Cold",1,0)</f>
        <v>0</v>
      </c>
      <c r="K75" s="3">
        <f>IF(E75="Hot",1,0)</f>
        <v>0</v>
      </c>
      <c r="L75" s="3">
        <v>2282</v>
      </c>
      <c r="M75" s="3">
        <v>20</v>
      </c>
      <c r="N75" s="4">
        <v>45209</v>
      </c>
      <c r="O75" s="10">
        <v>353468.48499999999</v>
      </c>
      <c r="P75" s="1">
        <f>$C$3+F75*$C$4+H75*$C$6+J75*$C$8+K75*$C$9+L75*$C$10+M75*$C$11</f>
        <v>316292.72802546021</v>
      </c>
      <c r="Q75" s="1">
        <f>(O75-P75)/O75</f>
        <v>0.10517417691294255</v>
      </c>
      <c r="R75" s="1"/>
      <c r="S75" s="1"/>
    </row>
    <row r="76" spans="1:19" x14ac:dyDescent="0.3">
      <c r="A76" s="2">
        <v>377</v>
      </c>
      <c r="B76" s="3" t="s">
        <v>16</v>
      </c>
      <c r="C76" s="3" t="s">
        <v>51</v>
      </c>
      <c r="D76" s="3" t="s">
        <v>18</v>
      </c>
      <c r="E76" s="3" t="s">
        <v>23</v>
      </c>
      <c r="F76" s="3">
        <f>IF(D76="Urban",1,0)</f>
        <v>1</v>
      </c>
      <c r="G76" s="3">
        <v>29572</v>
      </c>
      <c r="H76" s="3">
        <v>0</v>
      </c>
      <c r="I76" s="3">
        <v>99496</v>
      </c>
      <c r="J76" s="3">
        <f>IF(E76="Cold",1,0)</f>
        <v>0</v>
      </c>
      <c r="K76" s="3">
        <f>IF(E76="Hot",1,0)</f>
        <v>0</v>
      </c>
      <c r="L76" s="3">
        <v>1640</v>
      </c>
      <c r="M76" s="3">
        <v>20</v>
      </c>
      <c r="N76" s="4">
        <v>44413</v>
      </c>
      <c r="O76" s="10">
        <v>390134.41509999998</v>
      </c>
      <c r="P76" s="1">
        <f>$C$3+F76*$C$4+H76*$C$6+J76*$C$8+K76*$C$9+L76*$C$10+M76*$C$11</f>
        <v>349148.62898442359</v>
      </c>
      <c r="Q76" s="1">
        <f>(O76-P76)/O76</f>
        <v>0.10505555144390644</v>
      </c>
      <c r="R76" s="1"/>
      <c r="S76" s="1"/>
    </row>
    <row r="77" spans="1:19" x14ac:dyDescent="0.3">
      <c r="A77" s="2">
        <v>556</v>
      </c>
      <c r="B77" s="3" t="s">
        <v>44</v>
      </c>
      <c r="C77" s="3" t="s">
        <v>201</v>
      </c>
      <c r="D77" s="3" t="s">
        <v>14</v>
      </c>
      <c r="E77" s="3" t="s">
        <v>23</v>
      </c>
      <c r="F77" s="3">
        <f>IF(D77="Urban",1,0)</f>
        <v>0</v>
      </c>
      <c r="G77" s="3">
        <v>16219</v>
      </c>
      <c r="H77" s="3">
        <v>8</v>
      </c>
      <c r="I77" s="3">
        <v>94559</v>
      </c>
      <c r="J77" s="3">
        <f>IF(E77="Cold",1,0)</f>
        <v>0</v>
      </c>
      <c r="K77" s="3">
        <f>IF(E77="Hot",1,0)</f>
        <v>0</v>
      </c>
      <c r="L77" s="3">
        <v>2042</v>
      </c>
      <c r="M77" s="3">
        <v>33</v>
      </c>
      <c r="N77" s="4">
        <v>44466</v>
      </c>
      <c r="O77" s="10">
        <v>345101.16979999997</v>
      </c>
      <c r="P77" s="1">
        <f>$C$3+F77*$C$4+H77*$C$6+J77*$C$8+K77*$C$9+L77*$C$10+M77*$C$11</f>
        <v>308859.34270669258</v>
      </c>
      <c r="Q77" s="1">
        <f>(O77-P77)/O77</f>
        <v>0.10501797810280096</v>
      </c>
      <c r="R77" s="1"/>
      <c r="S77" s="1"/>
    </row>
    <row r="78" spans="1:19" x14ac:dyDescent="0.3">
      <c r="A78" s="2">
        <v>995</v>
      </c>
      <c r="B78" s="3" t="s">
        <v>44</v>
      </c>
      <c r="C78" s="3" t="s">
        <v>82</v>
      </c>
      <c r="D78" s="3" t="s">
        <v>18</v>
      </c>
      <c r="E78" s="3" t="s">
        <v>15</v>
      </c>
      <c r="F78" s="3">
        <f>IF(D78="Urban",1,0)</f>
        <v>1</v>
      </c>
      <c r="G78" s="3">
        <v>19798</v>
      </c>
      <c r="H78" s="3">
        <v>1</v>
      </c>
      <c r="I78" s="3">
        <v>97050</v>
      </c>
      <c r="J78" s="3">
        <f>IF(E78="Cold",1,0)</f>
        <v>1</v>
      </c>
      <c r="K78" s="3">
        <f>IF(E78="Hot",1,0)</f>
        <v>0</v>
      </c>
      <c r="L78" s="3">
        <v>2304</v>
      </c>
      <c r="M78" s="3">
        <v>90</v>
      </c>
      <c r="N78" s="4">
        <v>45544</v>
      </c>
      <c r="O78" s="10">
        <v>406706.92719999998</v>
      </c>
      <c r="P78" s="1">
        <f>$C$3+F78*$C$4+H78*$C$6+J78*$C$8+K78*$C$9+L78*$C$10+M78*$C$11</f>
        <v>364088.60502126889</v>
      </c>
      <c r="Q78" s="1">
        <f>(O78-P78)/O78</f>
        <v>0.10478877867200265</v>
      </c>
      <c r="R78" s="1"/>
      <c r="S78" s="1"/>
    </row>
    <row r="79" spans="1:19" x14ac:dyDescent="0.3">
      <c r="A79" s="2">
        <v>626</v>
      </c>
      <c r="B79" s="3" t="s">
        <v>55</v>
      </c>
      <c r="C79" s="3" t="s">
        <v>105</v>
      </c>
      <c r="D79" s="3" t="s">
        <v>14</v>
      </c>
      <c r="E79" s="3" t="s">
        <v>21</v>
      </c>
      <c r="F79" s="3">
        <f>IF(D79="Urban",1,0)</f>
        <v>0</v>
      </c>
      <c r="G79" s="3">
        <v>22672</v>
      </c>
      <c r="H79" s="3">
        <v>6</v>
      </c>
      <c r="I79" s="3">
        <v>64229</v>
      </c>
      <c r="J79" s="3">
        <f>IF(E79="Cold",1,0)</f>
        <v>0</v>
      </c>
      <c r="K79" s="3">
        <f>IF(E79="Hot",1,0)</f>
        <v>1</v>
      </c>
      <c r="L79" s="3">
        <v>1858</v>
      </c>
      <c r="M79" s="3">
        <v>72</v>
      </c>
      <c r="N79" s="4">
        <v>44806</v>
      </c>
      <c r="O79" s="10">
        <v>357841.0269</v>
      </c>
      <c r="P79" s="1">
        <f>$C$3+F79*$C$4+H79*$C$6+J79*$C$8+K79*$C$9+L79*$C$10+M79*$C$11</f>
        <v>320392.72332140396</v>
      </c>
      <c r="Q79" s="1">
        <f>(O79-P79)/O79</f>
        <v>0.10465067100609765</v>
      </c>
      <c r="R79" s="1"/>
      <c r="S79" s="1"/>
    </row>
    <row r="80" spans="1:19" x14ac:dyDescent="0.3">
      <c r="A80" s="2">
        <v>718</v>
      </c>
      <c r="B80" s="3" t="s">
        <v>26</v>
      </c>
      <c r="C80" s="3" t="s">
        <v>69</v>
      </c>
      <c r="D80" s="3" t="s">
        <v>14</v>
      </c>
      <c r="E80" s="3" t="s">
        <v>15</v>
      </c>
      <c r="F80" s="3">
        <f>IF(D80="Urban",1,0)</f>
        <v>0</v>
      </c>
      <c r="G80" s="3">
        <v>16817</v>
      </c>
      <c r="H80" s="3">
        <v>8</v>
      </c>
      <c r="I80" s="3">
        <v>78431</v>
      </c>
      <c r="J80" s="3">
        <f>IF(E80="Cold",1,0)</f>
        <v>1</v>
      </c>
      <c r="K80" s="3">
        <f>IF(E80="Hot",1,0)</f>
        <v>0</v>
      </c>
      <c r="L80" s="3">
        <v>1309</v>
      </c>
      <c r="M80" s="3">
        <v>31</v>
      </c>
      <c r="N80" s="4">
        <v>43916</v>
      </c>
      <c r="O80" s="10">
        <v>306723.77429999999</v>
      </c>
      <c r="P80" s="1">
        <f>$C$3+F80*$C$4+H80*$C$6+J80*$C$8+K80*$C$9+L80*$C$10+M80*$C$11</f>
        <v>274676.8542359001</v>
      </c>
      <c r="Q80" s="1">
        <f>(O80-P80)/O80</f>
        <v>0.10448136971852556</v>
      </c>
      <c r="R80" s="1"/>
      <c r="S80" s="1"/>
    </row>
    <row r="81" spans="1:19" x14ac:dyDescent="0.3">
      <c r="A81" s="2">
        <v>124</v>
      </c>
      <c r="B81" s="3" t="s">
        <v>33</v>
      </c>
      <c r="C81" s="3" t="s">
        <v>79</v>
      </c>
      <c r="D81" s="3" t="s">
        <v>14</v>
      </c>
      <c r="E81" s="3" t="s">
        <v>15</v>
      </c>
      <c r="F81" s="3">
        <f>IF(D81="Urban",1,0)</f>
        <v>0</v>
      </c>
      <c r="G81" s="3">
        <v>26246</v>
      </c>
      <c r="H81" s="3">
        <v>6</v>
      </c>
      <c r="I81" s="3">
        <v>94406</v>
      </c>
      <c r="J81" s="3">
        <f>IF(E81="Cold",1,0)</f>
        <v>1</v>
      </c>
      <c r="K81" s="3">
        <f>IF(E81="Hot",1,0)</f>
        <v>0</v>
      </c>
      <c r="L81" s="3">
        <v>1524</v>
      </c>
      <c r="M81" s="3">
        <v>25</v>
      </c>
      <c r="N81" s="4">
        <v>44508</v>
      </c>
      <c r="O81" s="10">
        <v>311546.76559999998</v>
      </c>
      <c r="P81" s="1">
        <f>$C$3+F81*$C$4+H81*$C$6+J81*$C$8+K81*$C$9+L81*$C$10+M81*$C$11</f>
        <v>279018.4352450351</v>
      </c>
      <c r="Q81" s="1">
        <f>(O81-P81)/O81</f>
        <v>0.10440914156922605</v>
      </c>
      <c r="R81" s="1"/>
      <c r="S81" s="1"/>
    </row>
    <row r="82" spans="1:19" x14ac:dyDescent="0.3">
      <c r="A82" s="2">
        <v>466</v>
      </c>
      <c r="B82" s="3" t="s">
        <v>26</v>
      </c>
      <c r="C82" s="3" t="s">
        <v>67</v>
      </c>
      <c r="D82" s="3" t="s">
        <v>18</v>
      </c>
      <c r="E82" s="3" t="s">
        <v>21</v>
      </c>
      <c r="F82" s="3">
        <f>IF(D82="Urban",1,0)</f>
        <v>1</v>
      </c>
      <c r="G82" s="3">
        <v>18376</v>
      </c>
      <c r="H82" s="3">
        <v>3</v>
      </c>
      <c r="I82" s="3">
        <v>67352</v>
      </c>
      <c r="J82" s="3">
        <f>IF(E82="Cold",1,0)</f>
        <v>0</v>
      </c>
      <c r="K82" s="3">
        <f>IF(E82="Hot",1,0)</f>
        <v>1</v>
      </c>
      <c r="L82" s="3">
        <v>1601</v>
      </c>
      <c r="M82" s="3">
        <v>79</v>
      </c>
      <c r="N82" s="4">
        <v>45061</v>
      </c>
      <c r="O82" s="10">
        <v>407462.33100000001</v>
      </c>
      <c r="P82" s="1">
        <f>$C$3+F82*$C$4+H82*$C$6+J82*$C$8+K82*$C$9+L82*$C$10+M82*$C$11</f>
        <v>364989.89433131466</v>
      </c>
      <c r="Q82" s="1">
        <f>(O82-P82)/O82</f>
        <v>0.10423647399367905</v>
      </c>
      <c r="R82" s="1"/>
      <c r="S82" s="1"/>
    </row>
    <row r="83" spans="1:19" x14ac:dyDescent="0.3">
      <c r="A83" s="2">
        <v>863</v>
      </c>
      <c r="B83" s="3" t="s">
        <v>29</v>
      </c>
      <c r="C83" s="3" t="s">
        <v>83</v>
      </c>
      <c r="D83" s="3" t="s">
        <v>14</v>
      </c>
      <c r="E83" s="3" t="s">
        <v>23</v>
      </c>
      <c r="F83" s="3">
        <f>IF(D83="Urban",1,0)</f>
        <v>0</v>
      </c>
      <c r="G83" s="3">
        <v>24804</v>
      </c>
      <c r="H83" s="3">
        <v>9</v>
      </c>
      <c r="I83" s="3">
        <v>76600</v>
      </c>
      <c r="J83" s="3">
        <f>IF(E83="Cold",1,0)</f>
        <v>0</v>
      </c>
      <c r="K83" s="3">
        <f>IF(E83="Hot",1,0)</f>
        <v>0</v>
      </c>
      <c r="L83" s="3">
        <v>1222</v>
      </c>
      <c r="M83" s="3">
        <v>24</v>
      </c>
      <c r="N83" s="4">
        <v>45357</v>
      </c>
      <c r="O83" s="10">
        <v>322197.47820000001</v>
      </c>
      <c r="P83" s="1">
        <f>$C$3+F83*$C$4+H83*$C$6+J83*$C$8+K83*$C$9+L83*$C$10+M83*$C$11</f>
        <v>288770.39319740736</v>
      </c>
      <c r="Q83" s="1">
        <f>(O83-P83)/O83</f>
        <v>0.10374719625162059</v>
      </c>
      <c r="R83" s="1"/>
      <c r="S83" s="1"/>
    </row>
    <row r="84" spans="1:19" x14ac:dyDescent="0.3">
      <c r="A84" s="2">
        <v>274</v>
      </c>
      <c r="B84" s="3" t="s">
        <v>28</v>
      </c>
      <c r="C84" s="3" t="s">
        <v>49</v>
      </c>
      <c r="D84" s="3" t="s">
        <v>14</v>
      </c>
      <c r="E84" s="3" t="s">
        <v>21</v>
      </c>
      <c r="F84" s="3">
        <f>IF(D84="Urban",1,0)</f>
        <v>0</v>
      </c>
      <c r="G84" s="3">
        <v>28354</v>
      </c>
      <c r="H84" s="3">
        <v>0</v>
      </c>
      <c r="I84" s="3">
        <v>53863</v>
      </c>
      <c r="J84" s="3">
        <f>IF(E84="Cold",1,0)</f>
        <v>0</v>
      </c>
      <c r="K84" s="3">
        <f>IF(E84="Hot",1,0)</f>
        <v>1</v>
      </c>
      <c r="L84" s="3">
        <v>2089</v>
      </c>
      <c r="M84" s="3">
        <v>36</v>
      </c>
      <c r="N84" s="4">
        <v>44143</v>
      </c>
      <c r="O84" s="10">
        <v>356447.02179999999</v>
      </c>
      <c r="P84" s="1">
        <f>$C$3+F84*$C$4+H84*$C$6+J84*$C$8+K84*$C$9+L84*$C$10+M84*$C$11</f>
        <v>319607.106776573</v>
      </c>
      <c r="Q84" s="1">
        <f>(O84-P84)/O84</f>
        <v>0.10335312899345142</v>
      </c>
      <c r="R84" s="1"/>
      <c r="S84" s="1"/>
    </row>
    <row r="85" spans="1:19" x14ac:dyDescent="0.3">
      <c r="A85" s="2">
        <v>800</v>
      </c>
      <c r="B85" s="3" t="s">
        <v>35</v>
      </c>
      <c r="C85" s="3" t="s">
        <v>36</v>
      </c>
      <c r="D85" s="3" t="s">
        <v>14</v>
      </c>
      <c r="E85" s="3" t="s">
        <v>23</v>
      </c>
      <c r="F85" s="3">
        <f>IF(D85="Urban",1,0)</f>
        <v>0</v>
      </c>
      <c r="G85" s="3">
        <v>25857</v>
      </c>
      <c r="H85" s="3">
        <v>9</v>
      </c>
      <c r="I85" s="3">
        <v>86231</v>
      </c>
      <c r="J85" s="3">
        <f>IF(E85="Cold",1,0)</f>
        <v>0</v>
      </c>
      <c r="K85" s="3">
        <f>IF(E85="Hot",1,0)</f>
        <v>0</v>
      </c>
      <c r="L85" s="3">
        <v>2620</v>
      </c>
      <c r="M85" s="3">
        <v>31</v>
      </c>
      <c r="N85" s="4">
        <v>45195</v>
      </c>
      <c r="O85" s="10">
        <v>355573.08020000003</v>
      </c>
      <c r="P85" s="1">
        <f>$C$3+F85*$C$4+H85*$C$6+J85*$C$8+K85*$C$9+L85*$C$10+M85*$C$11</f>
        <v>318827.96028175764</v>
      </c>
      <c r="Q85" s="1">
        <f>(O85-P85)/O85</f>
        <v>0.1033405563142583</v>
      </c>
      <c r="R85" s="1"/>
      <c r="S85" s="1"/>
    </row>
    <row r="86" spans="1:19" x14ac:dyDescent="0.3">
      <c r="A86" s="2">
        <v>250</v>
      </c>
      <c r="B86" s="3" t="s">
        <v>29</v>
      </c>
      <c r="C86" s="3" t="s">
        <v>132</v>
      </c>
      <c r="D86" s="3" t="s">
        <v>18</v>
      </c>
      <c r="E86" s="3" t="s">
        <v>21</v>
      </c>
      <c r="F86" s="3">
        <f>IF(D86="Urban",1,0)</f>
        <v>1</v>
      </c>
      <c r="G86" s="3">
        <v>22226</v>
      </c>
      <c r="H86" s="3">
        <v>3</v>
      </c>
      <c r="I86" s="3">
        <v>77804</v>
      </c>
      <c r="J86" s="3">
        <f>IF(E86="Cold",1,0)</f>
        <v>0</v>
      </c>
      <c r="K86" s="3">
        <f>IF(E86="Hot",1,0)</f>
        <v>1</v>
      </c>
      <c r="L86" s="3">
        <v>2141</v>
      </c>
      <c r="M86" s="3">
        <v>52</v>
      </c>
      <c r="N86" s="4">
        <v>44479</v>
      </c>
      <c r="O86" s="10">
        <v>409656.0294</v>
      </c>
      <c r="P86" s="1">
        <f>$C$3+F86*$C$4+H86*$C$6+J86*$C$8+K86*$C$9+L86*$C$10+M86*$C$11</f>
        <v>367444.49081618321</v>
      </c>
      <c r="Q86" s="1">
        <f>(O86-P86)/O86</f>
        <v>0.103041419030599</v>
      </c>
      <c r="R86" s="1"/>
      <c r="S86" s="1"/>
    </row>
    <row r="87" spans="1:19" x14ac:dyDescent="0.3">
      <c r="A87" s="2">
        <v>45</v>
      </c>
      <c r="B87" s="3" t="s">
        <v>40</v>
      </c>
      <c r="C87" s="3" t="s">
        <v>71</v>
      </c>
      <c r="D87" s="3" t="s">
        <v>18</v>
      </c>
      <c r="E87" s="3" t="s">
        <v>21</v>
      </c>
      <c r="F87" s="3">
        <f>IF(D87="Urban",1,0)</f>
        <v>1</v>
      </c>
      <c r="G87" s="3">
        <v>25943</v>
      </c>
      <c r="H87" s="3">
        <v>9</v>
      </c>
      <c r="I87" s="3">
        <v>70833</v>
      </c>
      <c r="J87" s="3">
        <f>IF(E87="Cold",1,0)</f>
        <v>0</v>
      </c>
      <c r="K87" s="3">
        <f>IF(E87="Hot",1,0)</f>
        <v>1</v>
      </c>
      <c r="L87" s="3">
        <v>1557</v>
      </c>
      <c r="M87" s="3">
        <v>46</v>
      </c>
      <c r="N87" s="4">
        <v>43843</v>
      </c>
      <c r="O87" s="10">
        <v>387915.83049999998</v>
      </c>
      <c r="P87" s="1">
        <f>$C$3+F87*$C$4+H87*$C$6+J87*$C$8+K87*$C$9+L87*$C$10+M87*$C$11</f>
        <v>348239.60709461302</v>
      </c>
      <c r="Q87" s="1">
        <f>(O87-P87)/O87</f>
        <v>0.1022804956277415</v>
      </c>
      <c r="R87" s="1"/>
      <c r="S87" s="1"/>
    </row>
    <row r="88" spans="1:19" x14ac:dyDescent="0.3">
      <c r="A88" s="2">
        <v>706</v>
      </c>
      <c r="B88" s="3" t="s">
        <v>55</v>
      </c>
      <c r="C88" s="3" t="s">
        <v>169</v>
      </c>
      <c r="D88" s="3" t="s">
        <v>14</v>
      </c>
      <c r="E88" s="3" t="s">
        <v>15</v>
      </c>
      <c r="F88" s="3">
        <f>IF(D88="Urban",1,0)</f>
        <v>0</v>
      </c>
      <c r="G88" s="3">
        <v>23039</v>
      </c>
      <c r="H88" s="3">
        <v>3</v>
      </c>
      <c r="I88" s="3">
        <v>94481</v>
      </c>
      <c r="J88" s="3">
        <f>IF(E88="Cold",1,0)</f>
        <v>1</v>
      </c>
      <c r="K88" s="3">
        <f>IF(E88="Hot",1,0)</f>
        <v>0</v>
      </c>
      <c r="L88" s="3">
        <v>2385</v>
      </c>
      <c r="M88" s="3">
        <v>62</v>
      </c>
      <c r="N88" s="4">
        <v>45353</v>
      </c>
      <c r="O88" s="10">
        <v>345803.0673</v>
      </c>
      <c r="P88" s="1">
        <f>$C$3+F88*$C$4+H88*$C$6+J88*$C$8+K88*$C$9+L88*$C$10+M88*$C$11</f>
        <v>310456.26005785039</v>
      </c>
      <c r="Q88" s="1">
        <f>(O88-P88)/O88</f>
        <v>0.10221658100992097</v>
      </c>
      <c r="R88" s="1"/>
      <c r="S88" s="1"/>
    </row>
    <row r="89" spans="1:19" x14ac:dyDescent="0.3">
      <c r="A89" s="2">
        <v>754</v>
      </c>
      <c r="B89" s="3" t="s">
        <v>122</v>
      </c>
      <c r="C89" s="3" t="s">
        <v>194</v>
      </c>
      <c r="D89" s="3" t="s">
        <v>14</v>
      </c>
      <c r="E89" s="3" t="s">
        <v>23</v>
      </c>
      <c r="F89" s="3">
        <f>IF(D89="Urban",1,0)</f>
        <v>0</v>
      </c>
      <c r="G89" s="3">
        <v>25799</v>
      </c>
      <c r="H89" s="3">
        <v>8</v>
      </c>
      <c r="I89" s="3">
        <v>73579</v>
      </c>
      <c r="J89" s="3">
        <f>IF(E89="Cold",1,0)</f>
        <v>0</v>
      </c>
      <c r="K89" s="3">
        <f>IF(E89="Hot",1,0)</f>
        <v>0</v>
      </c>
      <c r="L89" s="3">
        <v>1968</v>
      </c>
      <c r="M89" s="3">
        <v>75</v>
      </c>
      <c r="N89" s="4">
        <v>44909</v>
      </c>
      <c r="O89" s="10">
        <v>356763.43190000003</v>
      </c>
      <c r="P89" s="1">
        <f>$C$3+F89*$C$4+H89*$C$6+J89*$C$8+K89*$C$9+L89*$C$10+M89*$C$11</f>
        <v>320328.18233135733</v>
      </c>
      <c r="Q89" s="1">
        <f>(O89-P89)/O89</f>
        <v>0.10212719777529053</v>
      </c>
      <c r="R89" s="1"/>
      <c r="S89" s="1"/>
    </row>
    <row r="90" spans="1:19" x14ac:dyDescent="0.3">
      <c r="A90" s="2">
        <v>223</v>
      </c>
      <c r="B90" s="3" t="s">
        <v>31</v>
      </c>
      <c r="C90" s="3" t="s">
        <v>165</v>
      </c>
      <c r="D90" s="3" t="s">
        <v>18</v>
      </c>
      <c r="E90" s="3" t="s">
        <v>23</v>
      </c>
      <c r="F90" s="3">
        <f>IF(D90="Urban",1,0)</f>
        <v>1</v>
      </c>
      <c r="G90" s="3">
        <v>12272</v>
      </c>
      <c r="H90" s="3">
        <v>4</v>
      </c>
      <c r="I90" s="3">
        <v>77136</v>
      </c>
      <c r="J90" s="3">
        <f>IF(E90="Cold",1,0)</f>
        <v>0</v>
      </c>
      <c r="K90" s="3">
        <f>IF(E90="Hot",1,0)</f>
        <v>0</v>
      </c>
      <c r="L90" s="3">
        <v>1161</v>
      </c>
      <c r="M90" s="3">
        <v>97</v>
      </c>
      <c r="N90" s="4">
        <v>44809</v>
      </c>
      <c r="O90" s="10">
        <v>400407.25400000002</v>
      </c>
      <c r="P90" s="1">
        <f>$C$3+F90*$C$4+H90*$C$6+J90*$C$8+K90*$C$9+L90*$C$10+M90*$C$11</f>
        <v>359522.52361099754</v>
      </c>
      <c r="Q90" s="1">
        <f>(O90-P90)/O90</f>
        <v>0.10210786637996942</v>
      </c>
      <c r="R90" s="1"/>
      <c r="S90" s="1"/>
    </row>
    <row r="91" spans="1:19" x14ac:dyDescent="0.3">
      <c r="A91" s="2">
        <v>293</v>
      </c>
      <c r="B91" s="3" t="s">
        <v>53</v>
      </c>
      <c r="C91" s="3" t="s">
        <v>141</v>
      </c>
      <c r="D91" s="3" t="s">
        <v>14</v>
      </c>
      <c r="E91" s="3" t="s">
        <v>23</v>
      </c>
      <c r="F91" s="3">
        <f>IF(D91="Urban",1,0)</f>
        <v>0</v>
      </c>
      <c r="G91" s="3">
        <v>18287</v>
      </c>
      <c r="H91" s="3">
        <v>0</v>
      </c>
      <c r="I91" s="3">
        <v>63091</v>
      </c>
      <c r="J91" s="3">
        <f>IF(E91="Cold",1,0)</f>
        <v>0</v>
      </c>
      <c r="K91" s="3">
        <f>IF(E91="Hot",1,0)</f>
        <v>0</v>
      </c>
      <c r="L91" s="3">
        <v>1498</v>
      </c>
      <c r="M91" s="3">
        <v>93</v>
      </c>
      <c r="N91" s="4">
        <v>44348</v>
      </c>
      <c r="O91" s="10">
        <v>360687.3089</v>
      </c>
      <c r="P91" s="1">
        <f>$C$3+F91*$C$4+H91*$C$6+J91*$C$8+K91*$C$9+L91*$C$10+M91*$C$11</f>
        <v>324097.29033443338</v>
      </c>
      <c r="Q91" s="1">
        <f>(O91-P91)/O91</f>
        <v>0.10144526203917853</v>
      </c>
      <c r="R91" s="1"/>
      <c r="S91" s="1"/>
    </row>
    <row r="92" spans="1:19" x14ac:dyDescent="0.3">
      <c r="A92" s="2">
        <v>199</v>
      </c>
      <c r="B92" s="3" t="s">
        <v>72</v>
      </c>
      <c r="C92" s="3" t="s">
        <v>158</v>
      </c>
      <c r="D92" s="3" t="s">
        <v>18</v>
      </c>
      <c r="E92" s="3" t="s">
        <v>15</v>
      </c>
      <c r="F92" s="3">
        <f>IF(D92="Urban",1,0)</f>
        <v>1</v>
      </c>
      <c r="G92" s="3">
        <v>23729</v>
      </c>
      <c r="H92" s="3">
        <v>9</v>
      </c>
      <c r="I92" s="3">
        <v>75159</v>
      </c>
      <c r="J92" s="3">
        <f>IF(E92="Cold",1,0)</f>
        <v>1</v>
      </c>
      <c r="K92" s="3">
        <f>IF(E92="Hot",1,0)</f>
        <v>0</v>
      </c>
      <c r="L92" s="3">
        <v>1181</v>
      </c>
      <c r="M92" s="3">
        <v>34</v>
      </c>
      <c r="N92" s="4">
        <v>45259</v>
      </c>
      <c r="O92" s="10">
        <v>352110.3689</v>
      </c>
      <c r="P92" s="1">
        <f>$C$3+F92*$C$4+H92*$C$6+J92*$C$8+K92*$C$9+L92*$C$10+M92*$C$11</f>
        <v>316815.17403556814</v>
      </c>
      <c r="Q92" s="1">
        <f>(O92-P92)/O92</f>
        <v>0.10023901021345885</v>
      </c>
      <c r="R92" s="1"/>
      <c r="S92" s="1"/>
    </row>
    <row r="93" spans="1:19" x14ac:dyDescent="0.3">
      <c r="A93" s="2">
        <v>43</v>
      </c>
      <c r="B93" s="3" t="s">
        <v>12</v>
      </c>
      <c r="C93" s="3" t="s">
        <v>50</v>
      </c>
      <c r="D93" s="3" t="s">
        <v>18</v>
      </c>
      <c r="E93" s="3" t="s">
        <v>23</v>
      </c>
      <c r="F93" s="3">
        <f>IF(D93="Urban",1,0)</f>
        <v>1</v>
      </c>
      <c r="G93" s="3">
        <v>18984</v>
      </c>
      <c r="H93" s="3">
        <v>5</v>
      </c>
      <c r="I93" s="3">
        <v>98955</v>
      </c>
      <c r="J93" s="3">
        <f>IF(E93="Cold",1,0)</f>
        <v>0</v>
      </c>
      <c r="K93" s="3">
        <f>IF(E93="Hot",1,0)</f>
        <v>0</v>
      </c>
      <c r="L93" s="3">
        <v>2288</v>
      </c>
      <c r="M93" s="3">
        <v>89</v>
      </c>
      <c r="N93" s="4">
        <v>45503</v>
      </c>
      <c r="O93" s="10">
        <v>420642.141</v>
      </c>
      <c r="P93" s="1">
        <f>$C$3+F93*$C$4+H93*$C$6+J93*$C$8+K93*$C$9+L93*$C$10+M93*$C$11</f>
        <v>378598.18181469187</v>
      </c>
      <c r="Q93" s="1">
        <f>(O93-P93)/O93</f>
        <v>9.9951847633136068E-2</v>
      </c>
      <c r="R93" s="1"/>
      <c r="S93" s="1"/>
    </row>
    <row r="94" spans="1:19" x14ac:dyDescent="0.3">
      <c r="A94" s="2">
        <v>665</v>
      </c>
      <c r="B94" s="3" t="s">
        <v>31</v>
      </c>
      <c r="C94" s="3" t="s">
        <v>185</v>
      </c>
      <c r="D94" s="3" t="s">
        <v>14</v>
      </c>
      <c r="E94" s="3" t="s">
        <v>21</v>
      </c>
      <c r="F94" s="3">
        <f>IF(D94="Urban",1,0)</f>
        <v>0</v>
      </c>
      <c r="G94" s="3">
        <v>17227</v>
      </c>
      <c r="H94" s="3">
        <v>9</v>
      </c>
      <c r="I94" s="3">
        <v>74717</v>
      </c>
      <c r="J94" s="3">
        <f>IF(E94="Cold",1,0)</f>
        <v>0</v>
      </c>
      <c r="K94" s="3">
        <f>IF(E94="Hot",1,0)</f>
        <v>1</v>
      </c>
      <c r="L94" s="3">
        <v>2721</v>
      </c>
      <c r="M94" s="3">
        <v>77</v>
      </c>
      <c r="N94" s="4">
        <v>44274</v>
      </c>
      <c r="O94" s="10">
        <v>373425.37199999997</v>
      </c>
      <c r="P94" s="1">
        <f>$C$3+F94*$C$4+H94*$C$6+J94*$C$8+K94*$C$9+L94*$C$10+M94*$C$11</f>
        <v>336306.51526168926</v>
      </c>
      <c r="Q94" s="1">
        <f>(O94-P94)/O94</f>
        <v>9.9401003578060892E-2</v>
      </c>
      <c r="R94" s="1"/>
      <c r="S94" s="1"/>
    </row>
    <row r="95" spans="1:19" x14ac:dyDescent="0.3">
      <c r="A95" s="2">
        <v>962</v>
      </c>
      <c r="B95" s="3" t="s">
        <v>44</v>
      </c>
      <c r="C95" s="3" t="s">
        <v>144</v>
      </c>
      <c r="D95" s="3" t="s">
        <v>18</v>
      </c>
      <c r="E95" s="3" t="s">
        <v>15</v>
      </c>
      <c r="F95" s="3">
        <f>IF(D95="Urban",1,0)</f>
        <v>1</v>
      </c>
      <c r="G95" s="3">
        <v>25797</v>
      </c>
      <c r="H95" s="3">
        <v>0</v>
      </c>
      <c r="I95" s="3">
        <v>81392</v>
      </c>
      <c r="J95" s="3">
        <f>IF(E95="Cold",1,0)</f>
        <v>1</v>
      </c>
      <c r="K95" s="3">
        <f>IF(E95="Hot",1,0)</f>
        <v>0</v>
      </c>
      <c r="L95" s="3">
        <v>2267</v>
      </c>
      <c r="M95" s="3">
        <v>70</v>
      </c>
      <c r="N95" s="4">
        <v>45274</v>
      </c>
      <c r="O95" s="10">
        <v>397230.2402</v>
      </c>
      <c r="P95" s="1">
        <f>$C$3+F95*$C$4+H95*$C$6+J95*$C$8+K95*$C$9+L95*$C$10+M95*$C$11</f>
        <v>358135.69114547258</v>
      </c>
      <c r="Q95" s="1">
        <f>(O95-P95)/O95</f>
        <v>9.8417857197487912E-2</v>
      </c>
      <c r="R95" s="1"/>
      <c r="S95" s="1"/>
    </row>
    <row r="96" spans="1:19" x14ac:dyDescent="0.3">
      <c r="A96" s="2">
        <v>209</v>
      </c>
      <c r="B96" s="3" t="s">
        <v>72</v>
      </c>
      <c r="C96" s="3" t="s">
        <v>96</v>
      </c>
      <c r="D96" s="3" t="s">
        <v>14</v>
      </c>
      <c r="E96" s="3" t="s">
        <v>15</v>
      </c>
      <c r="F96" s="3">
        <f>IF(D96="Urban",1,0)</f>
        <v>0</v>
      </c>
      <c r="G96" s="3">
        <v>15671</v>
      </c>
      <c r="H96" s="3">
        <v>7</v>
      </c>
      <c r="I96" s="3">
        <v>78781</v>
      </c>
      <c r="J96" s="3">
        <f>IF(E96="Cold",1,0)</f>
        <v>1</v>
      </c>
      <c r="K96" s="3">
        <f>IF(E96="Hot",1,0)</f>
        <v>0</v>
      </c>
      <c r="L96" s="3">
        <v>2301</v>
      </c>
      <c r="M96" s="3">
        <v>53</v>
      </c>
      <c r="N96" s="4">
        <v>44252</v>
      </c>
      <c r="O96" s="10">
        <v>335194.10989999998</v>
      </c>
      <c r="P96" s="1">
        <f>$C$3+F96*$C$4+H96*$C$6+J96*$C$8+K96*$C$9+L96*$C$10+M96*$C$11</f>
        <v>302205.40688836406</v>
      </c>
      <c r="Q96" s="1">
        <f>(O96-P96)/O96</f>
        <v>9.8416714486652512E-2</v>
      </c>
      <c r="R96" s="1"/>
      <c r="S96" s="1"/>
    </row>
    <row r="97" spans="1:19" x14ac:dyDescent="0.3">
      <c r="A97" s="2">
        <v>671</v>
      </c>
      <c r="B97" s="3" t="s">
        <v>74</v>
      </c>
      <c r="C97" s="3" t="s">
        <v>221</v>
      </c>
      <c r="D97" s="3" t="s">
        <v>14</v>
      </c>
      <c r="E97" s="3" t="s">
        <v>23</v>
      </c>
      <c r="F97" s="3">
        <f>IF(D97="Urban",1,0)</f>
        <v>0</v>
      </c>
      <c r="G97" s="3">
        <v>20522</v>
      </c>
      <c r="H97" s="3">
        <v>2</v>
      </c>
      <c r="I97" s="3">
        <v>84097</v>
      </c>
      <c r="J97" s="3">
        <f>IF(E97="Cold",1,0)</f>
        <v>0</v>
      </c>
      <c r="K97" s="3">
        <f>IF(E97="Hot",1,0)</f>
        <v>0</v>
      </c>
      <c r="L97" s="3">
        <v>1623</v>
      </c>
      <c r="M97" s="3">
        <v>95</v>
      </c>
      <c r="N97" s="4">
        <v>45433</v>
      </c>
      <c r="O97" s="10">
        <v>360788.90429999999</v>
      </c>
      <c r="P97" s="1">
        <f>$C$3+F97*$C$4+H97*$C$6+J97*$C$8+K97*$C$9+L97*$C$10+M97*$C$11</f>
        <v>325308.1864266207</v>
      </c>
      <c r="Q97" s="1">
        <f>(O97-P97)/O97</f>
        <v>9.834204281370218E-2</v>
      </c>
      <c r="R97" s="1"/>
      <c r="S97" s="1"/>
    </row>
    <row r="98" spans="1:19" x14ac:dyDescent="0.3">
      <c r="A98" s="2">
        <v>645</v>
      </c>
      <c r="B98" s="3" t="s">
        <v>37</v>
      </c>
      <c r="C98" s="3" t="s">
        <v>114</v>
      </c>
      <c r="D98" s="3" t="s">
        <v>14</v>
      </c>
      <c r="E98" s="3" t="s">
        <v>15</v>
      </c>
      <c r="F98" s="3">
        <f>IF(D98="Urban",1,0)</f>
        <v>0</v>
      </c>
      <c r="G98" s="3">
        <v>2626</v>
      </c>
      <c r="H98" s="3">
        <v>9</v>
      </c>
      <c r="I98" s="3">
        <v>71175</v>
      </c>
      <c r="J98" s="3">
        <f>IF(E98="Cold",1,0)</f>
        <v>1</v>
      </c>
      <c r="K98" s="3">
        <f>IF(E98="Hot",1,0)</f>
        <v>0</v>
      </c>
      <c r="L98" s="3">
        <v>2203</v>
      </c>
      <c r="M98" s="3">
        <v>33</v>
      </c>
      <c r="N98" s="4">
        <v>44680</v>
      </c>
      <c r="O98" s="10">
        <v>324022.46919999999</v>
      </c>
      <c r="P98" s="1">
        <f>$C$3+F98*$C$4+H98*$C$6+J98*$C$8+K98*$C$9+L98*$C$10+M98*$C$11</f>
        <v>292184.81995783752</v>
      </c>
      <c r="Q98" s="1">
        <f>(O98-P98)/O98</f>
        <v>9.8257535413419014E-2</v>
      </c>
      <c r="R98" s="1"/>
      <c r="S98" s="1"/>
    </row>
    <row r="99" spans="1:19" x14ac:dyDescent="0.3">
      <c r="A99" s="2">
        <v>500</v>
      </c>
      <c r="B99" s="3" t="s">
        <v>57</v>
      </c>
      <c r="C99" s="3" t="s">
        <v>168</v>
      </c>
      <c r="D99" s="3" t="s">
        <v>14</v>
      </c>
      <c r="E99" s="3" t="s">
        <v>21</v>
      </c>
      <c r="F99" s="3">
        <f>IF(D99="Urban",1,0)</f>
        <v>0</v>
      </c>
      <c r="G99" s="3">
        <v>26027</v>
      </c>
      <c r="H99" s="3">
        <v>0</v>
      </c>
      <c r="I99" s="3">
        <v>80487</v>
      </c>
      <c r="J99" s="3">
        <f>IF(E99="Cold",1,0)</f>
        <v>0</v>
      </c>
      <c r="K99" s="3">
        <f>IF(E99="Hot",1,0)</f>
        <v>1</v>
      </c>
      <c r="L99" s="3">
        <v>2632</v>
      </c>
      <c r="M99" s="3">
        <v>65</v>
      </c>
      <c r="N99" s="4">
        <v>45346</v>
      </c>
      <c r="O99" s="10">
        <v>376089.33140000002</v>
      </c>
      <c r="P99" s="1">
        <f>$C$3+F99*$C$4+H99*$C$6+J99*$C$8+K99*$C$9+L99*$C$10+M99*$C$11</f>
        <v>339382.45624712226</v>
      </c>
      <c r="Q99" s="1">
        <f>(O99-P99)/O99</f>
        <v>9.7601479457648244E-2</v>
      </c>
      <c r="R99" s="1"/>
      <c r="S99" s="1"/>
    </row>
    <row r="100" spans="1:19" x14ac:dyDescent="0.3">
      <c r="A100" s="2">
        <v>757</v>
      </c>
      <c r="B100" s="3" t="s">
        <v>26</v>
      </c>
      <c r="C100" s="3" t="s">
        <v>69</v>
      </c>
      <c r="D100" s="3" t="s">
        <v>18</v>
      </c>
      <c r="E100" s="3" t="s">
        <v>21</v>
      </c>
      <c r="F100" s="3">
        <f>IF(D100="Urban",1,0)</f>
        <v>1</v>
      </c>
      <c r="G100" s="3">
        <v>15482</v>
      </c>
      <c r="H100" s="3">
        <v>4</v>
      </c>
      <c r="I100" s="3">
        <v>95792</v>
      </c>
      <c r="J100" s="3">
        <f>IF(E100="Cold",1,0)</f>
        <v>0</v>
      </c>
      <c r="K100" s="3">
        <f>IF(E100="Hot",1,0)</f>
        <v>1</v>
      </c>
      <c r="L100" s="3">
        <v>2742</v>
      </c>
      <c r="M100" s="3">
        <v>54</v>
      </c>
      <c r="N100" s="4">
        <v>43983</v>
      </c>
      <c r="O100" s="10">
        <v>420092.35649999999</v>
      </c>
      <c r="P100" s="1">
        <f>$C$3+F100*$C$4+H100*$C$6+J100*$C$8+K100*$C$9+L100*$C$10+M100*$C$11</f>
        <v>379105.04068793613</v>
      </c>
      <c r="Q100" s="1">
        <f>(O100-P100)/O100</f>
        <v>9.7567392450435761E-2</v>
      </c>
      <c r="R100" s="1"/>
      <c r="S100" s="1"/>
    </row>
    <row r="101" spans="1:19" x14ac:dyDescent="0.3">
      <c r="A101" s="2">
        <v>330</v>
      </c>
      <c r="B101" s="3" t="s">
        <v>16</v>
      </c>
      <c r="C101" s="3" t="s">
        <v>87</v>
      </c>
      <c r="D101" s="3" t="s">
        <v>18</v>
      </c>
      <c r="E101" s="3" t="s">
        <v>15</v>
      </c>
      <c r="F101" s="3">
        <f>IF(D101="Urban",1,0)</f>
        <v>1</v>
      </c>
      <c r="G101" s="3">
        <v>24321</v>
      </c>
      <c r="H101" s="3">
        <v>5</v>
      </c>
      <c r="I101" s="3">
        <v>82118</v>
      </c>
      <c r="J101" s="3">
        <f>IF(E101="Cold",1,0)</f>
        <v>1</v>
      </c>
      <c r="K101" s="3">
        <f>IF(E101="Hot",1,0)</f>
        <v>0</v>
      </c>
      <c r="L101" s="3">
        <v>1150</v>
      </c>
      <c r="M101" s="3">
        <v>51</v>
      </c>
      <c r="N101" s="4">
        <v>43832</v>
      </c>
      <c r="O101" s="10">
        <v>360385.864</v>
      </c>
      <c r="P101" s="1">
        <f>$C$3+F101*$C$4+H101*$C$6+J101*$C$8+K101*$C$9+L101*$C$10+M101*$C$11</f>
        <v>325236.80663843104</v>
      </c>
      <c r="Q101" s="1">
        <f>(O101-P101)/O101</f>
        <v>9.7531731604125746E-2</v>
      </c>
      <c r="R101" s="1"/>
      <c r="S101" s="1"/>
    </row>
    <row r="102" spans="1:19" x14ac:dyDescent="0.3">
      <c r="A102" s="2">
        <v>81</v>
      </c>
      <c r="B102" s="3" t="s">
        <v>24</v>
      </c>
      <c r="C102" s="3" t="s">
        <v>97</v>
      </c>
      <c r="D102" s="3" t="s">
        <v>14</v>
      </c>
      <c r="E102" s="3" t="s">
        <v>23</v>
      </c>
      <c r="F102" s="3">
        <f>IF(D102="Urban",1,0)</f>
        <v>0</v>
      </c>
      <c r="G102" s="3">
        <v>10900</v>
      </c>
      <c r="H102" s="3">
        <v>5</v>
      </c>
      <c r="I102" s="3">
        <v>73222</v>
      </c>
      <c r="J102" s="3">
        <f>IF(E102="Cold",1,0)</f>
        <v>0</v>
      </c>
      <c r="K102" s="3">
        <f>IF(E102="Hot",1,0)</f>
        <v>0</v>
      </c>
      <c r="L102" s="3">
        <v>1252</v>
      </c>
      <c r="M102" s="3">
        <v>61</v>
      </c>
      <c r="N102" s="4">
        <v>45099</v>
      </c>
      <c r="O102" s="10">
        <v>337262.79790000001</v>
      </c>
      <c r="P102" s="1">
        <f>$C$3+F102*$C$4+H102*$C$6+J102*$C$8+K102*$C$9+L102*$C$10+M102*$C$11</f>
        <v>304574.00654681516</v>
      </c>
      <c r="Q102" s="1">
        <f>(O102-P102)/O102</f>
        <v>9.6923798167852557E-2</v>
      </c>
      <c r="R102" s="1"/>
      <c r="S102" s="1"/>
    </row>
    <row r="103" spans="1:19" x14ac:dyDescent="0.3">
      <c r="A103" s="2">
        <v>93</v>
      </c>
      <c r="B103" s="3" t="s">
        <v>74</v>
      </c>
      <c r="C103" s="3" t="s">
        <v>106</v>
      </c>
      <c r="D103" s="3" t="s">
        <v>14</v>
      </c>
      <c r="E103" s="3" t="s">
        <v>15</v>
      </c>
      <c r="F103" s="3">
        <f>IF(D103="Urban",1,0)</f>
        <v>0</v>
      </c>
      <c r="G103" s="3">
        <v>15285</v>
      </c>
      <c r="H103" s="3">
        <v>5</v>
      </c>
      <c r="I103" s="3">
        <v>91581</v>
      </c>
      <c r="J103" s="3">
        <f>IF(E103="Cold",1,0)</f>
        <v>1</v>
      </c>
      <c r="K103" s="3">
        <f>IF(E103="Hot",1,0)</f>
        <v>0</v>
      </c>
      <c r="L103" s="3">
        <v>1597</v>
      </c>
      <c r="M103" s="3">
        <v>20</v>
      </c>
      <c r="N103" s="4">
        <v>44897</v>
      </c>
      <c r="O103" s="10">
        <v>309868.63160000002</v>
      </c>
      <c r="P103" s="1">
        <f>$C$3+F103*$C$4+H103*$C$6+J103*$C$8+K103*$C$9+L103*$C$10+M103*$C$11</f>
        <v>279884.2474355445</v>
      </c>
      <c r="Q103" s="1">
        <f>(O103-P103)/O103</f>
        <v>9.676482582193556E-2</v>
      </c>
      <c r="R103" s="1"/>
      <c r="S103" s="1"/>
    </row>
    <row r="104" spans="1:19" x14ac:dyDescent="0.3">
      <c r="A104" s="2">
        <v>361</v>
      </c>
      <c r="B104" s="3" t="s">
        <v>122</v>
      </c>
      <c r="C104" s="3" t="s">
        <v>194</v>
      </c>
      <c r="D104" s="3" t="s">
        <v>18</v>
      </c>
      <c r="E104" s="3" t="s">
        <v>23</v>
      </c>
      <c r="F104" s="3">
        <f>IF(D104="Urban",1,0)</f>
        <v>1</v>
      </c>
      <c r="G104" s="3">
        <v>19331</v>
      </c>
      <c r="H104" s="3">
        <v>7</v>
      </c>
      <c r="I104" s="3">
        <v>70062</v>
      </c>
      <c r="J104" s="3">
        <f>IF(E104="Cold",1,0)</f>
        <v>0</v>
      </c>
      <c r="K104" s="3">
        <f>IF(E104="Hot",1,0)</f>
        <v>0</v>
      </c>
      <c r="L104" s="3">
        <v>2086</v>
      </c>
      <c r="M104" s="3">
        <v>73</v>
      </c>
      <c r="N104" s="4">
        <v>44837</v>
      </c>
      <c r="O104" s="10">
        <v>407125.41489999997</v>
      </c>
      <c r="P104" s="1">
        <f>$C$3+F104*$C$4+H104*$C$6+J104*$C$8+K104*$C$9+L104*$C$10+M104*$C$11</f>
        <v>367734.98174408369</v>
      </c>
      <c r="Q104" s="1">
        <f>(O104-P104)/O104</f>
        <v>9.6752577250898336E-2</v>
      </c>
      <c r="R104" s="1"/>
      <c r="S104" s="1"/>
    </row>
    <row r="105" spans="1:19" x14ac:dyDescent="0.3">
      <c r="A105" s="2">
        <v>752</v>
      </c>
      <c r="B105" s="3" t="s">
        <v>31</v>
      </c>
      <c r="C105" s="3" t="s">
        <v>170</v>
      </c>
      <c r="D105" s="3" t="s">
        <v>18</v>
      </c>
      <c r="E105" s="3" t="s">
        <v>15</v>
      </c>
      <c r="F105" s="3">
        <f>IF(D105="Urban",1,0)</f>
        <v>1</v>
      </c>
      <c r="G105" s="3">
        <v>25081</v>
      </c>
      <c r="H105" s="3">
        <v>6</v>
      </c>
      <c r="I105" s="3">
        <v>63312</v>
      </c>
      <c r="J105" s="3">
        <f>IF(E105="Cold",1,0)</f>
        <v>1</v>
      </c>
      <c r="K105" s="3">
        <f>IF(E105="Hot",1,0)</f>
        <v>0</v>
      </c>
      <c r="L105" s="3">
        <v>2533</v>
      </c>
      <c r="M105" s="3">
        <v>34</v>
      </c>
      <c r="N105" s="4">
        <v>44649</v>
      </c>
      <c r="O105" s="10">
        <v>383732.41960000002</v>
      </c>
      <c r="P105" s="1">
        <f>$C$3+F105*$C$4+H105*$C$6+J105*$C$8+K105*$C$9+L105*$C$10+M105*$C$11</f>
        <v>346647.39952233987</v>
      </c>
      <c r="Q105" s="1">
        <f>(O105-P105)/O105</f>
        <v>9.6642916218330779E-2</v>
      </c>
      <c r="R105" s="1"/>
      <c r="S105" s="1"/>
    </row>
    <row r="106" spans="1:19" x14ac:dyDescent="0.3">
      <c r="A106" s="2">
        <v>455</v>
      </c>
      <c r="B106" s="3" t="s">
        <v>55</v>
      </c>
      <c r="C106" s="3" t="s">
        <v>169</v>
      </c>
      <c r="D106" s="3" t="s">
        <v>14</v>
      </c>
      <c r="E106" s="3" t="s">
        <v>21</v>
      </c>
      <c r="F106" s="3">
        <f>IF(D106="Urban",1,0)</f>
        <v>0</v>
      </c>
      <c r="G106" s="3">
        <v>18447</v>
      </c>
      <c r="H106" s="3">
        <v>2</v>
      </c>
      <c r="I106" s="3">
        <v>92445</v>
      </c>
      <c r="J106" s="3">
        <f>IF(E106="Cold",1,0)</f>
        <v>0</v>
      </c>
      <c r="K106" s="3">
        <f>IF(E106="Hot",1,0)</f>
        <v>1</v>
      </c>
      <c r="L106" s="3">
        <v>1195</v>
      </c>
      <c r="M106" s="3">
        <v>73</v>
      </c>
      <c r="N106" s="4">
        <v>44615</v>
      </c>
      <c r="O106" s="10">
        <v>344539.99729999999</v>
      </c>
      <c r="P106" s="1">
        <f>$C$3+F106*$C$4+H106*$C$6+J106*$C$8+K106*$C$9+L106*$C$10+M106*$C$11</f>
        <v>311269.81936857506</v>
      </c>
      <c r="Q106" s="1">
        <f>(O106-P106)/O106</f>
        <v>9.6564051175909521E-2</v>
      </c>
      <c r="R106" s="1"/>
      <c r="S106" s="1"/>
    </row>
    <row r="107" spans="1:19" x14ac:dyDescent="0.3">
      <c r="A107" s="2">
        <v>368</v>
      </c>
      <c r="B107" s="3" t="s">
        <v>44</v>
      </c>
      <c r="C107" s="3" t="s">
        <v>190</v>
      </c>
      <c r="D107" s="3" t="s">
        <v>18</v>
      </c>
      <c r="E107" s="3" t="s">
        <v>23</v>
      </c>
      <c r="F107" s="3">
        <f>IF(D107="Urban",1,0)</f>
        <v>1</v>
      </c>
      <c r="G107" s="3">
        <v>9789</v>
      </c>
      <c r="H107" s="3">
        <v>2</v>
      </c>
      <c r="I107" s="3">
        <v>85250</v>
      </c>
      <c r="J107" s="3">
        <f>IF(E107="Cold",1,0)</f>
        <v>0</v>
      </c>
      <c r="K107" s="3">
        <f>IF(E107="Hot",1,0)</f>
        <v>0</v>
      </c>
      <c r="L107" s="3">
        <v>2375</v>
      </c>
      <c r="M107" s="3">
        <v>75</v>
      </c>
      <c r="N107" s="4">
        <v>45474</v>
      </c>
      <c r="O107" s="10">
        <v>419321.00699999998</v>
      </c>
      <c r="P107" s="1">
        <f>$C$3+F107*$C$4+H107*$C$6+J107*$C$8+K107*$C$9+L107*$C$10+M107*$C$11</f>
        <v>378869.51772877818</v>
      </c>
      <c r="Q107" s="1">
        <f>(O107-P107)/O107</f>
        <v>9.6469026344825598E-2</v>
      </c>
      <c r="R107" s="1"/>
      <c r="S107" s="1"/>
    </row>
    <row r="108" spans="1:19" x14ac:dyDescent="0.3">
      <c r="A108" s="2">
        <v>782</v>
      </c>
      <c r="B108" s="3" t="s">
        <v>74</v>
      </c>
      <c r="C108" s="3" t="s">
        <v>106</v>
      </c>
      <c r="D108" s="3" t="s">
        <v>14</v>
      </c>
      <c r="E108" s="3" t="s">
        <v>15</v>
      </c>
      <c r="F108" s="3">
        <f>IF(D108="Urban",1,0)</f>
        <v>0</v>
      </c>
      <c r="G108" s="3">
        <v>21258</v>
      </c>
      <c r="H108" s="3">
        <v>8</v>
      </c>
      <c r="I108" s="3">
        <v>70337</v>
      </c>
      <c r="J108" s="3">
        <f>IF(E108="Cold",1,0)</f>
        <v>1</v>
      </c>
      <c r="K108" s="3">
        <f>IF(E108="Hot",1,0)</f>
        <v>0</v>
      </c>
      <c r="L108" s="3">
        <v>1524</v>
      </c>
      <c r="M108" s="3">
        <v>48</v>
      </c>
      <c r="N108" s="4">
        <v>44386</v>
      </c>
      <c r="O108" s="10">
        <v>314537.91200000001</v>
      </c>
      <c r="P108" s="1">
        <f>$C$3+F108*$C$4+H108*$C$6+J108*$C$8+K108*$C$9+L108*$C$10+M108*$C$11</f>
        <v>284207.53068943112</v>
      </c>
      <c r="Q108" s="1">
        <f>(O108-P108)/O108</f>
        <v>9.6428380024881993E-2</v>
      </c>
      <c r="R108" s="1"/>
      <c r="S108" s="1"/>
    </row>
    <row r="109" spans="1:19" x14ac:dyDescent="0.3">
      <c r="A109" s="2">
        <v>312</v>
      </c>
      <c r="B109" s="3" t="s">
        <v>40</v>
      </c>
      <c r="C109" s="3" t="s">
        <v>121</v>
      </c>
      <c r="D109" s="3" t="s">
        <v>14</v>
      </c>
      <c r="E109" s="3" t="s">
        <v>15</v>
      </c>
      <c r="F109" s="3">
        <f>IF(D109="Urban",1,0)</f>
        <v>0</v>
      </c>
      <c r="G109" s="3">
        <v>26372</v>
      </c>
      <c r="H109" s="3">
        <v>0</v>
      </c>
      <c r="I109" s="3">
        <v>51156</v>
      </c>
      <c r="J109" s="3">
        <f>IF(E109="Cold",1,0)</f>
        <v>1</v>
      </c>
      <c r="K109" s="3">
        <f>IF(E109="Hot",1,0)</f>
        <v>0</v>
      </c>
      <c r="L109" s="3">
        <v>1881</v>
      </c>
      <c r="M109" s="3">
        <v>29</v>
      </c>
      <c r="N109" s="4">
        <v>44107</v>
      </c>
      <c r="O109" s="10">
        <v>324309.38160000002</v>
      </c>
      <c r="P109" s="1">
        <f>$C$3+F109*$C$4+H109*$C$6+J109*$C$8+K109*$C$9+L109*$C$10+M109*$C$11</f>
        <v>293076.60839602677</v>
      </c>
      <c r="Q109" s="1">
        <f>(O109-P109)/O109</f>
        <v>9.6305487833514003E-2</v>
      </c>
      <c r="R109" s="1"/>
      <c r="S109" s="1"/>
    </row>
    <row r="110" spans="1:19" x14ac:dyDescent="0.3">
      <c r="A110" s="2">
        <v>374</v>
      </c>
      <c r="B110" s="3" t="s">
        <v>53</v>
      </c>
      <c r="C110" s="3" t="s">
        <v>178</v>
      </c>
      <c r="D110" s="3" t="s">
        <v>14</v>
      </c>
      <c r="E110" s="3" t="s">
        <v>23</v>
      </c>
      <c r="F110" s="3">
        <f>IF(D110="Urban",1,0)</f>
        <v>0</v>
      </c>
      <c r="G110" s="3">
        <v>1162</v>
      </c>
      <c r="H110" s="3">
        <v>5</v>
      </c>
      <c r="I110" s="3">
        <v>95490</v>
      </c>
      <c r="J110" s="3">
        <f>IF(E110="Cold",1,0)</f>
        <v>0</v>
      </c>
      <c r="K110" s="3">
        <f>IF(E110="Hot",1,0)</f>
        <v>0</v>
      </c>
      <c r="L110" s="3">
        <v>2906</v>
      </c>
      <c r="M110" s="3">
        <v>63</v>
      </c>
      <c r="N110" s="4">
        <v>44941</v>
      </c>
      <c r="O110" s="10">
        <v>374200.78389999998</v>
      </c>
      <c r="P110" s="1">
        <f>$C$3+F110*$C$4+H110*$C$6+J110*$C$8+K110*$C$9+L110*$C$10+M110*$C$11</f>
        <v>338199.42844235356</v>
      </c>
      <c r="Q110" s="1">
        <f>(O110-P110)/O110</f>
        <v>9.6208658577442457E-2</v>
      </c>
      <c r="R110" s="1"/>
      <c r="S110" s="1"/>
    </row>
    <row r="111" spans="1:19" x14ac:dyDescent="0.3">
      <c r="A111" s="2">
        <v>433</v>
      </c>
      <c r="B111" s="3" t="s">
        <v>37</v>
      </c>
      <c r="C111" s="3" t="s">
        <v>118</v>
      </c>
      <c r="D111" s="3" t="s">
        <v>18</v>
      </c>
      <c r="E111" s="3" t="s">
        <v>15</v>
      </c>
      <c r="F111" s="3">
        <f>IF(D111="Urban",1,0)</f>
        <v>1</v>
      </c>
      <c r="G111" s="3">
        <v>29628</v>
      </c>
      <c r="H111" s="3">
        <v>4</v>
      </c>
      <c r="I111" s="3">
        <v>69008</v>
      </c>
      <c r="J111" s="3">
        <f>IF(E111="Cold",1,0)</f>
        <v>1</v>
      </c>
      <c r="K111" s="3">
        <f>IF(E111="Hot",1,0)</f>
        <v>0</v>
      </c>
      <c r="L111" s="3">
        <v>1161</v>
      </c>
      <c r="M111" s="3">
        <v>66</v>
      </c>
      <c r="N111" s="4">
        <v>45364</v>
      </c>
      <c r="O111" s="10">
        <v>366199.19809999998</v>
      </c>
      <c r="P111" s="1">
        <f>$C$3+F111*$C$4+H111*$C$6+J111*$C$8+K111*$C$9+L111*$C$10+M111*$C$11</f>
        <v>331029.88234144892</v>
      </c>
      <c r="Q111" s="1">
        <f>(O111-P111)/O111</f>
        <v>9.6038756887029522E-2</v>
      </c>
      <c r="R111" s="1"/>
      <c r="S111" s="1"/>
    </row>
    <row r="112" spans="1:19" x14ac:dyDescent="0.3">
      <c r="A112" s="2">
        <v>571</v>
      </c>
      <c r="B112" s="3" t="s">
        <v>35</v>
      </c>
      <c r="C112" s="3" t="s">
        <v>150</v>
      </c>
      <c r="D112" s="3" t="s">
        <v>14</v>
      </c>
      <c r="E112" s="3" t="s">
        <v>21</v>
      </c>
      <c r="F112" s="3">
        <f>IF(D112="Urban",1,0)</f>
        <v>0</v>
      </c>
      <c r="G112" s="3">
        <v>25974</v>
      </c>
      <c r="H112" s="3">
        <v>8</v>
      </c>
      <c r="I112" s="3">
        <v>69317</v>
      </c>
      <c r="J112" s="3">
        <f>IF(E112="Cold",1,0)</f>
        <v>0</v>
      </c>
      <c r="K112" s="3">
        <f>IF(E112="Hot",1,0)</f>
        <v>1</v>
      </c>
      <c r="L112" s="3">
        <v>1783</v>
      </c>
      <c r="M112" s="3">
        <v>96</v>
      </c>
      <c r="N112" s="4">
        <v>44872</v>
      </c>
      <c r="O112" s="10">
        <v>358738.15350000001</v>
      </c>
      <c r="P112" s="1">
        <f>$C$3+F112*$C$4+H112*$C$6+J112*$C$8+K112*$C$9+L112*$C$10+M112*$C$11</f>
        <v>324393.26999730169</v>
      </c>
      <c r="Q112" s="1">
        <f>(O112-P112)/O112</f>
        <v>9.5738028329619335E-2</v>
      </c>
      <c r="R112" s="1"/>
      <c r="S112" s="1"/>
    </row>
    <row r="113" spans="1:19" x14ac:dyDescent="0.3">
      <c r="A113" s="2">
        <v>859</v>
      </c>
      <c r="B113" s="3" t="s">
        <v>24</v>
      </c>
      <c r="C113" s="3" t="s">
        <v>100</v>
      </c>
      <c r="D113" s="3" t="s">
        <v>18</v>
      </c>
      <c r="E113" s="3" t="s">
        <v>15</v>
      </c>
      <c r="F113" s="3">
        <f>IF(D113="Urban",1,0)</f>
        <v>1</v>
      </c>
      <c r="G113" s="3">
        <v>8186</v>
      </c>
      <c r="H113" s="3">
        <v>8</v>
      </c>
      <c r="I113" s="3">
        <v>97316</v>
      </c>
      <c r="J113" s="3">
        <f>IF(E113="Cold",1,0)</f>
        <v>1</v>
      </c>
      <c r="K113" s="3">
        <f>IF(E113="Hot",1,0)</f>
        <v>0</v>
      </c>
      <c r="L113" s="3">
        <v>2175</v>
      </c>
      <c r="M113" s="3">
        <v>91</v>
      </c>
      <c r="N113" s="4">
        <v>45329</v>
      </c>
      <c r="O113" s="10">
        <v>392643.61290000001</v>
      </c>
      <c r="P113" s="1">
        <f>$C$3+F113*$C$4+H113*$C$6+J113*$C$8+K113*$C$9+L113*$C$10+M113*$C$11</f>
        <v>355171.691935418</v>
      </c>
      <c r="Q113" s="1">
        <f>(O113-P113)/O113</f>
        <v>9.5434943377330578E-2</v>
      </c>
      <c r="R113" s="1"/>
      <c r="S113" s="1"/>
    </row>
    <row r="114" spans="1:19" x14ac:dyDescent="0.3">
      <c r="A114" s="2">
        <v>40</v>
      </c>
      <c r="B114" s="3" t="s">
        <v>26</v>
      </c>
      <c r="C114" s="3" t="s">
        <v>67</v>
      </c>
      <c r="D114" s="3" t="s">
        <v>18</v>
      </c>
      <c r="E114" s="3" t="s">
        <v>15</v>
      </c>
      <c r="F114" s="3">
        <f>IF(D114="Urban",1,0)</f>
        <v>1</v>
      </c>
      <c r="G114" s="3">
        <v>11598</v>
      </c>
      <c r="H114" s="3">
        <v>0</v>
      </c>
      <c r="I114" s="3">
        <v>82818</v>
      </c>
      <c r="J114" s="3">
        <f>IF(E114="Cold",1,0)</f>
        <v>1</v>
      </c>
      <c r="K114" s="3">
        <f>IF(E114="Hot",1,0)</f>
        <v>0</v>
      </c>
      <c r="L114" s="3">
        <v>1027</v>
      </c>
      <c r="M114" s="3">
        <v>97</v>
      </c>
      <c r="N114" s="4">
        <v>44375</v>
      </c>
      <c r="O114" s="10">
        <v>377695.2941</v>
      </c>
      <c r="P114" s="1">
        <f>$C$3+F114*$C$4+H114*$C$6+J114*$C$8+K114*$C$9+L114*$C$10+M114*$C$11</f>
        <v>341711.15918234759</v>
      </c>
      <c r="Q114" s="1">
        <f>(O114-P114)/O114</f>
        <v>9.5272923649732097E-2</v>
      </c>
      <c r="R114" s="1"/>
      <c r="S114" s="1"/>
    </row>
    <row r="115" spans="1:19" x14ac:dyDescent="0.3">
      <c r="A115" s="2">
        <v>275</v>
      </c>
      <c r="B115" s="3" t="s">
        <v>28</v>
      </c>
      <c r="C115" s="3" t="s">
        <v>181</v>
      </c>
      <c r="D115" s="3" t="s">
        <v>18</v>
      </c>
      <c r="E115" s="3" t="s">
        <v>23</v>
      </c>
      <c r="F115" s="3">
        <f>IF(D115="Urban",1,0)</f>
        <v>1</v>
      </c>
      <c r="G115" s="3">
        <v>21019</v>
      </c>
      <c r="H115" s="3">
        <v>0</v>
      </c>
      <c r="I115" s="3">
        <v>69093</v>
      </c>
      <c r="J115" s="3">
        <f>IF(E115="Cold",1,0)</f>
        <v>0</v>
      </c>
      <c r="K115" s="3">
        <f>IF(E115="Hot",1,0)</f>
        <v>0</v>
      </c>
      <c r="L115" s="3">
        <v>2333</v>
      </c>
      <c r="M115" s="3">
        <v>96</v>
      </c>
      <c r="N115" s="4">
        <v>44842</v>
      </c>
      <c r="O115" s="10">
        <v>426994.6005</v>
      </c>
      <c r="P115" s="1">
        <f>$C$3+F115*$C$4+H115*$C$6+J115*$C$8+K115*$C$9+L115*$C$10+M115*$C$11</f>
        <v>386404.34759639687</v>
      </c>
      <c r="Q115" s="1">
        <f>(O115-P115)/O115</f>
        <v>9.506034234642069E-2</v>
      </c>
      <c r="R115" s="1"/>
      <c r="S115" s="1"/>
    </row>
    <row r="116" spans="1:19" x14ac:dyDescent="0.3">
      <c r="A116" s="2">
        <v>675</v>
      </c>
      <c r="B116" s="3" t="s">
        <v>35</v>
      </c>
      <c r="C116" s="3" t="s">
        <v>119</v>
      </c>
      <c r="D116" s="3" t="s">
        <v>14</v>
      </c>
      <c r="E116" s="3" t="s">
        <v>21</v>
      </c>
      <c r="F116" s="3">
        <f>IF(D116="Urban",1,0)</f>
        <v>0</v>
      </c>
      <c r="G116" s="3">
        <v>14372</v>
      </c>
      <c r="H116" s="3">
        <v>8</v>
      </c>
      <c r="I116" s="3">
        <v>94006</v>
      </c>
      <c r="J116" s="3">
        <f>IF(E116="Cold",1,0)</f>
        <v>0</v>
      </c>
      <c r="K116" s="3">
        <f>IF(E116="Hot",1,0)</f>
        <v>1</v>
      </c>
      <c r="L116" s="3">
        <v>2050</v>
      </c>
      <c r="M116" s="3">
        <v>87</v>
      </c>
      <c r="N116" s="4">
        <v>44935</v>
      </c>
      <c r="O116" s="10">
        <v>361276.22830000002</v>
      </c>
      <c r="P116" s="1">
        <f>$C$3+F116*$C$4+H116*$C$6+J116*$C$8+K116*$C$9+L116*$C$10+M116*$C$11</f>
        <v>326947.73223503167</v>
      </c>
      <c r="Q116" s="1">
        <f>(O116-P116)/O116</f>
        <v>9.5020079861059453E-2</v>
      </c>
      <c r="R116" s="1"/>
      <c r="S116" s="1"/>
    </row>
    <row r="117" spans="1:19" x14ac:dyDescent="0.3">
      <c r="A117" s="2">
        <v>219</v>
      </c>
      <c r="B117" s="3" t="s">
        <v>24</v>
      </c>
      <c r="C117" s="3" t="s">
        <v>77</v>
      </c>
      <c r="D117" s="3" t="s">
        <v>18</v>
      </c>
      <c r="E117" s="3" t="s">
        <v>23</v>
      </c>
      <c r="F117" s="3">
        <f>IF(D117="Urban",1,0)</f>
        <v>1</v>
      </c>
      <c r="G117" s="3">
        <v>21792</v>
      </c>
      <c r="H117" s="3">
        <v>8</v>
      </c>
      <c r="I117" s="3">
        <v>98423</v>
      </c>
      <c r="J117" s="3">
        <f>IF(E117="Cold",1,0)</f>
        <v>0</v>
      </c>
      <c r="K117" s="3">
        <f>IF(E117="Hot",1,0)</f>
        <v>0</v>
      </c>
      <c r="L117" s="3">
        <v>1445</v>
      </c>
      <c r="M117" s="3">
        <v>29</v>
      </c>
      <c r="N117" s="4">
        <v>44081</v>
      </c>
      <c r="O117" s="10">
        <v>375817.6018</v>
      </c>
      <c r="P117" s="1">
        <f>$C$3+F117*$C$4+H117*$C$6+J117*$C$8+K117*$C$9+L117*$C$10+M117*$C$11</f>
        <v>340430.29316107609</v>
      </c>
      <c r="Q117" s="1">
        <f>(O117-P117)/O117</f>
        <v>9.416086013383719E-2</v>
      </c>
      <c r="R117" s="1"/>
      <c r="S117" s="1"/>
    </row>
    <row r="118" spans="1:19" x14ac:dyDescent="0.3">
      <c r="A118" s="2">
        <v>417</v>
      </c>
      <c r="B118" s="3" t="s">
        <v>40</v>
      </c>
      <c r="C118" s="3" t="s">
        <v>103</v>
      </c>
      <c r="D118" s="3" t="s">
        <v>14</v>
      </c>
      <c r="E118" s="3" t="s">
        <v>15</v>
      </c>
      <c r="F118" s="3">
        <f>IF(D118="Urban",1,0)</f>
        <v>0</v>
      </c>
      <c r="G118" s="3">
        <v>18595</v>
      </c>
      <c r="H118" s="3">
        <v>7</v>
      </c>
      <c r="I118" s="3">
        <v>91909</v>
      </c>
      <c r="J118" s="3">
        <f>IF(E118="Cold",1,0)</f>
        <v>1</v>
      </c>
      <c r="K118" s="3">
        <f>IF(E118="Hot",1,0)</f>
        <v>0</v>
      </c>
      <c r="L118" s="3">
        <v>2435</v>
      </c>
      <c r="M118" s="3">
        <v>74</v>
      </c>
      <c r="N118" s="4">
        <v>44049</v>
      </c>
      <c r="O118" s="10">
        <v>343679.96970000002</v>
      </c>
      <c r="P118" s="1">
        <f>$C$3+F118*$C$4+H118*$C$6+J118*$C$8+K118*$C$9+L118*$C$10+M118*$C$11</f>
        <v>311352.48236752767</v>
      </c>
      <c r="Q118" s="1">
        <f>(O118-P118)/O118</f>
        <v>9.4062762402741057E-2</v>
      </c>
      <c r="R118" s="1"/>
      <c r="S118" s="1"/>
    </row>
    <row r="119" spans="1:19" x14ac:dyDescent="0.3">
      <c r="A119" s="2">
        <v>104</v>
      </c>
      <c r="B119" s="3" t="s">
        <v>74</v>
      </c>
      <c r="C119" s="3" t="s">
        <v>113</v>
      </c>
      <c r="D119" s="3" t="s">
        <v>14</v>
      </c>
      <c r="E119" s="3" t="s">
        <v>23</v>
      </c>
      <c r="F119" s="3">
        <f>IF(D119="Urban",1,0)</f>
        <v>0</v>
      </c>
      <c r="G119" s="3">
        <v>12447</v>
      </c>
      <c r="H119" s="3">
        <v>6</v>
      </c>
      <c r="I119" s="3">
        <v>70869</v>
      </c>
      <c r="J119" s="3">
        <f>IF(E119="Cold",1,0)</f>
        <v>0</v>
      </c>
      <c r="K119" s="3">
        <f>IF(E119="Hot",1,0)</f>
        <v>0</v>
      </c>
      <c r="L119" s="3">
        <v>1328</v>
      </c>
      <c r="M119" s="3">
        <v>94</v>
      </c>
      <c r="N119" s="4">
        <v>44395</v>
      </c>
      <c r="O119" s="10">
        <v>348011.43939999997</v>
      </c>
      <c r="P119" s="1">
        <f>$C$3+F119*$C$4+H119*$C$6+J119*$C$8+K119*$C$9+L119*$C$10+M119*$C$11</f>
        <v>315312.23582492158</v>
      </c>
      <c r="Q119" s="1">
        <f>(O119-P119)/O119</f>
        <v>9.3960140021415631E-2</v>
      </c>
      <c r="R119" s="1"/>
      <c r="S119" s="1"/>
    </row>
    <row r="120" spans="1:19" x14ac:dyDescent="0.3">
      <c r="A120" s="2">
        <v>804</v>
      </c>
      <c r="B120" s="3" t="s">
        <v>40</v>
      </c>
      <c r="C120" s="3" t="s">
        <v>226</v>
      </c>
      <c r="D120" s="3" t="s">
        <v>14</v>
      </c>
      <c r="E120" s="3" t="s">
        <v>15</v>
      </c>
      <c r="F120" s="3">
        <f>IF(D120="Urban",1,0)</f>
        <v>0</v>
      </c>
      <c r="G120" s="3">
        <v>20358</v>
      </c>
      <c r="H120" s="3">
        <v>6</v>
      </c>
      <c r="I120" s="3">
        <v>56699</v>
      </c>
      <c r="J120" s="3">
        <f>IF(E120="Cold",1,0)</f>
        <v>1</v>
      </c>
      <c r="K120" s="3">
        <f>IF(E120="Hot",1,0)</f>
        <v>0</v>
      </c>
      <c r="L120" s="3">
        <v>2236</v>
      </c>
      <c r="M120" s="3">
        <v>87</v>
      </c>
      <c r="N120" s="4">
        <v>44692</v>
      </c>
      <c r="O120" s="10">
        <v>344728.0588</v>
      </c>
      <c r="P120" s="1">
        <f>$C$3+F120*$C$4+H120*$C$6+J120*$C$8+K120*$C$9+L120*$C$10+M120*$C$11</f>
        <v>312338.11736158177</v>
      </c>
      <c r="Q120" s="1">
        <f>(O120-P120)/O120</f>
        <v>9.3957949205433905E-2</v>
      </c>
      <c r="R120" s="1"/>
      <c r="S120" s="1"/>
    </row>
    <row r="121" spans="1:19" x14ac:dyDescent="0.3">
      <c r="A121" s="2">
        <v>527</v>
      </c>
      <c r="B121" s="3" t="s">
        <v>57</v>
      </c>
      <c r="C121" s="3" t="s">
        <v>162</v>
      </c>
      <c r="D121" s="3" t="s">
        <v>18</v>
      </c>
      <c r="E121" s="3" t="s">
        <v>21</v>
      </c>
      <c r="F121" s="3">
        <f>IF(D121="Urban",1,0)</f>
        <v>1</v>
      </c>
      <c r="G121" s="3">
        <v>14937</v>
      </c>
      <c r="H121" s="3">
        <v>9</v>
      </c>
      <c r="I121" s="3">
        <v>56260</v>
      </c>
      <c r="J121" s="3">
        <f>IF(E121="Cold",1,0)</f>
        <v>0</v>
      </c>
      <c r="K121" s="3">
        <f>IF(E121="Hot",1,0)</f>
        <v>1</v>
      </c>
      <c r="L121" s="3">
        <v>2245</v>
      </c>
      <c r="M121" s="3">
        <v>56</v>
      </c>
      <c r="N121" s="4">
        <v>44407</v>
      </c>
      <c r="O121" s="10">
        <v>402737.68420000002</v>
      </c>
      <c r="P121" s="1">
        <f>$C$3+F121*$C$4+H121*$C$6+J121*$C$8+K121*$C$9+L121*$C$10+M121*$C$11</f>
        <v>365052.35829210485</v>
      </c>
      <c r="Q121" s="1">
        <f>(O121-P121)/O121</f>
        <v>9.3572882266414859E-2</v>
      </c>
      <c r="R121" s="1"/>
      <c r="S121" s="1"/>
    </row>
    <row r="122" spans="1:19" x14ac:dyDescent="0.3">
      <c r="A122" s="2">
        <v>961</v>
      </c>
      <c r="B122" s="3" t="s">
        <v>24</v>
      </c>
      <c r="C122" s="3" t="s">
        <v>134</v>
      </c>
      <c r="D122" s="3" t="s">
        <v>18</v>
      </c>
      <c r="E122" s="3" t="s">
        <v>21</v>
      </c>
      <c r="F122" s="3">
        <f>IF(D122="Urban",1,0)</f>
        <v>1</v>
      </c>
      <c r="G122" s="3">
        <v>27386</v>
      </c>
      <c r="H122" s="3">
        <v>7</v>
      </c>
      <c r="I122" s="3">
        <v>54598</v>
      </c>
      <c r="J122" s="3">
        <f>IF(E122="Cold",1,0)</f>
        <v>0</v>
      </c>
      <c r="K122" s="3">
        <f>IF(E122="Hot",1,0)</f>
        <v>1</v>
      </c>
      <c r="L122" s="3">
        <v>1363</v>
      </c>
      <c r="M122" s="3">
        <v>34</v>
      </c>
      <c r="N122" s="4">
        <v>45332</v>
      </c>
      <c r="O122" s="10">
        <v>377831.66119999997</v>
      </c>
      <c r="P122" s="1">
        <f>$C$3+F122*$C$4+H122*$C$6+J122*$C$8+K122*$C$9+L122*$C$10+M122*$C$11</f>
        <v>342569.37417784909</v>
      </c>
      <c r="Q122" s="1">
        <f>(O122-P122)/O122</f>
        <v>9.3328036380427304E-2</v>
      </c>
      <c r="R122" s="1"/>
      <c r="S122" s="1"/>
    </row>
    <row r="123" spans="1:19" x14ac:dyDescent="0.3">
      <c r="A123" s="2">
        <v>915</v>
      </c>
      <c r="B123" s="3" t="s">
        <v>16</v>
      </c>
      <c r="C123" s="3" t="s">
        <v>87</v>
      </c>
      <c r="D123" s="3" t="s">
        <v>14</v>
      </c>
      <c r="E123" s="3" t="s">
        <v>23</v>
      </c>
      <c r="F123" s="3">
        <f>IF(D123="Urban",1,0)</f>
        <v>0</v>
      </c>
      <c r="G123" s="3">
        <v>23529</v>
      </c>
      <c r="H123" s="3">
        <v>8</v>
      </c>
      <c r="I123" s="3">
        <v>85954</v>
      </c>
      <c r="J123" s="3">
        <f>IF(E123="Cold",1,0)</f>
        <v>0</v>
      </c>
      <c r="K123" s="3">
        <f>IF(E123="Hot",1,0)</f>
        <v>0</v>
      </c>
      <c r="L123" s="3">
        <v>1764</v>
      </c>
      <c r="M123" s="3">
        <v>40</v>
      </c>
      <c r="N123" s="4">
        <v>45079</v>
      </c>
      <c r="O123" s="10">
        <v>336885.51419999998</v>
      </c>
      <c r="P123" s="1">
        <f>$C$3+F123*$C$4+H123*$C$6+J123*$C$8+K123*$C$9+L123*$C$10+M123*$C$11</f>
        <v>305468.89284596033</v>
      </c>
      <c r="Q123" s="1">
        <f>(O123-P123)/O123</f>
        <v>9.3256076707971564E-2</v>
      </c>
      <c r="R123" s="1"/>
      <c r="S123" s="1"/>
    </row>
    <row r="124" spans="1:19" x14ac:dyDescent="0.3">
      <c r="A124" s="2">
        <v>288</v>
      </c>
      <c r="B124" s="3" t="s">
        <v>19</v>
      </c>
      <c r="C124" s="3" t="s">
        <v>130</v>
      </c>
      <c r="D124" s="3" t="s">
        <v>14</v>
      </c>
      <c r="E124" s="3" t="s">
        <v>15</v>
      </c>
      <c r="F124" s="3">
        <f>IF(D124="Urban",1,0)</f>
        <v>0</v>
      </c>
      <c r="G124" s="3">
        <v>29183</v>
      </c>
      <c r="H124" s="3">
        <v>1</v>
      </c>
      <c r="I124" s="3">
        <v>91510</v>
      </c>
      <c r="J124" s="3">
        <f>IF(E124="Cold",1,0)</f>
        <v>1</v>
      </c>
      <c r="K124" s="3">
        <f>IF(E124="Hot",1,0)</f>
        <v>0</v>
      </c>
      <c r="L124" s="3">
        <v>1429</v>
      </c>
      <c r="M124" s="3">
        <v>99</v>
      </c>
      <c r="N124" s="4">
        <v>45230</v>
      </c>
      <c r="O124" s="10">
        <v>335988.98249999998</v>
      </c>
      <c r="P124" s="1">
        <f>$C$3+F124*$C$4+H124*$C$6+J124*$C$8+K124*$C$9+L124*$C$10+M124*$C$11</f>
        <v>304682.02612489741</v>
      </c>
      <c r="Q124" s="1">
        <f>(O124-P124)/O124</f>
        <v>9.317852074242515E-2</v>
      </c>
      <c r="R124" s="1"/>
      <c r="S124" s="1"/>
    </row>
    <row r="125" spans="1:19" x14ac:dyDescent="0.3">
      <c r="A125" s="2">
        <v>469</v>
      </c>
      <c r="B125" s="3" t="s">
        <v>31</v>
      </c>
      <c r="C125" s="3" t="s">
        <v>186</v>
      </c>
      <c r="D125" s="3" t="s">
        <v>14</v>
      </c>
      <c r="E125" s="3" t="s">
        <v>15</v>
      </c>
      <c r="F125" s="3">
        <f>IF(D125="Urban",1,0)</f>
        <v>0</v>
      </c>
      <c r="G125" s="3">
        <v>26413</v>
      </c>
      <c r="H125" s="3">
        <v>9</v>
      </c>
      <c r="I125" s="3">
        <v>66561</v>
      </c>
      <c r="J125" s="3">
        <f>IF(E125="Cold",1,0)</f>
        <v>1</v>
      </c>
      <c r="K125" s="3">
        <f>IF(E125="Hot",1,0)</f>
        <v>0</v>
      </c>
      <c r="L125" s="3">
        <v>1496</v>
      </c>
      <c r="M125" s="3">
        <v>99</v>
      </c>
      <c r="N125" s="4">
        <v>45483</v>
      </c>
      <c r="O125" s="10">
        <v>329077.78570000001</v>
      </c>
      <c r="P125" s="1">
        <f>$C$3+F125*$C$4+H125*$C$6+J125*$C$8+K125*$C$9+L125*$C$10+M125*$C$11</f>
        <v>298418.36728586373</v>
      </c>
      <c r="Q125" s="1">
        <f>(O125-P125)/O125</f>
        <v>9.3167693920508471E-2</v>
      </c>
      <c r="R125" s="1"/>
      <c r="S125" s="1"/>
    </row>
    <row r="126" spans="1:19" x14ac:dyDescent="0.3">
      <c r="A126" s="2">
        <v>896</v>
      </c>
      <c r="B126" s="3" t="s">
        <v>35</v>
      </c>
      <c r="C126" s="3" t="s">
        <v>150</v>
      </c>
      <c r="D126" s="3" t="s">
        <v>14</v>
      </c>
      <c r="E126" s="3" t="s">
        <v>15</v>
      </c>
      <c r="F126" s="3">
        <f>IF(D126="Urban",1,0)</f>
        <v>0</v>
      </c>
      <c r="G126" s="3">
        <v>13082</v>
      </c>
      <c r="H126" s="3">
        <v>2</v>
      </c>
      <c r="I126" s="3">
        <v>95625</v>
      </c>
      <c r="J126" s="3">
        <f>IF(E126="Cold",1,0)</f>
        <v>1</v>
      </c>
      <c r="K126" s="3">
        <f>IF(E126="Hot",1,0)</f>
        <v>0</v>
      </c>
      <c r="L126" s="3">
        <v>1123</v>
      </c>
      <c r="M126" s="3">
        <v>22</v>
      </c>
      <c r="N126" s="4">
        <v>44580</v>
      </c>
      <c r="O126" s="10">
        <v>301794.06929999997</v>
      </c>
      <c r="P126" s="1">
        <f>$C$3+F126*$C$4+H126*$C$6+J126*$C$8+K126*$C$9+L126*$C$10+M126*$C$11</f>
        <v>273891.35844023706</v>
      </c>
      <c r="Q126" s="1">
        <f>(O126-P126)/O126</f>
        <v>9.2456127201181265E-2</v>
      </c>
      <c r="R126" s="1"/>
      <c r="S126" s="1"/>
    </row>
    <row r="127" spans="1:19" x14ac:dyDescent="0.3">
      <c r="A127" s="2">
        <v>351</v>
      </c>
      <c r="B127" s="3" t="s">
        <v>44</v>
      </c>
      <c r="C127" s="3" t="s">
        <v>111</v>
      </c>
      <c r="D127" s="3" t="s">
        <v>14</v>
      </c>
      <c r="E127" s="3" t="s">
        <v>21</v>
      </c>
      <c r="F127" s="3">
        <f>IF(D127="Urban",1,0)</f>
        <v>0</v>
      </c>
      <c r="G127" s="3">
        <v>23189</v>
      </c>
      <c r="H127" s="3">
        <v>0</v>
      </c>
      <c r="I127" s="3">
        <v>62261</v>
      </c>
      <c r="J127" s="3">
        <f>IF(E127="Cold",1,0)</f>
        <v>0</v>
      </c>
      <c r="K127" s="3">
        <f>IF(E127="Hot",1,0)</f>
        <v>1</v>
      </c>
      <c r="L127" s="3">
        <v>1481</v>
      </c>
      <c r="M127" s="3">
        <v>46</v>
      </c>
      <c r="N127" s="4">
        <v>44253</v>
      </c>
      <c r="O127" s="10">
        <v>342161.8933</v>
      </c>
      <c r="P127" s="1">
        <f>$C$3+F127*$C$4+H127*$C$6+J127*$C$8+K127*$C$9+L127*$C$10+M127*$C$11</f>
        <v>310555.52028860728</v>
      </c>
      <c r="Q127" s="1">
        <f>(O127-P127)/O127</f>
        <v>9.2372568746809408E-2</v>
      </c>
      <c r="R127" s="1"/>
      <c r="S127" s="1"/>
    </row>
    <row r="128" spans="1:19" x14ac:dyDescent="0.3">
      <c r="A128" s="2">
        <v>734</v>
      </c>
      <c r="B128" s="3" t="s">
        <v>55</v>
      </c>
      <c r="C128" s="3" t="s">
        <v>105</v>
      </c>
      <c r="D128" s="3" t="s">
        <v>18</v>
      </c>
      <c r="E128" s="3" t="s">
        <v>23</v>
      </c>
      <c r="F128" s="3">
        <f>IF(D128="Urban",1,0)</f>
        <v>1</v>
      </c>
      <c r="G128" s="3">
        <v>27282</v>
      </c>
      <c r="H128" s="3">
        <v>9</v>
      </c>
      <c r="I128" s="3">
        <v>62994</v>
      </c>
      <c r="J128" s="3">
        <f>IF(E128="Cold",1,0)</f>
        <v>0</v>
      </c>
      <c r="K128" s="3">
        <f>IF(E128="Hot",1,0)</f>
        <v>0</v>
      </c>
      <c r="L128" s="3">
        <v>1280</v>
      </c>
      <c r="M128" s="3">
        <v>50</v>
      </c>
      <c r="N128" s="4">
        <v>44404</v>
      </c>
      <c r="O128" s="10">
        <v>377473.22200000001</v>
      </c>
      <c r="P128" s="1">
        <f>$C$3+F128*$C$4+H128*$C$6+J128*$C$8+K128*$C$9+L128*$C$10+M128*$C$11</f>
        <v>342660.11283160467</v>
      </c>
      <c r="Q128" s="1">
        <f>(O128-P128)/O128</f>
        <v>9.2226698847515443E-2</v>
      </c>
      <c r="R128" s="1"/>
      <c r="S128" s="1"/>
    </row>
    <row r="129" spans="1:19" x14ac:dyDescent="0.3">
      <c r="A129" s="2">
        <v>184</v>
      </c>
      <c r="B129" s="3" t="s">
        <v>55</v>
      </c>
      <c r="C129" s="3" t="s">
        <v>56</v>
      </c>
      <c r="D129" s="3" t="s">
        <v>14</v>
      </c>
      <c r="E129" s="3" t="s">
        <v>21</v>
      </c>
      <c r="F129" s="3">
        <f>IF(D129="Urban",1,0)</f>
        <v>0</v>
      </c>
      <c r="G129" s="3">
        <v>22475</v>
      </c>
      <c r="H129" s="3">
        <v>5</v>
      </c>
      <c r="I129" s="3">
        <v>91944</v>
      </c>
      <c r="J129" s="3">
        <f>IF(E129="Cold",1,0)</f>
        <v>0</v>
      </c>
      <c r="K129" s="3">
        <f>IF(E129="Hot",1,0)</f>
        <v>1</v>
      </c>
      <c r="L129" s="3">
        <v>2586</v>
      </c>
      <c r="M129" s="3">
        <v>94</v>
      </c>
      <c r="N129" s="4">
        <v>45473</v>
      </c>
      <c r="O129" s="10">
        <v>377416.14189999999</v>
      </c>
      <c r="P129" s="1">
        <f>$C$3+F129*$C$4+H129*$C$6+J129*$C$8+K129*$C$9+L129*$C$10+M129*$C$11</f>
        <v>342652.6145934969</v>
      </c>
      <c r="Q129" s="1">
        <f>(O129-P129)/O129</f>
        <v>9.2109275272370367E-2</v>
      </c>
      <c r="R129" s="1"/>
      <c r="S129" s="1"/>
    </row>
    <row r="130" spans="1:19" x14ac:dyDescent="0.3">
      <c r="A130" s="2">
        <v>18</v>
      </c>
      <c r="B130" s="3" t="s">
        <v>12</v>
      </c>
      <c r="C130" s="3" t="s">
        <v>47</v>
      </c>
      <c r="D130" s="3" t="s">
        <v>14</v>
      </c>
      <c r="E130" s="3" t="s">
        <v>21</v>
      </c>
      <c r="F130" s="3">
        <f>IF(D130="Urban",1,0)</f>
        <v>0</v>
      </c>
      <c r="G130" s="3">
        <v>26084</v>
      </c>
      <c r="H130" s="3">
        <v>7</v>
      </c>
      <c r="I130" s="3">
        <v>70353</v>
      </c>
      <c r="J130" s="3">
        <f>IF(E130="Cold",1,0)</f>
        <v>0</v>
      </c>
      <c r="K130" s="3">
        <f>IF(E130="Hot",1,0)</f>
        <v>1</v>
      </c>
      <c r="L130" s="3">
        <v>2433</v>
      </c>
      <c r="M130" s="3">
        <v>28</v>
      </c>
      <c r="N130" s="4">
        <v>44573</v>
      </c>
      <c r="O130" s="10">
        <v>349511.96399999998</v>
      </c>
      <c r="P130" s="1">
        <f>$C$3+F130*$C$4+H130*$C$6+J130*$C$8+K130*$C$9+L130*$C$10+M130*$C$11</f>
        <v>317355.80836919608</v>
      </c>
      <c r="Q130" s="1">
        <f>(O130-P130)/O130</f>
        <v>9.2003018331023145E-2</v>
      </c>
      <c r="R130" s="1"/>
      <c r="S130" s="1"/>
    </row>
    <row r="131" spans="1:19" x14ac:dyDescent="0.3">
      <c r="A131" s="2">
        <v>121</v>
      </c>
      <c r="B131" s="3" t="s">
        <v>55</v>
      </c>
      <c r="C131" s="3" t="s">
        <v>56</v>
      </c>
      <c r="D131" s="3" t="s">
        <v>18</v>
      </c>
      <c r="E131" s="3" t="s">
        <v>21</v>
      </c>
      <c r="F131" s="3">
        <f>IF(D131="Urban",1,0)</f>
        <v>1</v>
      </c>
      <c r="G131" s="3">
        <v>18358</v>
      </c>
      <c r="H131" s="3">
        <v>8</v>
      </c>
      <c r="I131" s="3">
        <v>76390</v>
      </c>
      <c r="J131" s="3">
        <f>IF(E131="Cold",1,0)</f>
        <v>0</v>
      </c>
      <c r="K131" s="3">
        <f>IF(E131="Hot",1,0)</f>
        <v>1</v>
      </c>
      <c r="L131" s="3">
        <v>1410</v>
      </c>
      <c r="M131" s="3">
        <v>57</v>
      </c>
      <c r="N131" s="4">
        <v>45449</v>
      </c>
      <c r="O131" s="10">
        <v>385068.58069999999</v>
      </c>
      <c r="P131" s="1">
        <f>$C$3+F131*$C$4+H131*$C$6+J131*$C$8+K131*$C$9+L131*$C$10+M131*$C$11</f>
        <v>349646.54865870788</v>
      </c>
      <c r="Q131" s="1">
        <f>(O131-P131)/O131</f>
        <v>9.1988891892711394E-2</v>
      </c>
      <c r="R131" s="1"/>
      <c r="S131" s="1"/>
    </row>
    <row r="132" spans="1:19" x14ac:dyDescent="0.3">
      <c r="A132" s="2">
        <v>772</v>
      </c>
      <c r="B132" s="3" t="s">
        <v>29</v>
      </c>
      <c r="C132" s="3" t="s">
        <v>164</v>
      </c>
      <c r="D132" s="3" t="s">
        <v>18</v>
      </c>
      <c r="E132" s="3" t="s">
        <v>21</v>
      </c>
      <c r="F132" s="3">
        <f>IF(D132="Urban",1,0)</f>
        <v>1</v>
      </c>
      <c r="G132" s="3">
        <v>8750</v>
      </c>
      <c r="H132" s="3">
        <v>4</v>
      </c>
      <c r="I132" s="3">
        <v>90811</v>
      </c>
      <c r="J132" s="3">
        <f>IF(E132="Cold",1,0)</f>
        <v>0</v>
      </c>
      <c r="K132" s="3">
        <f>IF(E132="Hot",1,0)</f>
        <v>1</v>
      </c>
      <c r="L132" s="3">
        <v>1152</v>
      </c>
      <c r="M132" s="3">
        <v>76</v>
      </c>
      <c r="N132" s="4">
        <v>45375</v>
      </c>
      <c r="O132" s="10">
        <v>390012.43060000002</v>
      </c>
      <c r="P132" s="1">
        <f>$C$3+F132*$C$4+H132*$C$6+J132*$C$8+K132*$C$9+L132*$C$10+M132*$C$11</f>
        <v>354154.39082196594</v>
      </c>
      <c r="Q132" s="1">
        <f>(O132-P132)/O132</f>
        <v>9.1940761280017741E-2</v>
      </c>
      <c r="R132" s="1"/>
      <c r="S132" s="1"/>
    </row>
    <row r="133" spans="1:19" x14ac:dyDescent="0.3">
      <c r="A133" s="2">
        <v>302</v>
      </c>
      <c r="B133" s="3" t="s">
        <v>57</v>
      </c>
      <c r="C133" s="3" t="s">
        <v>67</v>
      </c>
      <c r="D133" s="3" t="s">
        <v>18</v>
      </c>
      <c r="E133" s="3" t="s">
        <v>21</v>
      </c>
      <c r="F133" s="3">
        <f>IF(D133="Urban",1,0)</f>
        <v>1</v>
      </c>
      <c r="G133" s="3">
        <v>26674</v>
      </c>
      <c r="H133" s="3">
        <v>0</v>
      </c>
      <c r="I133" s="3">
        <v>63952</v>
      </c>
      <c r="J133" s="3">
        <f>IF(E133="Cold",1,0)</f>
        <v>0</v>
      </c>
      <c r="K133" s="3">
        <f>IF(E133="Hot",1,0)</f>
        <v>1</v>
      </c>
      <c r="L133" s="3">
        <v>1294</v>
      </c>
      <c r="M133" s="3">
        <v>59</v>
      </c>
      <c r="N133" s="4">
        <v>44236</v>
      </c>
      <c r="O133" s="10">
        <v>391499.18609999999</v>
      </c>
      <c r="P133" s="1">
        <f>$C$3+F133*$C$4+H133*$C$6+J133*$C$8+K133*$C$9+L133*$C$10+M133*$C$11</f>
        <v>355548.77207975043</v>
      </c>
      <c r="Q133" s="1">
        <f>(O133-P133)/O133</f>
        <v>9.1827557493483036E-2</v>
      </c>
      <c r="R133" s="1"/>
      <c r="S133" s="1"/>
    </row>
    <row r="134" spans="1:19" x14ac:dyDescent="0.3">
      <c r="A134" s="2">
        <v>445</v>
      </c>
      <c r="B134" s="3" t="s">
        <v>19</v>
      </c>
      <c r="C134" s="3" t="s">
        <v>179</v>
      </c>
      <c r="D134" s="3" t="s">
        <v>14</v>
      </c>
      <c r="E134" s="3" t="s">
        <v>15</v>
      </c>
      <c r="F134" s="3">
        <f>IF(D134="Urban",1,0)</f>
        <v>0</v>
      </c>
      <c r="G134" s="3">
        <v>12373</v>
      </c>
      <c r="H134" s="3">
        <v>9</v>
      </c>
      <c r="I134" s="3">
        <v>66646</v>
      </c>
      <c r="J134" s="3">
        <f>IF(E134="Cold",1,0)</f>
        <v>1</v>
      </c>
      <c r="K134" s="3">
        <f>IF(E134="Hot",1,0)</f>
        <v>0</v>
      </c>
      <c r="L134" s="3">
        <v>1485</v>
      </c>
      <c r="M134" s="3">
        <v>83</v>
      </c>
      <c r="N134" s="4">
        <v>44854</v>
      </c>
      <c r="O134" s="10">
        <v>322842.15289999999</v>
      </c>
      <c r="P134" s="1">
        <f>$C$3+F134*$C$4+H134*$C$6+J134*$C$8+K134*$C$9+L134*$C$10+M134*$C$11</f>
        <v>293267.1592044537</v>
      </c>
      <c r="Q134" s="1">
        <f>(O134-P134)/O134</f>
        <v>9.1608216058164854E-2</v>
      </c>
      <c r="R134" s="1"/>
      <c r="S134" s="1"/>
    </row>
    <row r="135" spans="1:19" x14ac:dyDescent="0.3">
      <c r="A135" s="2">
        <v>248</v>
      </c>
      <c r="B135" s="3" t="s">
        <v>55</v>
      </c>
      <c r="C135" s="3" t="s">
        <v>98</v>
      </c>
      <c r="D135" s="3" t="s">
        <v>14</v>
      </c>
      <c r="E135" s="3" t="s">
        <v>15</v>
      </c>
      <c r="F135" s="3">
        <f>IF(D135="Urban",1,0)</f>
        <v>0</v>
      </c>
      <c r="G135" s="3">
        <v>14249</v>
      </c>
      <c r="H135" s="3">
        <v>6</v>
      </c>
      <c r="I135" s="3">
        <v>76428</v>
      </c>
      <c r="J135" s="3">
        <f>IF(E135="Cold",1,0)</f>
        <v>1</v>
      </c>
      <c r="K135" s="3">
        <f>IF(E135="Hot",1,0)</f>
        <v>0</v>
      </c>
      <c r="L135" s="3">
        <v>1167</v>
      </c>
      <c r="M135" s="3">
        <v>81</v>
      </c>
      <c r="N135" s="4">
        <v>44303</v>
      </c>
      <c r="O135" s="10">
        <v>318307.56449999998</v>
      </c>
      <c r="P135" s="1">
        <f>$C$3+F135*$C$4+H135*$C$6+J135*$C$8+K135*$C$9+L135*$C$10+M135*$C$11</f>
        <v>289154.64998475538</v>
      </c>
      <c r="Q135" s="1">
        <f>(O135-P135)/O135</f>
        <v>9.1587250089510838E-2</v>
      </c>
      <c r="R135" s="1"/>
      <c r="S135" s="1"/>
    </row>
    <row r="136" spans="1:19" x14ac:dyDescent="0.3">
      <c r="A136" s="2">
        <v>164</v>
      </c>
      <c r="B136" s="3" t="s">
        <v>72</v>
      </c>
      <c r="C136" s="3" t="s">
        <v>145</v>
      </c>
      <c r="D136" s="3" t="s">
        <v>18</v>
      </c>
      <c r="E136" s="3" t="s">
        <v>23</v>
      </c>
      <c r="F136" s="3">
        <f>IF(D136="Urban",1,0)</f>
        <v>1</v>
      </c>
      <c r="G136" s="3">
        <v>20785</v>
      </c>
      <c r="H136" s="3">
        <v>8</v>
      </c>
      <c r="I136" s="3">
        <v>68821</v>
      </c>
      <c r="J136" s="3">
        <f>IF(E136="Cold",1,0)</f>
        <v>0</v>
      </c>
      <c r="K136" s="3">
        <f>IF(E136="Hot",1,0)</f>
        <v>0</v>
      </c>
      <c r="L136" s="3">
        <v>1186</v>
      </c>
      <c r="M136" s="3">
        <v>22</v>
      </c>
      <c r="N136" s="4">
        <v>44867</v>
      </c>
      <c r="O136" s="10">
        <v>366647.84409999999</v>
      </c>
      <c r="P136" s="1">
        <f>$C$3+F136*$C$4+H136*$C$6+J136*$C$8+K136*$C$9+L136*$C$10+M136*$C$11</f>
        <v>333103.80680491735</v>
      </c>
      <c r="Q136" s="1">
        <f>(O136-P136)/O136</f>
        <v>9.1488434569749713E-2</v>
      </c>
      <c r="R136" s="1"/>
      <c r="S136" s="1"/>
    </row>
    <row r="137" spans="1:19" x14ac:dyDescent="0.3">
      <c r="A137" s="2">
        <v>551</v>
      </c>
      <c r="B137" s="3" t="s">
        <v>37</v>
      </c>
      <c r="C137" s="3" t="s">
        <v>127</v>
      </c>
      <c r="D137" s="3" t="s">
        <v>18</v>
      </c>
      <c r="E137" s="3" t="s">
        <v>23</v>
      </c>
      <c r="F137" s="3">
        <f>IF(D137="Urban",1,0)</f>
        <v>1</v>
      </c>
      <c r="G137" s="3">
        <v>27584</v>
      </c>
      <c r="H137" s="3">
        <v>9</v>
      </c>
      <c r="I137" s="3">
        <v>88044</v>
      </c>
      <c r="J137" s="3">
        <f>IF(E137="Cold",1,0)</f>
        <v>0</v>
      </c>
      <c r="K137" s="3">
        <f>IF(E137="Hot",1,0)</f>
        <v>0</v>
      </c>
      <c r="L137" s="3">
        <v>2895</v>
      </c>
      <c r="M137" s="3">
        <v>61</v>
      </c>
      <c r="N137" s="4">
        <v>45058</v>
      </c>
      <c r="O137" s="10">
        <v>416331.26750000002</v>
      </c>
      <c r="P137" s="1">
        <f>$C$3+F137*$C$4+H137*$C$6+J137*$C$8+K137*$C$9+L137*$C$10+M137*$C$11</f>
        <v>378281.28004518815</v>
      </c>
      <c r="Q137" s="1">
        <f>(O137-P137)/O137</f>
        <v>9.1393537850989942E-2</v>
      </c>
      <c r="R137" s="1"/>
      <c r="S137" s="1"/>
    </row>
    <row r="138" spans="1:19" x14ac:dyDescent="0.3">
      <c r="A138" s="2">
        <v>33</v>
      </c>
      <c r="B138" s="3" t="s">
        <v>35</v>
      </c>
      <c r="C138" s="3" t="s">
        <v>62</v>
      </c>
      <c r="D138" s="3" t="s">
        <v>14</v>
      </c>
      <c r="E138" s="3" t="s">
        <v>21</v>
      </c>
      <c r="F138" s="3">
        <f>IF(D138="Urban",1,0)</f>
        <v>0</v>
      </c>
      <c r="G138" s="3">
        <v>25097</v>
      </c>
      <c r="H138" s="3">
        <v>3</v>
      </c>
      <c r="I138" s="3">
        <v>93528</v>
      </c>
      <c r="J138" s="3">
        <f>IF(E138="Cold",1,0)</f>
        <v>0</v>
      </c>
      <c r="K138" s="3">
        <f>IF(E138="Hot",1,0)</f>
        <v>1</v>
      </c>
      <c r="L138" s="3">
        <v>1731</v>
      </c>
      <c r="M138" s="3">
        <v>24</v>
      </c>
      <c r="N138" s="4">
        <v>44052</v>
      </c>
      <c r="O138" s="10">
        <v>336629.54810000001</v>
      </c>
      <c r="P138" s="1">
        <f>$C$3+F138*$C$4+H138*$C$6+J138*$C$8+K138*$C$9+L138*$C$10+M138*$C$11</f>
        <v>305913.42927600443</v>
      </c>
      <c r="Q138" s="1">
        <f>(O138-P138)/O138</f>
        <v>9.124605667376226E-2</v>
      </c>
      <c r="R138" s="1"/>
      <c r="S138" s="1"/>
    </row>
    <row r="139" spans="1:19" x14ac:dyDescent="0.3">
      <c r="A139" s="2">
        <v>577</v>
      </c>
      <c r="B139" s="3" t="s">
        <v>122</v>
      </c>
      <c r="C139" s="3" t="s">
        <v>98</v>
      </c>
      <c r="D139" s="3" t="s">
        <v>18</v>
      </c>
      <c r="E139" s="3" t="s">
        <v>21</v>
      </c>
      <c r="F139" s="3">
        <f>IF(D139="Urban",1,0)</f>
        <v>1</v>
      </c>
      <c r="G139" s="3">
        <v>932</v>
      </c>
      <c r="H139" s="3">
        <v>0</v>
      </c>
      <c r="I139" s="3">
        <v>87509</v>
      </c>
      <c r="J139" s="3">
        <f>IF(E139="Cold",1,0)</f>
        <v>0</v>
      </c>
      <c r="K139" s="3">
        <f>IF(E139="Hot",1,0)</f>
        <v>1</v>
      </c>
      <c r="L139" s="3">
        <v>1347</v>
      </c>
      <c r="M139" s="3">
        <v>73</v>
      </c>
      <c r="N139" s="4">
        <v>44023</v>
      </c>
      <c r="O139" s="10">
        <v>396993.4535</v>
      </c>
      <c r="P139" s="1">
        <f>$C$3+F139*$C$4+H139*$C$6+J139*$C$8+K139*$C$9+L139*$C$10+M139*$C$11</f>
        <v>360921.71622436907</v>
      </c>
      <c r="Q139" s="1">
        <f>(O139-P139)/O139</f>
        <v>9.086229749536899E-2</v>
      </c>
      <c r="R139" s="1"/>
      <c r="S139" s="1"/>
    </row>
    <row r="140" spans="1:19" x14ac:dyDescent="0.3">
      <c r="A140" s="2">
        <v>820</v>
      </c>
      <c r="B140" s="3" t="s">
        <v>57</v>
      </c>
      <c r="C140" s="3" t="s">
        <v>215</v>
      </c>
      <c r="D140" s="3" t="s">
        <v>14</v>
      </c>
      <c r="E140" s="3" t="s">
        <v>23</v>
      </c>
      <c r="F140" s="3">
        <f>IF(D140="Urban",1,0)</f>
        <v>0</v>
      </c>
      <c r="G140" s="3">
        <v>23084</v>
      </c>
      <c r="H140" s="3">
        <v>5</v>
      </c>
      <c r="I140" s="3">
        <v>93967</v>
      </c>
      <c r="J140" s="3">
        <f>IF(E140="Cold",1,0)</f>
        <v>0</v>
      </c>
      <c r="K140" s="3">
        <f>IF(E140="Hot",1,0)</f>
        <v>0</v>
      </c>
      <c r="L140" s="3">
        <v>2859</v>
      </c>
      <c r="M140" s="3">
        <v>75</v>
      </c>
      <c r="N140" s="4">
        <v>45207</v>
      </c>
      <c r="O140" s="10">
        <v>375035.16440000001</v>
      </c>
      <c r="P140" s="1">
        <f>$C$3+F140*$C$4+H140*$C$6+J140*$C$8+K140*$C$9+L140*$C$10+M140*$C$11</f>
        <v>340960.20745316305</v>
      </c>
      <c r="Q140" s="1">
        <f>(O140-P140)/O140</f>
        <v>9.0858031943089335E-2</v>
      </c>
      <c r="R140" s="1"/>
      <c r="S140" s="1"/>
    </row>
    <row r="141" spans="1:19" x14ac:dyDescent="0.3">
      <c r="A141" s="2">
        <v>910</v>
      </c>
      <c r="B141" s="3" t="s">
        <v>12</v>
      </c>
      <c r="C141" s="3" t="s">
        <v>140</v>
      </c>
      <c r="D141" s="3" t="s">
        <v>14</v>
      </c>
      <c r="E141" s="3" t="s">
        <v>21</v>
      </c>
      <c r="F141" s="3">
        <f>IF(D141="Urban",1,0)</f>
        <v>0</v>
      </c>
      <c r="G141" s="3">
        <v>27335</v>
      </c>
      <c r="H141" s="3">
        <v>2</v>
      </c>
      <c r="I141" s="3">
        <v>58825</v>
      </c>
      <c r="J141" s="3">
        <f>IF(E141="Cold",1,0)</f>
        <v>0</v>
      </c>
      <c r="K141" s="3">
        <f>IF(E141="Hot",1,0)</f>
        <v>1</v>
      </c>
      <c r="L141" s="3">
        <v>2789</v>
      </c>
      <c r="M141" s="3">
        <v>88</v>
      </c>
      <c r="N141" s="4">
        <v>44017</v>
      </c>
      <c r="O141" s="10">
        <v>382377.30570000003</v>
      </c>
      <c r="P141" s="1">
        <f>$C$3+F141*$C$4+H141*$C$6+J141*$C$8+K141*$C$9+L141*$C$10+M141*$C$11</f>
        <v>347704.80864878441</v>
      </c>
      <c r="Q141" s="1">
        <f>(O141-P141)/O141</f>
        <v>9.0676137245494517E-2</v>
      </c>
      <c r="R141" s="1"/>
      <c r="S141" s="1"/>
    </row>
    <row r="142" spans="1:19" x14ac:dyDescent="0.3">
      <c r="A142" s="2">
        <v>165</v>
      </c>
      <c r="B142" s="3" t="s">
        <v>33</v>
      </c>
      <c r="C142" s="3" t="s">
        <v>79</v>
      </c>
      <c r="D142" s="3" t="s">
        <v>14</v>
      </c>
      <c r="E142" s="3" t="s">
        <v>15</v>
      </c>
      <c r="F142" s="3">
        <f>IF(D142="Urban",1,0)</f>
        <v>0</v>
      </c>
      <c r="G142" s="3">
        <v>13198</v>
      </c>
      <c r="H142" s="3">
        <v>9</v>
      </c>
      <c r="I142" s="3">
        <v>64173</v>
      </c>
      <c r="J142" s="3">
        <f>IF(E142="Cold",1,0)</f>
        <v>1</v>
      </c>
      <c r="K142" s="3">
        <f>IF(E142="Hot",1,0)</f>
        <v>0</v>
      </c>
      <c r="L142" s="3">
        <v>1082</v>
      </c>
      <c r="M142" s="3">
        <v>30</v>
      </c>
      <c r="N142" s="4">
        <v>44642</v>
      </c>
      <c r="O142" s="10">
        <v>295691.84989999997</v>
      </c>
      <c r="P142" s="1">
        <f>$C$3+F142*$C$4+H142*$C$6+J142*$C$8+K142*$C$9+L142*$C$10+M142*$C$11</f>
        <v>268888.27604371373</v>
      </c>
      <c r="Q142" s="1">
        <f>(O142-P142)/O142</f>
        <v>9.0646982205802903E-2</v>
      </c>
      <c r="R142" s="1"/>
      <c r="S142" s="1"/>
    </row>
    <row r="143" spans="1:19" x14ac:dyDescent="0.3">
      <c r="A143" s="2">
        <v>821</v>
      </c>
      <c r="B143" s="3" t="s">
        <v>53</v>
      </c>
      <c r="C143" s="3" t="s">
        <v>197</v>
      </c>
      <c r="D143" s="3" t="s">
        <v>14</v>
      </c>
      <c r="E143" s="3" t="s">
        <v>15</v>
      </c>
      <c r="F143" s="3">
        <f>IF(D143="Urban",1,0)</f>
        <v>0</v>
      </c>
      <c r="G143" s="3">
        <v>29062</v>
      </c>
      <c r="H143" s="3">
        <v>3</v>
      </c>
      <c r="I143" s="3">
        <v>84680</v>
      </c>
      <c r="J143" s="3">
        <f>IF(E143="Cold",1,0)</f>
        <v>1</v>
      </c>
      <c r="K143" s="3">
        <f>IF(E143="Hot",1,0)</f>
        <v>0</v>
      </c>
      <c r="L143" s="3">
        <v>2778</v>
      </c>
      <c r="M143" s="3">
        <v>75</v>
      </c>
      <c r="N143" s="4">
        <v>44104</v>
      </c>
      <c r="O143" s="10">
        <v>354434.8125</v>
      </c>
      <c r="P143" s="1">
        <f>$C$3+F143*$C$4+H143*$C$6+J143*$C$8+K143*$C$9+L143*$C$10+M143*$C$11</f>
        <v>322306.37140202156</v>
      </c>
      <c r="Q143" s="1">
        <f>(O143-P143)/O143</f>
        <v>9.0646967975185691E-2</v>
      </c>
      <c r="R143" s="1"/>
      <c r="S143" s="1"/>
    </row>
    <row r="144" spans="1:19" x14ac:dyDescent="0.3">
      <c r="A144" s="2">
        <v>27</v>
      </c>
      <c r="B144" s="3" t="s">
        <v>57</v>
      </c>
      <c r="C144" s="3" t="s">
        <v>58</v>
      </c>
      <c r="D144" s="3" t="s">
        <v>14</v>
      </c>
      <c r="E144" s="3" t="s">
        <v>21</v>
      </c>
      <c r="F144" s="3">
        <f>IF(D144="Urban",1,0)</f>
        <v>0</v>
      </c>
      <c r="G144" s="3">
        <v>21684</v>
      </c>
      <c r="H144" s="3">
        <v>9</v>
      </c>
      <c r="I144" s="3">
        <v>57398</v>
      </c>
      <c r="J144" s="3">
        <f>IF(E144="Cold",1,0)</f>
        <v>0</v>
      </c>
      <c r="K144" s="3">
        <f>IF(E144="Hot",1,0)</f>
        <v>1</v>
      </c>
      <c r="L144" s="3">
        <v>1251</v>
      </c>
      <c r="M144" s="3">
        <v>72</v>
      </c>
      <c r="N144" s="4">
        <v>45096</v>
      </c>
      <c r="O144" s="10">
        <v>335791.50799999997</v>
      </c>
      <c r="P144" s="1">
        <f>$C$3+F144*$C$4+H144*$C$6+J144*$C$8+K144*$C$9+L144*$C$10+M144*$C$11</f>
        <v>305428.50059363368</v>
      </c>
      <c r="Q144" s="1">
        <f>(O144-P144)/O144</f>
        <v>9.0422201523828571E-2</v>
      </c>
      <c r="R144" s="1"/>
      <c r="S144" s="1"/>
    </row>
    <row r="145" spans="1:19" x14ac:dyDescent="0.3">
      <c r="A145" s="2">
        <v>681</v>
      </c>
      <c r="B145" s="3" t="s">
        <v>29</v>
      </c>
      <c r="C145" s="3" t="s">
        <v>132</v>
      </c>
      <c r="D145" s="3" t="s">
        <v>18</v>
      </c>
      <c r="E145" s="3" t="s">
        <v>23</v>
      </c>
      <c r="F145" s="3">
        <f>IF(D145="Urban",1,0)</f>
        <v>1</v>
      </c>
      <c r="G145" s="3">
        <v>27637</v>
      </c>
      <c r="H145" s="3">
        <v>4</v>
      </c>
      <c r="I145" s="3">
        <v>59737</v>
      </c>
      <c r="J145" s="3">
        <f>IF(E145="Cold",1,0)</f>
        <v>0</v>
      </c>
      <c r="K145" s="3">
        <f>IF(E145="Hot",1,0)</f>
        <v>0</v>
      </c>
      <c r="L145" s="3">
        <v>1057</v>
      </c>
      <c r="M145" s="3">
        <v>89</v>
      </c>
      <c r="N145" s="4">
        <v>44028</v>
      </c>
      <c r="O145" s="10">
        <v>390217.3322</v>
      </c>
      <c r="P145" s="1">
        <f>$C$3+F145*$C$4+H145*$C$6+J145*$C$8+K145*$C$9+L145*$C$10+M145*$C$11</f>
        <v>354981.15007799497</v>
      </c>
      <c r="Q145" s="1">
        <f>(O145-P145)/O145</f>
        <v>9.0298864797592485E-2</v>
      </c>
      <c r="R145" s="1"/>
      <c r="S145" s="1"/>
    </row>
    <row r="146" spans="1:19" x14ac:dyDescent="0.3">
      <c r="A146" s="2">
        <v>236</v>
      </c>
      <c r="B146" s="3" t="s">
        <v>19</v>
      </c>
      <c r="C146" s="3" t="s">
        <v>60</v>
      </c>
      <c r="D146" s="3" t="s">
        <v>18</v>
      </c>
      <c r="E146" s="3" t="s">
        <v>21</v>
      </c>
      <c r="F146" s="3">
        <f>IF(D146="Urban",1,0)</f>
        <v>1</v>
      </c>
      <c r="G146" s="3">
        <v>27705</v>
      </c>
      <c r="H146" s="3">
        <v>6</v>
      </c>
      <c r="I146" s="3">
        <v>64572</v>
      </c>
      <c r="J146" s="3">
        <f>IF(E146="Cold",1,0)</f>
        <v>0</v>
      </c>
      <c r="K146" s="3">
        <f>IF(E146="Hot",1,0)</f>
        <v>1</v>
      </c>
      <c r="L146" s="3">
        <v>2758</v>
      </c>
      <c r="M146" s="3">
        <v>69</v>
      </c>
      <c r="N146" s="4">
        <v>44022</v>
      </c>
      <c r="O146" s="10">
        <v>420052.25939999998</v>
      </c>
      <c r="P146" s="1">
        <f>$C$3+F146*$C$4+H146*$C$6+J146*$C$8+K146*$C$9+L146*$C$10+M146*$C$11</f>
        <v>382147.60868131649</v>
      </c>
      <c r="Q146" s="1">
        <f>(O146-P146)/O146</f>
        <v>9.0237940328725424E-2</v>
      </c>
      <c r="R146" s="1"/>
      <c r="S146" s="1"/>
    </row>
    <row r="147" spans="1:19" x14ac:dyDescent="0.3">
      <c r="A147" s="2">
        <v>6</v>
      </c>
      <c r="B147" s="3" t="s">
        <v>28</v>
      </c>
      <c r="C147" s="3" t="s">
        <v>20</v>
      </c>
      <c r="D147" s="3" t="s">
        <v>14</v>
      </c>
      <c r="E147" s="3" t="s">
        <v>21</v>
      </c>
      <c r="F147" s="3">
        <f>IF(D147="Urban",1,0)</f>
        <v>0</v>
      </c>
      <c r="G147" s="3">
        <v>7970</v>
      </c>
      <c r="H147" s="3">
        <v>2</v>
      </c>
      <c r="I147" s="3">
        <v>64646</v>
      </c>
      <c r="J147" s="3">
        <f>IF(E147="Cold",1,0)</f>
        <v>0</v>
      </c>
      <c r="K147" s="3">
        <f>IF(E147="Hot",1,0)</f>
        <v>1</v>
      </c>
      <c r="L147" s="3">
        <v>2511</v>
      </c>
      <c r="M147" s="3">
        <v>87</v>
      </c>
      <c r="N147" s="4">
        <v>45419</v>
      </c>
      <c r="O147" s="10">
        <v>375705.26870000002</v>
      </c>
      <c r="P147" s="1">
        <f>$C$3+F147*$C$4+H147*$C$6+J147*$C$8+K147*$C$9+L147*$C$10+M147*$C$11</f>
        <v>341848.51852610492</v>
      </c>
      <c r="Q147" s="1">
        <f>(O147-P147)/O147</f>
        <v>9.0115186010153212E-2</v>
      </c>
      <c r="R147" s="1"/>
      <c r="S147" s="1"/>
    </row>
    <row r="148" spans="1:19" x14ac:dyDescent="0.3">
      <c r="A148" s="2">
        <v>670</v>
      </c>
      <c r="B148" s="3" t="s">
        <v>33</v>
      </c>
      <c r="C148" s="3" t="s">
        <v>220</v>
      </c>
      <c r="D148" s="3" t="s">
        <v>18</v>
      </c>
      <c r="E148" s="3" t="s">
        <v>23</v>
      </c>
      <c r="F148" s="3">
        <f>IF(D148="Urban",1,0)</f>
        <v>1</v>
      </c>
      <c r="G148" s="3">
        <v>28905</v>
      </c>
      <c r="H148" s="3">
        <v>7</v>
      </c>
      <c r="I148" s="3">
        <v>52932</v>
      </c>
      <c r="J148" s="3">
        <f>IF(E148="Cold",1,0)</f>
        <v>0</v>
      </c>
      <c r="K148" s="3">
        <f>IF(E148="Hot",1,0)</f>
        <v>0</v>
      </c>
      <c r="L148" s="3">
        <v>1518</v>
      </c>
      <c r="M148" s="3">
        <v>28</v>
      </c>
      <c r="N148" s="4">
        <v>43844</v>
      </c>
      <c r="O148" s="10">
        <v>376405.69579999999</v>
      </c>
      <c r="P148" s="1">
        <f>$C$3+F148*$C$4+H148*$C$6+J148*$C$8+K148*$C$9+L148*$C$10+M148*$C$11</f>
        <v>342529.02548255923</v>
      </c>
      <c r="Q148" s="1">
        <f>(O148-P148)/O148</f>
        <v>9.0000418950729286E-2</v>
      </c>
      <c r="R148" s="1"/>
      <c r="S148" s="1"/>
    </row>
    <row r="149" spans="1:19" x14ac:dyDescent="0.3">
      <c r="A149" s="2">
        <v>15</v>
      </c>
      <c r="B149" s="3" t="s">
        <v>28</v>
      </c>
      <c r="C149" s="3" t="s">
        <v>43</v>
      </c>
      <c r="D149" s="3" t="s">
        <v>14</v>
      </c>
      <c r="E149" s="3" t="s">
        <v>23</v>
      </c>
      <c r="F149" s="3">
        <f>IF(D149="Urban",1,0)</f>
        <v>0</v>
      </c>
      <c r="G149" s="3">
        <v>22069</v>
      </c>
      <c r="H149" s="3">
        <v>2</v>
      </c>
      <c r="I149" s="3">
        <v>96888</v>
      </c>
      <c r="J149" s="3">
        <f>IF(E149="Cold",1,0)</f>
        <v>0</v>
      </c>
      <c r="K149" s="3">
        <f>IF(E149="Hot",1,0)</f>
        <v>0</v>
      </c>
      <c r="L149" s="3">
        <v>1991</v>
      </c>
      <c r="M149" s="3">
        <v>36</v>
      </c>
      <c r="N149" s="4">
        <v>43981</v>
      </c>
      <c r="O149" s="10">
        <v>345537.11090000003</v>
      </c>
      <c r="P149" s="1">
        <f>$C$3+F149*$C$4+H149*$C$6+J149*$C$8+K149*$C$9+L149*$C$10+M149*$C$11</f>
        <v>314466.80914618558</v>
      </c>
      <c r="Q149" s="1">
        <f>(O149-P149)/O149</f>
        <v>8.9918856104594602E-2</v>
      </c>
      <c r="R149" s="1"/>
      <c r="S149" s="1"/>
    </row>
    <row r="150" spans="1:19" x14ac:dyDescent="0.3">
      <c r="A150" s="2">
        <v>42</v>
      </c>
      <c r="B150" s="3" t="s">
        <v>26</v>
      </c>
      <c r="C150" s="3" t="s">
        <v>69</v>
      </c>
      <c r="D150" s="3" t="s">
        <v>18</v>
      </c>
      <c r="E150" s="3" t="s">
        <v>15</v>
      </c>
      <c r="F150" s="3">
        <f>IF(D150="Urban",1,0)</f>
        <v>1</v>
      </c>
      <c r="G150" s="3">
        <v>20878</v>
      </c>
      <c r="H150" s="3">
        <v>1</v>
      </c>
      <c r="I150" s="3">
        <v>76030</v>
      </c>
      <c r="J150" s="3">
        <f>IF(E150="Cold",1,0)</f>
        <v>1</v>
      </c>
      <c r="K150" s="3">
        <f>IF(E150="Hot",1,0)</f>
        <v>0</v>
      </c>
      <c r="L150" s="3">
        <v>1238</v>
      </c>
      <c r="M150" s="3">
        <v>78</v>
      </c>
      <c r="N150" s="4">
        <v>45226</v>
      </c>
      <c r="O150" s="10">
        <v>372575.88089999999</v>
      </c>
      <c r="P150" s="1">
        <f>$C$3+F150*$C$4+H150*$C$6+J150*$C$8+K150*$C$9+L150*$C$10+M150*$C$11</f>
        <v>339115.62860003166</v>
      </c>
      <c r="Q150" s="1">
        <f>(O150-P150)/O150</f>
        <v>8.9807886165742215E-2</v>
      </c>
      <c r="R150" s="1"/>
      <c r="S150" s="1"/>
    </row>
    <row r="151" spans="1:19" x14ac:dyDescent="0.3">
      <c r="A151" s="2">
        <v>483</v>
      </c>
      <c r="B151" s="3" t="s">
        <v>55</v>
      </c>
      <c r="C151" s="3" t="s">
        <v>169</v>
      </c>
      <c r="D151" s="3" t="s">
        <v>14</v>
      </c>
      <c r="E151" s="3" t="s">
        <v>21</v>
      </c>
      <c r="F151" s="3">
        <f>IF(D151="Urban",1,0)</f>
        <v>0</v>
      </c>
      <c r="G151" s="3">
        <v>8536</v>
      </c>
      <c r="H151" s="3">
        <v>5</v>
      </c>
      <c r="I151" s="3">
        <v>76030</v>
      </c>
      <c r="J151" s="3">
        <f>IF(E151="Cold",1,0)</f>
        <v>0</v>
      </c>
      <c r="K151" s="3">
        <f>IF(E151="Hot",1,0)</f>
        <v>1</v>
      </c>
      <c r="L151" s="3">
        <v>2644</v>
      </c>
      <c r="M151" s="3">
        <v>56</v>
      </c>
      <c r="N151" s="4">
        <v>45296</v>
      </c>
      <c r="O151" s="10">
        <v>364840.82150000002</v>
      </c>
      <c r="P151" s="1">
        <f>$C$3+F151*$C$4+H151*$C$6+J151*$C$8+K151*$C$9+L151*$C$10+M151*$C$11</f>
        <v>332097.38228887419</v>
      </c>
      <c r="Q151" s="1">
        <f>(O151-P151)/O151</f>
        <v>8.9747191875363744E-2</v>
      </c>
      <c r="R151" s="1"/>
      <c r="S151" s="1"/>
    </row>
    <row r="152" spans="1:19" x14ac:dyDescent="0.3">
      <c r="A152" s="2">
        <v>775</v>
      </c>
      <c r="B152" s="3" t="s">
        <v>31</v>
      </c>
      <c r="C152" s="3" t="s">
        <v>146</v>
      </c>
      <c r="D152" s="3" t="s">
        <v>18</v>
      </c>
      <c r="E152" s="3" t="s">
        <v>15</v>
      </c>
      <c r="F152" s="3">
        <f>IF(D152="Urban",1,0)</f>
        <v>1</v>
      </c>
      <c r="G152" s="3">
        <v>25473</v>
      </c>
      <c r="H152" s="3">
        <v>1</v>
      </c>
      <c r="I152" s="3">
        <v>52828</v>
      </c>
      <c r="J152" s="3">
        <f>IF(E152="Cold",1,0)</f>
        <v>1</v>
      </c>
      <c r="K152" s="3">
        <f>IF(E152="Hot",1,0)</f>
        <v>0</v>
      </c>
      <c r="L152" s="3">
        <v>2854</v>
      </c>
      <c r="M152" s="3">
        <v>44</v>
      </c>
      <c r="N152" s="4">
        <v>45130</v>
      </c>
      <c r="O152" s="10">
        <v>396355.66389999999</v>
      </c>
      <c r="P152" s="1">
        <f>$C$3+F152*$C$4+H152*$C$6+J152*$C$8+K152*$C$9+L152*$C$10+M152*$C$11</f>
        <v>360886.40139084478</v>
      </c>
      <c r="Q152" s="1">
        <f>(O152-P152)/O152</f>
        <v>8.9488471440398162E-2</v>
      </c>
      <c r="R152" s="1"/>
      <c r="S152" s="1"/>
    </row>
    <row r="153" spans="1:19" x14ac:dyDescent="0.3">
      <c r="A153" s="2">
        <v>378</v>
      </c>
      <c r="B153" s="3" t="s">
        <v>29</v>
      </c>
      <c r="C153" s="3" t="s">
        <v>164</v>
      </c>
      <c r="D153" s="3" t="s">
        <v>14</v>
      </c>
      <c r="E153" s="3" t="s">
        <v>23</v>
      </c>
      <c r="F153" s="3">
        <f>IF(D153="Urban",1,0)</f>
        <v>0</v>
      </c>
      <c r="G153" s="3">
        <v>1301</v>
      </c>
      <c r="H153" s="3">
        <v>2</v>
      </c>
      <c r="I153" s="3">
        <v>60336</v>
      </c>
      <c r="J153" s="3">
        <f>IF(E153="Cold",1,0)</f>
        <v>0</v>
      </c>
      <c r="K153" s="3">
        <f>IF(E153="Hot",1,0)</f>
        <v>0</v>
      </c>
      <c r="L153" s="3">
        <v>1271</v>
      </c>
      <c r="M153" s="3">
        <v>92</v>
      </c>
      <c r="N153" s="4">
        <v>43861</v>
      </c>
      <c r="O153" s="10">
        <v>348451.3653</v>
      </c>
      <c r="P153" s="1">
        <f>$C$3+F153*$C$4+H153*$C$6+J153*$C$8+K153*$C$9+L153*$C$10+M153*$C$11</f>
        <v>317358.61448789586</v>
      </c>
      <c r="Q153" s="1">
        <f>(O153-P153)/O153</f>
        <v>8.9231249776664731E-2</v>
      </c>
      <c r="R153" s="1"/>
      <c r="S153" s="1"/>
    </row>
    <row r="154" spans="1:19" x14ac:dyDescent="0.3">
      <c r="A154" s="2">
        <v>266</v>
      </c>
      <c r="B154" s="3" t="s">
        <v>24</v>
      </c>
      <c r="C154" s="3" t="s">
        <v>39</v>
      </c>
      <c r="D154" s="3" t="s">
        <v>14</v>
      </c>
      <c r="E154" s="3" t="s">
        <v>15</v>
      </c>
      <c r="F154" s="3">
        <f>IF(D154="Urban",1,0)</f>
        <v>0</v>
      </c>
      <c r="G154" s="3">
        <v>17322</v>
      </c>
      <c r="H154" s="3">
        <v>8</v>
      </c>
      <c r="I154" s="3">
        <v>62725</v>
      </c>
      <c r="J154" s="3">
        <f>IF(E154="Cold",1,0)</f>
        <v>1</v>
      </c>
      <c r="K154" s="3">
        <f>IF(E154="Hot",1,0)</f>
        <v>0</v>
      </c>
      <c r="L154" s="3">
        <v>2475</v>
      </c>
      <c r="M154" s="3">
        <v>57</v>
      </c>
      <c r="N154" s="4">
        <v>44134</v>
      </c>
      <c r="O154" s="10">
        <v>335735.83590000001</v>
      </c>
      <c r="P154" s="1">
        <f>$C$3+F154*$C$4+H154*$C$6+J154*$C$8+K154*$C$9+L154*$C$10+M154*$C$11</f>
        <v>305960.75618386734</v>
      </c>
      <c r="Q154" s="1">
        <f>(O154-P154)/O154</f>
        <v>8.8686033876351725E-2</v>
      </c>
      <c r="R154" s="1"/>
      <c r="S154" s="1"/>
    </row>
    <row r="155" spans="1:19" x14ac:dyDescent="0.3">
      <c r="A155" s="2">
        <v>835</v>
      </c>
      <c r="B155" s="3" t="s">
        <v>24</v>
      </c>
      <c r="C155" s="3" t="s">
        <v>97</v>
      </c>
      <c r="D155" s="3" t="s">
        <v>18</v>
      </c>
      <c r="E155" s="3" t="s">
        <v>15</v>
      </c>
      <c r="F155" s="3">
        <f>IF(D155="Urban",1,0)</f>
        <v>1</v>
      </c>
      <c r="G155" s="3">
        <v>19745</v>
      </c>
      <c r="H155" s="3">
        <v>4</v>
      </c>
      <c r="I155" s="3">
        <v>63887</v>
      </c>
      <c r="J155" s="3">
        <f>IF(E155="Cold",1,0)</f>
        <v>1</v>
      </c>
      <c r="K155" s="3">
        <f>IF(E155="Hot",1,0)</f>
        <v>0</v>
      </c>
      <c r="L155" s="3">
        <v>2064</v>
      </c>
      <c r="M155" s="3">
        <v>27</v>
      </c>
      <c r="N155" s="4">
        <v>45489</v>
      </c>
      <c r="O155" s="10">
        <v>369788.39549999998</v>
      </c>
      <c r="P155" s="1">
        <f>$C$3+F155*$C$4+H155*$C$6+J155*$C$8+K155*$C$9+L155*$C$10+M155*$C$11</f>
        <v>337030.1278314066</v>
      </c>
      <c r="Q155" s="1">
        <f>(O155-P155)/O155</f>
        <v>8.858652155457751E-2</v>
      </c>
      <c r="R155" s="1"/>
      <c r="S155" s="1"/>
    </row>
    <row r="156" spans="1:19" x14ac:dyDescent="0.3">
      <c r="A156" s="2">
        <v>630</v>
      </c>
      <c r="B156" s="3" t="s">
        <v>19</v>
      </c>
      <c r="C156" s="3" t="s">
        <v>218</v>
      </c>
      <c r="D156" s="3" t="s">
        <v>14</v>
      </c>
      <c r="E156" s="3" t="s">
        <v>21</v>
      </c>
      <c r="F156" s="3">
        <f>IF(D156="Urban",1,0)</f>
        <v>0</v>
      </c>
      <c r="G156" s="3">
        <v>24663</v>
      </c>
      <c r="H156" s="3">
        <v>7</v>
      </c>
      <c r="I156" s="3">
        <v>60170</v>
      </c>
      <c r="J156" s="3">
        <f>IF(E156="Cold",1,0)</f>
        <v>0</v>
      </c>
      <c r="K156" s="3">
        <f>IF(E156="Hot",1,0)</f>
        <v>1</v>
      </c>
      <c r="L156" s="3">
        <v>1765</v>
      </c>
      <c r="M156" s="3">
        <v>94</v>
      </c>
      <c r="N156" s="4">
        <v>44430</v>
      </c>
      <c r="O156" s="10">
        <v>355872.25469999999</v>
      </c>
      <c r="P156" s="1">
        <f>$C$3+F156*$C$4+H156*$C$6+J156*$C$8+K156*$C$9+L156*$C$10+M156*$C$11</f>
        <v>324367.68067386805</v>
      </c>
      <c r="Q156" s="1">
        <f>(O156-P156)/O156</f>
        <v>8.852776132460867E-2</v>
      </c>
      <c r="R156" s="1"/>
      <c r="S156" s="1"/>
    </row>
    <row r="157" spans="1:19" x14ac:dyDescent="0.3">
      <c r="A157" s="2">
        <v>541</v>
      </c>
      <c r="B157" s="3" t="s">
        <v>33</v>
      </c>
      <c r="C157" s="3" t="s">
        <v>91</v>
      </c>
      <c r="D157" s="3" t="s">
        <v>14</v>
      </c>
      <c r="E157" s="3" t="s">
        <v>23</v>
      </c>
      <c r="F157" s="3">
        <f>IF(D157="Urban",1,0)</f>
        <v>0</v>
      </c>
      <c r="G157" s="3">
        <v>26957</v>
      </c>
      <c r="H157" s="3">
        <v>6</v>
      </c>
      <c r="I157" s="3">
        <v>90802</v>
      </c>
      <c r="J157" s="3">
        <f>IF(E157="Cold",1,0)</f>
        <v>0</v>
      </c>
      <c r="K157" s="3">
        <f>IF(E157="Hot",1,0)</f>
        <v>0</v>
      </c>
      <c r="L157" s="3">
        <v>1725</v>
      </c>
      <c r="M157" s="3">
        <v>55</v>
      </c>
      <c r="N157" s="4">
        <v>45210</v>
      </c>
      <c r="O157" s="10">
        <v>341399.71399999998</v>
      </c>
      <c r="P157" s="1">
        <f>$C$3+F157*$C$4+H157*$C$6+J157*$C$8+K157*$C$9+L157*$C$10+M157*$C$11</f>
        <v>311214.21366916824</v>
      </c>
      <c r="Q157" s="1">
        <f>(O157-P157)/O157</f>
        <v>8.8416888160696414E-2</v>
      </c>
      <c r="R157" s="1"/>
      <c r="S157" s="1"/>
    </row>
    <row r="158" spans="1:19" x14ac:dyDescent="0.3">
      <c r="A158" s="2">
        <v>98</v>
      </c>
      <c r="B158" s="3" t="s">
        <v>33</v>
      </c>
      <c r="C158" s="3" t="s">
        <v>79</v>
      </c>
      <c r="D158" s="3" t="s">
        <v>14</v>
      </c>
      <c r="E158" s="3" t="s">
        <v>15</v>
      </c>
      <c r="F158" s="3">
        <f>IF(D158="Urban",1,0)</f>
        <v>0</v>
      </c>
      <c r="G158" s="3">
        <v>2425</v>
      </c>
      <c r="H158" s="3">
        <v>3</v>
      </c>
      <c r="I158" s="3">
        <v>86242</v>
      </c>
      <c r="J158" s="3">
        <f>IF(E158="Cold",1,0)</f>
        <v>1</v>
      </c>
      <c r="K158" s="3">
        <f>IF(E158="Hot",1,0)</f>
        <v>0</v>
      </c>
      <c r="L158" s="3">
        <v>1457</v>
      </c>
      <c r="M158" s="3">
        <v>95</v>
      </c>
      <c r="N158" s="4">
        <v>44874</v>
      </c>
      <c r="O158" s="10">
        <v>331389.07010000001</v>
      </c>
      <c r="P158" s="1">
        <f>$C$3+F158*$C$4+H158*$C$6+J158*$C$8+K158*$C$9+L158*$C$10+M158*$C$11</f>
        <v>302107.70810435159</v>
      </c>
      <c r="Q158" s="1">
        <f>(O158-P158)/O158</f>
        <v>8.835946818285971E-2</v>
      </c>
      <c r="R158" s="1"/>
      <c r="S158" s="1"/>
    </row>
    <row r="159" spans="1:19" x14ac:dyDescent="0.3">
      <c r="A159" s="2">
        <v>823</v>
      </c>
      <c r="B159" s="3" t="s">
        <v>74</v>
      </c>
      <c r="C159" s="3" t="s">
        <v>113</v>
      </c>
      <c r="D159" s="3" t="s">
        <v>18</v>
      </c>
      <c r="E159" s="3" t="s">
        <v>21</v>
      </c>
      <c r="F159" s="3">
        <f>IF(D159="Urban",1,0)</f>
        <v>1</v>
      </c>
      <c r="G159" s="3">
        <v>8108</v>
      </c>
      <c r="H159" s="3">
        <v>9</v>
      </c>
      <c r="I159" s="3">
        <v>75941</v>
      </c>
      <c r="J159" s="3">
        <f>IF(E159="Cold",1,0)</f>
        <v>0</v>
      </c>
      <c r="K159" s="3">
        <f>IF(E159="Hot",1,0)</f>
        <v>1</v>
      </c>
      <c r="L159" s="3">
        <v>1492</v>
      </c>
      <c r="M159" s="3">
        <v>85</v>
      </c>
      <c r="N159" s="4">
        <v>44581</v>
      </c>
      <c r="O159" s="10">
        <v>393719.1042</v>
      </c>
      <c r="P159" s="1">
        <f>$C$3+F159*$C$4+H159*$C$6+J159*$C$8+K159*$C$9+L159*$C$10+M159*$C$11</f>
        <v>358963.37007719651</v>
      </c>
      <c r="Q159" s="1">
        <f>(O159-P159)/O159</f>
        <v>8.82754576855595E-2</v>
      </c>
      <c r="R159" s="1"/>
      <c r="S159" s="1"/>
    </row>
    <row r="160" spans="1:19" x14ac:dyDescent="0.3">
      <c r="A160" s="2">
        <v>168</v>
      </c>
      <c r="B160" s="3" t="s">
        <v>33</v>
      </c>
      <c r="C160" s="3" t="s">
        <v>92</v>
      </c>
      <c r="D160" s="3" t="s">
        <v>18</v>
      </c>
      <c r="E160" s="3" t="s">
        <v>23</v>
      </c>
      <c r="F160" s="3">
        <f>IF(D160="Urban",1,0)</f>
        <v>1</v>
      </c>
      <c r="G160" s="3">
        <v>21224</v>
      </c>
      <c r="H160" s="3">
        <v>6</v>
      </c>
      <c r="I160" s="3">
        <v>68192</v>
      </c>
      <c r="J160" s="3">
        <f>IF(E160="Cold",1,0)</f>
        <v>0</v>
      </c>
      <c r="K160" s="3">
        <f>IF(E160="Hot",1,0)</f>
        <v>0</v>
      </c>
      <c r="L160" s="3">
        <v>2366</v>
      </c>
      <c r="M160" s="3">
        <v>70</v>
      </c>
      <c r="N160" s="4">
        <v>45022</v>
      </c>
      <c r="O160" s="10">
        <v>409376.21970000002</v>
      </c>
      <c r="P160" s="1">
        <f>$C$3+F160*$C$4+H160*$C$6+J160*$C$8+K160*$C$9+L160*$C$10+M160*$C$11</f>
        <v>373348.36349150725</v>
      </c>
      <c r="Q160" s="1">
        <f>(O160-P160)/O160</f>
        <v>8.8006714788892187E-2</v>
      </c>
      <c r="R160" s="1"/>
      <c r="S160" s="1"/>
    </row>
    <row r="161" spans="1:19" x14ac:dyDescent="0.3">
      <c r="A161" s="2">
        <v>978</v>
      </c>
      <c r="B161" s="3" t="s">
        <v>72</v>
      </c>
      <c r="C161" s="3" t="s">
        <v>213</v>
      </c>
      <c r="D161" s="3" t="s">
        <v>14</v>
      </c>
      <c r="E161" s="3" t="s">
        <v>23</v>
      </c>
      <c r="F161" s="3">
        <f>IF(D161="Urban",1,0)</f>
        <v>0</v>
      </c>
      <c r="G161" s="3">
        <v>21962</v>
      </c>
      <c r="H161" s="3">
        <v>1</v>
      </c>
      <c r="I161" s="3">
        <v>77565</v>
      </c>
      <c r="J161" s="3">
        <f>IF(E161="Cold",1,0)</f>
        <v>0</v>
      </c>
      <c r="K161" s="3">
        <f>IF(E161="Hot",1,0)</f>
        <v>0</v>
      </c>
      <c r="L161" s="3">
        <v>2106</v>
      </c>
      <c r="M161" s="3">
        <v>54</v>
      </c>
      <c r="N161" s="4">
        <v>44117</v>
      </c>
      <c r="O161" s="10">
        <v>354336.14169999998</v>
      </c>
      <c r="P161" s="1">
        <f>$C$3+F161*$C$4+H161*$C$6+J161*$C$8+K161*$C$9+L161*$C$10+M161*$C$11</f>
        <v>323260.10821848898</v>
      </c>
      <c r="Q161" s="1">
        <f>(O161-P161)/O161</f>
        <v>8.7702127512077607E-2</v>
      </c>
      <c r="R161" s="1"/>
      <c r="S161" s="1"/>
    </row>
    <row r="162" spans="1:19" x14ac:dyDescent="0.3">
      <c r="A162" s="2">
        <v>794</v>
      </c>
      <c r="B162" s="3" t="s">
        <v>55</v>
      </c>
      <c r="C162" s="3" t="s">
        <v>175</v>
      </c>
      <c r="D162" s="3" t="s">
        <v>14</v>
      </c>
      <c r="E162" s="3" t="s">
        <v>21</v>
      </c>
      <c r="F162" s="3">
        <f>IF(D162="Urban",1,0)</f>
        <v>0</v>
      </c>
      <c r="G162" s="3">
        <v>11749</v>
      </c>
      <c r="H162" s="3">
        <v>3</v>
      </c>
      <c r="I162" s="3">
        <v>77422</v>
      </c>
      <c r="J162" s="3">
        <f>IF(E162="Cold",1,0)</f>
        <v>0</v>
      </c>
      <c r="K162" s="3">
        <f>IF(E162="Hot",1,0)</f>
        <v>1</v>
      </c>
      <c r="L162" s="3">
        <v>1130</v>
      </c>
      <c r="M162" s="3">
        <v>43</v>
      </c>
      <c r="N162" s="4">
        <v>45243</v>
      </c>
      <c r="O162" s="10">
        <v>328464.12599999999</v>
      </c>
      <c r="P162" s="1">
        <f>$C$3+F162*$C$4+H162*$C$6+J162*$C$8+K162*$C$9+L162*$C$10+M162*$C$11</f>
        <v>299775.61243751197</v>
      </c>
      <c r="Q162" s="1">
        <f>(O162-P162)/O162</f>
        <v>8.734139070787908E-2</v>
      </c>
      <c r="R162" s="1"/>
      <c r="S162" s="1"/>
    </row>
    <row r="163" spans="1:19" x14ac:dyDescent="0.3">
      <c r="A163" s="2">
        <v>129</v>
      </c>
      <c r="B163" s="3" t="s">
        <v>19</v>
      </c>
      <c r="C163" s="3" t="s">
        <v>129</v>
      </c>
      <c r="D163" s="3" t="s">
        <v>14</v>
      </c>
      <c r="E163" s="3" t="s">
        <v>21</v>
      </c>
      <c r="F163" s="3">
        <f>IF(D163="Urban",1,0)</f>
        <v>0</v>
      </c>
      <c r="G163" s="3">
        <v>2565</v>
      </c>
      <c r="H163" s="3">
        <v>8</v>
      </c>
      <c r="I163" s="3">
        <v>80597</v>
      </c>
      <c r="J163" s="3">
        <f>IF(E163="Cold",1,0)</f>
        <v>0</v>
      </c>
      <c r="K163" s="3">
        <f>IF(E163="Hot",1,0)</f>
        <v>1</v>
      </c>
      <c r="L163" s="3">
        <v>1097</v>
      </c>
      <c r="M163" s="3">
        <v>78</v>
      </c>
      <c r="N163" s="4">
        <v>44209</v>
      </c>
      <c r="O163" s="10">
        <v>334262.20480000001</v>
      </c>
      <c r="P163" s="1">
        <f>$C$3+F163*$C$4+H163*$C$6+J163*$C$8+K163*$C$9+L163*$C$10+M163*$C$11</f>
        <v>305154.59263922897</v>
      </c>
      <c r="Q163" s="1">
        <f>(O163-P163)/O163</f>
        <v>8.7080177605443218E-2</v>
      </c>
      <c r="R163" s="1"/>
      <c r="S163" s="1"/>
    </row>
    <row r="164" spans="1:19" x14ac:dyDescent="0.3">
      <c r="A164" s="2">
        <v>273</v>
      </c>
      <c r="B164" s="3" t="s">
        <v>33</v>
      </c>
      <c r="C164" s="3" t="s">
        <v>68</v>
      </c>
      <c r="D164" s="3" t="s">
        <v>18</v>
      </c>
      <c r="E164" s="3" t="s">
        <v>21</v>
      </c>
      <c r="F164" s="3">
        <f>IF(D164="Urban",1,0)</f>
        <v>1</v>
      </c>
      <c r="G164" s="3">
        <v>16712</v>
      </c>
      <c r="H164" s="3">
        <v>3</v>
      </c>
      <c r="I164" s="3">
        <v>66617</v>
      </c>
      <c r="J164" s="3">
        <f>IF(E164="Cold",1,0)</f>
        <v>0</v>
      </c>
      <c r="K164" s="3">
        <f>IF(E164="Hot",1,0)</f>
        <v>1</v>
      </c>
      <c r="L164" s="3">
        <v>2853</v>
      </c>
      <c r="M164" s="3">
        <v>69</v>
      </c>
      <c r="N164" s="4">
        <v>44233</v>
      </c>
      <c r="O164" s="10">
        <v>423646.56069999997</v>
      </c>
      <c r="P164" s="1">
        <f>$C$3+F164*$C$4+H164*$C$6+J164*$C$8+K164*$C$9+L164*$C$10+M164*$C$11</f>
        <v>386893.82145927637</v>
      </c>
      <c r="Q164" s="1">
        <f>(O164-P164)/O164</f>
        <v>8.6753304877528789E-2</v>
      </c>
      <c r="R164" s="1"/>
      <c r="S164" s="1"/>
    </row>
    <row r="165" spans="1:19" x14ac:dyDescent="0.3">
      <c r="A165" s="2">
        <v>395</v>
      </c>
      <c r="B165" s="3" t="s">
        <v>72</v>
      </c>
      <c r="C165" s="3" t="s">
        <v>180</v>
      </c>
      <c r="D165" s="3" t="s">
        <v>14</v>
      </c>
      <c r="E165" s="3" t="s">
        <v>21</v>
      </c>
      <c r="F165" s="3">
        <f>IF(D165="Urban",1,0)</f>
        <v>0</v>
      </c>
      <c r="G165" s="3">
        <v>29884</v>
      </c>
      <c r="H165" s="3">
        <v>3</v>
      </c>
      <c r="I165" s="3">
        <v>68480</v>
      </c>
      <c r="J165" s="3">
        <f>IF(E165="Cold",1,0)</f>
        <v>0</v>
      </c>
      <c r="K165" s="3">
        <f>IF(E165="Hot",1,0)</f>
        <v>1</v>
      </c>
      <c r="L165" s="3">
        <v>2459</v>
      </c>
      <c r="M165" s="3">
        <v>57</v>
      </c>
      <c r="N165" s="4">
        <v>44190</v>
      </c>
      <c r="O165" s="10">
        <v>362013.08659999998</v>
      </c>
      <c r="P165" s="1">
        <f>$C$3+F165*$C$4+H165*$C$6+J165*$C$8+K165*$C$9+L165*$C$10+M165*$C$11</f>
        <v>330613.75325392367</v>
      </c>
      <c r="Q165" s="1">
        <f>(O165-P165)/O165</f>
        <v>8.6735354351348229E-2</v>
      </c>
      <c r="R165" s="1"/>
      <c r="S165" s="1"/>
    </row>
    <row r="166" spans="1:19" x14ac:dyDescent="0.3">
      <c r="A166" s="2">
        <v>89</v>
      </c>
      <c r="B166" s="3" t="s">
        <v>29</v>
      </c>
      <c r="C166" s="3" t="s">
        <v>104</v>
      </c>
      <c r="D166" s="3" t="s">
        <v>14</v>
      </c>
      <c r="E166" s="3" t="s">
        <v>23</v>
      </c>
      <c r="F166" s="3">
        <f>IF(D166="Urban",1,0)</f>
        <v>0</v>
      </c>
      <c r="G166" s="3">
        <v>27001</v>
      </c>
      <c r="H166" s="3">
        <v>5</v>
      </c>
      <c r="I166" s="3">
        <v>66091</v>
      </c>
      <c r="J166" s="3">
        <f>IF(E166="Cold",1,0)</f>
        <v>0</v>
      </c>
      <c r="K166" s="3">
        <f>IF(E166="Hot",1,0)</f>
        <v>0</v>
      </c>
      <c r="L166" s="3">
        <v>1773</v>
      </c>
      <c r="M166" s="3">
        <v>95</v>
      </c>
      <c r="N166" s="4">
        <v>43963</v>
      </c>
      <c r="O166" s="10">
        <v>356320.10920000001</v>
      </c>
      <c r="P166" s="1">
        <f>$C$3+F166*$C$4+H166*$C$6+J166*$C$8+K166*$C$9+L166*$C$10+M166*$C$11</f>
        <v>325451.45106605062</v>
      </c>
      <c r="Q166" s="1">
        <f>(O166-P166)/O166</f>
        <v>8.6631815990556457E-2</v>
      </c>
      <c r="R166" s="1"/>
      <c r="S166" s="1"/>
    </row>
    <row r="167" spans="1:19" x14ac:dyDescent="0.3">
      <c r="A167" s="2">
        <v>631</v>
      </c>
      <c r="B167" s="3" t="s">
        <v>40</v>
      </c>
      <c r="C167" s="3" t="s">
        <v>70</v>
      </c>
      <c r="D167" s="3" t="s">
        <v>14</v>
      </c>
      <c r="E167" s="3" t="s">
        <v>15</v>
      </c>
      <c r="F167" s="3">
        <f>IF(D167="Urban",1,0)</f>
        <v>0</v>
      </c>
      <c r="G167" s="3">
        <v>24245</v>
      </c>
      <c r="H167" s="3">
        <v>3</v>
      </c>
      <c r="I167" s="3">
        <v>84205</v>
      </c>
      <c r="J167" s="3">
        <f>IF(E167="Cold",1,0)</f>
        <v>1</v>
      </c>
      <c r="K167" s="3">
        <f>IF(E167="Hot",1,0)</f>
        <v>0</v>
      </c>
      <c r="L167" s="3">
        <v>2309</v>
      </c>
      <c r="M167" s="3">
        <v>82</v>
      </c>
      <c r="N167" s="4">
        <v>43884</v>
      </c>
      <c r="O167" s="10">
        <v>344976.81719999999</v>
      </c>
      <c r="P167" s="1">
        <f>$C$3+F167*$C$4+H167*$C$6+J167*$C$8+K167*$C$9+L167*$C$10+M167*$C$11</f>
        <v>315104.12486079364</v>
      </c>
      <c r="Q167" s="1">
        <f>(O167-P167)/O167</f>
        <v>8.6593332797454861E-2</v>
      </c>
      <c r="R167" s="1"/>
      <c r="S167" s="1"/>
    </row>
    <row r="168" spans="1:19" x14ac:dyDescent="0.3">
      <c r="A168" s="2">
        <v>418</v>
      </c>
      <c r="B168" s="3" t="s">
        <v>16</v>
      </c>
      <c r="C168" s="3" t="s">
        <v>176</v>
      </c>
      <c r="D168" s="3" t="s">
        <v>18</v>
      </c>
      <c r="E168" s="3" t="s">
        <v>15</v>
      </c>
      <c r="F168" s="3">
        <f>IF(D168="Urban",1,0)</f>
        <v>1</v>
      </c>
      <c r="G168" s="3">
        <v>2549</v>
      </c>
      <c r="H168" s="3">
        <v>4</v>
      </c>
      <c r="I168" s="3">
        <v>89208</v>
      </c>
      <c r="J168" s="3">
        <f>IF(E168="Cold",1,0)</f>
        <v>1</v>
      </c>
      <c r="K168" s="3">
        <f>IF(E168="Hot",1,0)</f>
        <v>0</v>
      </c>
      <c r="L168" s="3">
        <v>1932</v>
      </c>
      <c r="M168" s="3">
        <v>39</v>
      </c>
      <c r="N168" s="4">
        <v>44421</v>
      </c>
      <c r="O168" s="10">
        <v>370086.17210000003</v>
      </c>
      <c r="P168" s="1">
        <f>$C$3+F168*$C$4+H168*$C$6+J168*$C$8+K168*$C$9+L168*$C$10+M168*$C$11</f>
        <v>338094.55753414211</v>
      </c>
      <c r="Q168" s="1">
        <f>(O168-P168)/O168</f>
        <v>8.644369062568906E-2</v>
      </c>
      <c r="R168" s="1"/>
      <c r="S168" s="1"/>
    </row>
    <row r="169" spans="1:19" x14ac:dyDescent="0.3">
      <c r="A169" s="2">
        <v>235</v>
      </c>
      <c r="B169" s="3" t="s">
        <v>16</v>
      </c>
      <c r="C169" s="3" t="s">
        <v>171</v>
      </c>
      <c r="D169" s="3" t="s">
        <v>18</v>
      </c>
      <c r="E169" s="3" t="s">
        <v>23</v>
      </c>
      <c r="F169" s="3">
        <f>IF(D169="Urban",1,0)</f>
        <v>1</v>
      </c>
      <c r="G169" s="3">
        <v>15750</v>
      </c>
      <c r="H169" s="3">
        <v>4</v>
      </c>
      <c r="I169" s="3">
        <v>82136</v>
      </c>
      <c r="J169" s="3">
        <f>IF(E169="Cold",1,0)</f>
        <v>0</v>
      </c>
      <c r="K169" s="3">
        <f>IF(E169="Hot",1,0)</f>
        <v>0</v>
      </c>
      <c r="L169" s="3">
        <v>2522</v>
      </c>
      <c r="M169" s="3">
        <v>51</v>
      </c>
      <c r="N169" s="4">
        <v>43958</v>
      </c>
      <c r="O169" s="10">
        <v>407400.5147</v>
      </c>
      <c r="P169" s="1">
        <f>$C$3+F169*$C$4+H169*$C$6+J169*$C$8+K169*$C$9+L169*$C$10+M169*$C$11</f>
        <v>372505.48808466765</v>
      </c>
      <c r="Q169" s="1">
        <f>(O169-P169)/O169</f>
        <v>8.565287808000982E-2</v>
      </c>
      <c r="R169" s="1"/>
      <c r="S169" s="1"/>
    </row>
    <row r="170" spans="1:19" x14ac:dyDescent="0.3">
      <c r="A170" s="2">
        <v>412</v>
      </c>
      <c r="B170" s="3" t="s">
        <v>29</v>
      </c>
      <c r="C170" s="3" t="s">
        <v>59</v>
      </c>
      <c r="D170" s="3" t="s">
        <v>14</v>
      </c>
      <c r="E170" s="3" t="s">
        <v>21</v>
      </c>
      <c r="F170" s="3">
        <f>IF(D170="Urban",1,0)</f>
        <v>0</v>
      </c>
      <c r="G170" s="3">
        <v>20087</v>
      </c>
      <c r="H170" s="3">
        <v>6</v>
      </c>
      <c r="I170" s="3">
        <v>73024</v>
      </c>
      <c r="J170" s="3">
        <f>IF(E170="Cold",1,0)</f>
        <v>0</v>
      </c>
      <c r="K170" s="3">
        <f>IF(E170="Hot",1,0)</f>
        <v>1</v>
      </c>
      <c r="L170" s="3">
        <v>1131</v>
      </c>
      <c r="M170" s="3">
        <v>77</v>
      </c>
      <c r="N170" s="4">
        <v>45389</v>
      </c>
      <c r="O170" s="10">
        <v>336198.44339999999</v>
      </c>
      <c r="P170" s="1">
        <f>$C$3+F170*$C$4+H170*$C$6+J170*$C$8+K170*$C$9+L170*$C$10+M170*$C$11</f>
        <v>307425.09763841762</v>
      </c>
      <c r="Q170" s="1">
        <f>(O170-P170)/O170</f>
        <v>8.5584411012125383E-2</v>
      </c>
      <c r="R170" s="1"/>
      <c r="S170" s="1"/>
    </row>
    <row r="171" spans="1:19" x14ac:dyDescent="0.3">
      <c r="A171" s="2">
        <v>595</v>
      </c>
      <c r="B171" s="3" t="s">
        <v>57</v>
      </c>
      <c r="C171" s="3" t="s">
        <v>215</v>
      </c>
      <c r="D171" s="3" t="s">
        <v>18</v>
      </c>
      <c r="E171" s="3" t="s">
        <v>15</v>
      </c>
      <c r="F171" s="3">
        <f>IF(D171="Urban",1,0)</f>
        <v>1</v>
      </c>
      <c r="G171" s="3">
        <v>18270</v>
      </c>
      <c r="H171" s="3">
        <v>4</v>
      </c>
      <c r="I171" s="3">
        <v>60706</v>
      </c>
      <c r="J171" s="3">
        <f>IF(E171="Cold",1,0)</f>
        <v>1</v>
      </c>
      <c r="K171" s="3">
        <f>IF(E171="Hot",1,0)</f>
        <v>0</v>
      </c>
      <c r="L171" s="3">
        <v>1479</v>
      </c>
      <c r="M171" s="3">
        <v>39</v>
      </c>
      <c r="N171" s="4">
        <v>44878</v>
      </c>
      <c r="O171" s="10">
        <v>359818.28769999999</v>
      </c>
      <c r="P171" s="1">
        <f>$C$3+F171*$C$4+H171*$C$6+J171*$C$8+K171*$C$9+L171*$C$10+M171*$C$11</f>
        <v>329054.01357464184</v>
      </c>
      <c r="Q171" s="1">
        <f>(O171-P171)/O171</f>
        <v>8.5499473420339298E-2</v>
      </c>
      <c r="R171" s="1"/>
      <c r="S171" s="1"/>
    </row>
    <row r="172" spans="1:19" x14ac:dyDescent="0.3">
      <c r="A172" s="2">
        <v>39</v>
      </c>
      <c r="B172" s="3" t="s">
        <v>55</v>
      </c>
      <c r="C172" s="3" t="s">
        <v>66</v>
      </c>
      <c r="D172" s="3" t="s">
        <v>18</v>
      </c>
      <c r="E172" s="3" t="s">
        <v>21</v>
      </c>
      <c r="F172" s="3">
        <f>IF(D172="Urban",1,0)</f>
        <v>1</v>
      </c>
      <c r="G172" s="3">
        <v>4098</v>
      </c>
      <c r="H172" s="3">
        <v>9</v>
      </c>
      <c r="I172" s="3">
        <v>80670</v>
      </c>
      <c r="J172" s="3">
        <f>IF(E172="Cold",1,0)</f>
        <v>0</v>
      </c>
      <c r="K172" s="3">
        <f>IF(E172="Hot",1,0)</f>
        <v>1</v>
      </c>
      <c r="L172" s="3">
        <v>2428</v>
      </c>
      <c r="M172" s="3">
        <v>27</v>
      </c>
      <c r="N172" s="4">
        <v>44544</v>
      </c>
      <c r="O172" s="10">
        <v>393400.1434</v>
      </c>
      <c r="P172" s="1">
        <f>$C$3+F172*$C$4+H172*$C$6+J172*$C$8+K172*$C$9+L172*$C$10+M172*$C$11</f>
        <v>359765.82761757576</v>
      </c>
      <c r="Q172" s="1">
        <f>(O172-P172)/O172</f>
        <v>8.549645023445164E-2</v>
      </c>
      <c r="R172" s="1"/>
      <c r="S172" s="1"/>
    </row>
    <row r="173" spans="1:19" x14ac:dyDescent="0.3">
      <c r="A173" s="2">
        <v>854</v>
      </c>
      <c r="B173" s="3" t="s">
        <v>33</v>
      </c>
      <c r="C173" s="3" t="s">
        <v>184</v>
      </c>
      <c r="D173" s="3" t="s">
        <v>14</v>
      </c>
      <c r="E173" s="3" t="s">
        <v>23</v>
      </c>
      <c r="F173" s="3">
        <f>IF(D173="Urban",1,0)</f>
        <v>0</v>
      </c>
      <c r="G173" s="3">
        <v>29544</v>
      </c>
      <c r="H173" s="3">
        <v>1</v>
      </c>
      <c r="I173" s="3">
        <v>67113</v>
      </c>
      <c r="J173" s="3">
        <f>IF(E173="Cold",1,0)</f>
        <v>0</v>
      </c>
      <c r="K173" s="3">
        <f>IF(E173="Hot",1,0)</f>
        <v>0</v>
      </c>
      <c r="L173" s="3">
        <v>1858</v>
      </c>
      <c r="M173" s="3">
        <v>54</v>
      </c>
      <c r="N173" s="4">
        <v>43930</v>
      </c>
      <c r="O173" s="10">
        <v>348067.53200000001</v>
      </c>
      <c r="P173" s="1">
        <f>$C$3+F173*$C$4+H173*$C$6+J173*$C$8+K173*$C$9+L173*$C$10+M173*$C$11</f>
        <v>318310.75964904955</v>
      </c>
      <c r="Q173" s="1">
        <f>(O173-P173)/O173</f>
        <v>8.5491376285422846E-2</v>
      </c>
      <c r="R173" s="1"/>
      <c r="S173" s="1"/>
    </row>
    <row r="174" spans="1:19" x14ac:dyDescent="0.3">
      <c r="A174" s="2">
        <v>71</v>
      </c>
      <c r="B174" s="3" t="s">
        <v>24</v>
      </c>
      <c r="C174" s="3" t="s">
        <v>39</v>
      </c>
      <c r="D174" s="3" t="s">
        <v>18</v>
      </c>
      <c r="E174" s="3" t="s">
        <v>23</v>
      </c>
      <c r="F174" s="3">
        <f>IF(D174="Urban",1,0)</f>
        <v>1</v>
      </c>
      <c r="G174" s="3">
        <v>14201</v>
      </c>
      <c r="H174" s="3">
        <v>2</v>
      </c>
      <c r="I174" s="3">
        <v>81871</v>
      </c>
      <c r="J174" s="3">
        <f>IF(E174="Cold",1,0)</f>
        <v>0</v>
      </c>
      <c r="K174" s="3">
        <f>IF(E174="Hot",1,0)</f>
        <v>0</v>
      </c>
      <c r="L174" s="3">
        <v>2726</v>
      </c>
      <c r="M174" s="3">
        <v>99</v>
      </c>
      <c r="N174" s="4">
        <v>44008</v>
      </c>
      <c r="O174" s="10">
        <v>430021.10499999998</v>
      </c>
      <c r="P174" s="1">
        <f>$C$3+F174*$C$4+H174*$C$6+J174*$C$8+K174*$C$9+L174*$C$10+M174*$C$11</f>
        <v>393271.96330443147</v>
      </c>
      <c r="Q174" s="1">
        <f>(O174-P174)/O174</f>
        <v>8.545892577893012E-2</v>
      </c>
      <c r="R174" s="1"/>
      <c r="S174" s="1"/>
    </row>
    <row r="175" spans="1:19" x14ac:dyDescent="0.3">
      <c r="A175" s="2">
        <v>968</v>
      </c>
      <c r="B175" s="3" t="s">
        <v>57</v>
      </c>
      <c r="C175" s="3" t="s">
        <v>162</v>
      </c>
      <c r="D175" s="3" t="s">
        <v>14</v>
      </c>
      <c r="E175" s="3" t="s">
        <v>23</v>
      </c>
      <c r="F175" s="3">
        <f>IF(D175="Urban",1,0)</f>
        <v>0</v>
      </c>
      <c r="G175" s="3">
        <v>17976</v>
      </c>
      <c r="H175" s="3">
        <v>3</v>
      </c>
      <c r="I175" s="3">
        <v>64358</v>
      </c>
      <c r="J175" s="3">
        <f>IF(E175="Cold",1,0)</f>
        <v>0</v>
      </c>
      <c r="K175" s="3">
        <f>IF(E175="Hot",1,0)</f>
        <v>0</v>
      </c>
      <c r="L175" s="3">
        <v>2290</v>
      </c>
      <c r="M175" s="3">
        <v>90</v>
      </c>
      <c r="N175" s="4">
        <v>44919</v>
      </c>
      <c r="O175" s="10">
        <v>367459.712</v>
      </c>
      <c r="P175" s="1">
        <f>$C$3+F175*$C$4+H175*$C$6+J175*$C$8+K175*$C$9+L175*$C$10+M175*$C$11</f>
        <v>336128.29141426249</v>
      </c>
      <c r="Q175" s="1">
        <f>(O175-P175)/O175</f>
        <v>8.5264913574355339E-2</v>
      </c>
      <c r="R175" s="1"/>
      <c r="S175" s="1"/>
    </row>
    <row r="176" spans="1:19" x14ac:dyDescent="0.3">
      <c r="A176" s="2">
        <v>702</v>
      </c>
      <c r="B176" s="3" t="s">
        <v>28</v>
      </c>
      <c r="C176" s="3" t="s">
        <v>181</v>
      </c>
      <c r="D176" s="3" t="s">
        <v>14</v>
      </c>
      <c r="E176" s="3" t="s">
        <v>21</v>
      </c>
      <c r="F176" s="3">
        <f>IF(D176="Urban",1,0)</f>
        <v>0</v>
      </c>
      <c r="G176" s="3">
        <v>16897</v>
      </c>
      <c r="H176" s="3">
        <v>3</v>
      </c>
      <c r="I176" s="3">
        <v>98311</v>
      </c>
      <c r="J176" s="3">
        <f>IF(E176="Cold",1,0)</f>
        <v>0</v>
      </c>
      <c r="K176" s="3">
        <f>IF(E176="Hot",1,0)</f>
        <v>1</v>
      </c>
      <c r="L176" s="3">
        <v>1172</v>
      </c>
      <c r="M176" s="3">
        <v>32</v>
      </c>
      <c r="N176" s="4">
        <v>45010</v>
      </c>
      <c r="O176" s="10">
        <v>324879.77230000001</v>
      </c>
      <c r="P176" s="1">
        <f>$C$3+F176*$C$4+H176*$C$6+J176*$C$8+K176*$C$9+L176*$C$10+M176*$C$11</f>
        <v>297223.27820602985</v>
      </c>
      <c r="Q176" s="1">
        <f>(O176-P176)/O176</f>
        <v>8.5128396570136849E-2</v>
      </c>
      <c r="R176" s="1"/>
      <c r="S176" s="1"/>
    </row>
    <row r="177" spans="1:19" x14ac:dyDescent="0.3">
      <c r="A177" s="2">
        <v>928</v>
      </c>
      <c r="B177" s="3" t="s">
        <v>108</v>
      </c>
      <c r="C177" s="3" t="s">
        <v>115</v>
      </c>
      <c r="D177" s="3" t="s">
        <v>14</v>
      </c>
      <c r="E177" s="3" t="s">
        <v>23</v>
      </c>
      <c r="F177" s="3">
        <f>IF(D177="Urban",1,0)</f>
        <v>0</v>
      </c>
      <c r="G177" s="3">
        <v>19010</v>
      </c>
      <c r="H177" s="3">
        <v>2</v>
      </c>
      <c r="I177" s="3">
        <v>91764</v>
      </c>
      <c r="J177" s="3">
        <f>IF(E177="Cold",1,0)</f>
        <v>0</v>
      </c>
      <c r="K177" s="3">
        <f>IF(E177="Hot",1,0)</f>
        <v>0</v>
      </c>
      <c r="L177" s="3">
        <v>1041</v>
      </c>
      <c r="M177" s="3">
        <v>50</v>
      </c>
      <c r="N177" s="4">
        <v>44372</v>
      </c>
      <c r="O177" s="10">
        <v>327718.01319999999</v>
      </c>
      <c r="P177" s="1">
        <f>$C$3+F177*$C$4+H177*$C$6+J177*$C$8+K177*$C$9+L177*$C$10+M177*$C$11</f>
        <v>299822.83145553112</v>
      </c>
      <c r="Q177" s="1">
        <f>(O177-P177)/O177</f>
        <v>8.5119464359272104E-2</v>
      </c>
      <c r="R177" s="1"/>
      <c r="S177" s="1"/>
    </row>
    <row r="178" spans="1:19" x14ac:dyDescent="0.3">
      <c r="A178" s="2">
        <v>545</v>
      </c>
      <c r="B178" s="3" t="s">
        <v>28</v>
      </c>
      <c r="C178" s="3" t="s">
        <v>187</v>
      </c>
      <c r="D178" s="3" t="s">
        <v>14</v>
      </c>
      <c r="E178" s="3" t="s">
        <v>23</v>
      </c>
      <c r="F178" s="3">
        <f>IF(D178="Urban",1,0)</f>
        <v>0</v>
      </c>
      <c r="G178" s="3">
        <v>7329</v>
      </c>
      <c r="H178" s="3">
        <v>1</v>
      </c>
      <c r="I178" s="3">
        <v>90957</v>
      </c>
      <c r="J178" s="3">
        <f>IF(E178="Cold",1,0)</f>
        <v>0</v>
      </c>
      <c r="K178" s="3">
        <f>IF(E178="Hot",1,0)</f>
        <v>0</v>
      </c>
      <c r="L178" s="3">
        <v>1832</v>
      </c>
      <c r="M178" s="3">
        <v>55</v>
      </c>
      <c r="N178" s="4">
        <v>45477</v>
      </c>
      <c r="O178" s="10">
        <v>347689.6017</v>
      </c>
      <c r="P178" s="1">
        <f>$C$3+F178*$C$4+H178*$C$6+J178*$C$8+K178*$C$9+L178*$C$10+M178*$C$11</f>
        <v>318100.10636402917</v>
      </c>
      <c r="Q178" s="1">
        <f>(O178-P178)/O178</f>
        <v>8.5103193167973393E-2</v>
      </c>
      <c r="R178" s="1"/>
      <c r="S178" s="1"/>
    </row>
    <row r="179" spans="1:19" x14ac:dyDescent="0.3">
      <c r="A179" s="2">
        <v>292</v>
      </c>
      <c r="B179" s="3" t="s">
        <v>24</v>
      </c>
      <c r="C179" s="3" t="s">
        <v>100</v>
      </c>
      <c r="D179" s="3" t="s">
        <v>14</v>
      </c>
      <c r="E179" s="3" t="s">
        <v>15</v>
      </c>
      <c r="F179" s="3">
        <f>IF(D179="Urban",1,0)</f>
        <v>0</v>
      </c>
      <c r="G179" s="3">
        <v>25436</v>
      </c>
      <c r="H179" s="3">
        <v>0</v>
      </c>
      <c r="I179" s="3">
        <v>78919</v>
      </c>
      <c r="J179" s="3">
        <f>IF(E179="Cold",1,0)</f>
        <v>1</v>
      </c>
      <c r="K179" s="3">
        <f>IF(E179="Hot",1,0)</f>
        <v>0</v>
      </c>
      <c r="L179" s="3">
        <v>2245</v>
      </c>
      <c r="M179" s="3">
        <v>24</v>
      </c>
      <c r="N179" s="4">
        <v>45185</v>
      </c>
      <c r="O179" s="10">
        <v>326523.74709999998</v>
      </c>
      <c r="P179" s="1">
        <f>$C$3+F179*$C$4+H179*$C$6+J179*$C$8+K179*$C$9+L179*$C$10+M179*$C$11</f>
        <v>298799.82468100305</v>
      </c>
      <c r="Q179" s="1">
        <f>(O179-P179)/O179</f>
        <v>8.4906297521160981E-2</v>
      </c>
      <c r="R179" s="1"/>
      <c r="S179" s="1"/>
    </row>
    <row r="180" spans="1:19" x14ac:dyDescent="0.3">
      <c r="A180" s="2">
        <v>609</v>
      </c>
      <c r="B180" s="3" t="s">
        <v>35</v>
      </c>
      <c r="C180" s="3" t="s">
        <v>62</v>
      </c>
      <c r="D180" s="3" t="s">
        <v>14</v>
      </c>
      <c r="E180" s="3" t="s">
        <v>23</v>
      </c>
      <c r="F180" s="3">
        <f>IF(D180="Urban",1,0)</f>
        <v>0</v>
      </c>
      <c r="G180" s="3">
        <v>6594</v>
      </c>
      <c r="H180" s="3">
        <v>9</v>
      </c>
      <c r="I180" s="3">
        <v>82983</v>
      </c>
      <c r="J180" s="3">
        <f>IF(E180="Cold",1,0)</f>
        <v>0</v>
      </c>
      <c r="K180" s="3">
        <f>IF(E180="Hot",1,0)</f>
        <v>0</v>
      </c>
      <c r="L180" s="3">
        <v>1597</v>
      </c>
      <c r="M180" s="3">
        <v>31</v>
      </c>
      <c r="N180" s="4">
        <v>45261</v>
      </c>
      <c r="O180" s="10">
        <v>326080.71100000001</v>
      </c>
      <c r="P180" s="1">
        <f>$C$3+F180*$C$4+H180*$C$6+J180*$C$8+K180*$C$9+L180*$C$10+M180*$C$11</f>
        <v>298411.89743282006</v>
      </c>
      <c r="Q180" s="1">
        <f>(O180-P180)/O180</f>
        <v>8.4852653449899867E-2</v>
      </c>
      <c r="R180" s="1"/>
      <c r="S180" s="1"/>
    </row>
    <row r="181" spans="1:19" x14ac:dyDescent="0.3">
      <c r="A181" s="2">
        <v>326</v>
      </c>
      <c r="B181" s="3" t="s">
        <v>29</v>
      </c>
      <c r="C181" s="3" t="s">
        <v>188</v>
      </c>
      <c r="D181" s="3" t="s">
        <v>18</v>
      </c>
      <c r="E181" s="3" t="s">
        <v>21</v>
      </c>
      <c r="F181" s="3">
        <f>IF(D181="Urban",1,0)</f>
        <v>1</v>
      </c>
      <c r="G181" s="3">
        <v>27331</v>
      </c>
      <c r="H181" s="3">
        <v>2</v>
      </c>
      <c r="I181" s="3">
        <v>99141</v>
      </c>
      <c r="J181" s="3">
        <f>IF(E181="Cold",1,0)</f>
        <v>0</v>
      </c>
      <c r="K181" s="3">
        <f>IF(E181="Hot",1,0)</f>
        <v>1</v>
      </c>
      <c r="L181" s="3">
        <v>2364</v>
      </c>
      <c r="M181" s="3">
        <v>96</v>
      </c>
      <c r="N181" s="4">
        <v>44027</v>
      </c>
      <c r="O181" s="10">
        <v>422234.7954</v>
      </c>
      <c r="P181" s="1">
        <f>$C$3+F181*$C$4+H181*$C$6+J181*$C$8+K181*$C$9+L181*$C$10+M181*$C$11</f>
        <v>386407.13221360341</v>
      </c>
      <c r="Q181" s="1">
        <f>(O181-P181)/O181</f>
        <v>8.4852464971428052E-2</v>
      </c>
      <c r="R181" s="1"/>
      <c r="S181" s="1"/>
    </row>
    <row r="182" spans="1:19" x14ac:dyDescent="0.3">
      <c r="A182" s="2">
        <v>510</v>
      </c>
      <c r="B182" s="3" t="s">
        <v>44</v>
      </c>
      <c r="C182" s="3" t="s">
        <v>82</v>
      </c>
      <c r="D182" s="3" t="s">
        <v>18</v>
      </c>
      <c r="E182" s="3" t="s">
        <v>23</v>
      </c>
      <c r="F182" s="3">
        <f>IF(D182="Urban",1,0)</f>
        <v>1</v>
      </c>
      <c r="G182" s="3">
        <v>25250</v>
      </c>
      <c r="H182" s="3">
        <v>7</v>
      </c>
      <c r="I182" s="3">
        <v>74815</v>
      </c>
      <c r="J182" s="3">
        <f>IF(E182="Cold",1,0)</f>
        <v>0</v>
      </c>
      <c r="K182" s="3">
        <f>IF(E182="Hot",1,0)</f>
        <v>0</v>
      </c>
      <c r="L182" s="3">
        <v>2720</v>
      </c>
      <c r="M182" s="3">
        <v>44</v>
      </c>
      <c r="N182" s="4">
        <v>45430</v>
      </c>
      <c r="O182" s="10">
        <v>405872.91249999998</v>
      </c>
      <c r="P182" s="1">
        <f>$C$3+F182*$C$4+H182*$C$6+J182*$C$8+K182*$C$9+L182*$C$10+M182*$C$11</f>
        <v>371449.0809276884</v>
      </c>
      <c r="Q182" s="1">
        <f>(O182-P182)/O182</f>
        <v>8.481431135740447E-2</v>
      </c>
      <c r="R182" s="1"/>
      <c r="S182" s="1"/>
    </row>
    <row r="183" spans="1:19" x14ac:dyDescent="0.3">
      <c r="A183" s="2">
        <v>778</v>
      </c>
      <c r="B183" s="3" t="s">
        <v>26</v>
      </c>
      <c r="C183" s="3" t="s">
        <v>69</v>
      </c>
      <c r="D183" s="3" t="s">
        <v>18</v>
      </c>
      <c r="E183" s="3" t="s">
        <v>23</v>
      </c>
      <c r="F183" s="3">
        <f>IF(D183="Urban",1,0)</f>
        <v>1</v>
      </c>
      <c r="G183" s="3">
        <v>28293</v>
      </c>
      <c r="H183" s="3">
        <v>4</v>
      </c>
      <c r="I183" s="3">
        <v>73643</v>
      </c>
      <c r="J183" s="3">
        <f>IF(E183="Cold",1,0)</f>
        <v>0</v>
      </c>
      <c r="K183" s="3">
        <f>IF(E183="Hot",1,0)</f>
        <v>0</v>
      </c>
      <c r="L183" s="3">
        <v>1283</v>
      </c>
      <c r="M183" s="3">
        <v>85</v>
      </c>
      <c r="N183" s="4">
        <v>44278</v>
      </c>
      <c r="O183" s="10">
        <v>391447.0613</v>
      </c>
      <c r="P183" s="1">
        <f>$C$3+F183*$C$4+H183*$C$6+J183*$C$8+K183*$C$9+L183*$C$10+M183*$C$11</f>
        <v>358258.52340142982</v>
      </c>
      <c r="Q183" s="1">
        <f>(O183-P183)/O183</f>
        <v>8.4784230563261051E-2</v>
      </c>
      <c r="R183" s="1"/>
      <c r="S183" s="1"/>
    </row>
    <row r="184" spans="1:19" x14ac:dyDescent="0.3">
      <c r="A184" s="2">
        <v>713</v>
      </c>
      <c r="B184" s="3" t="s">
        <v>24</v>
      </c>
      <c r="C184" s="3" t="s">
        <v>154</v>
      </c>
      <c r="D184" s="3" t="s">
        <v>14</v>
      </c>
      <c r="E184" s="3" t="s">
        <v>15</v>
      </c>
      <c r="F184" s="3">
        <f>IF(D184="Urban",1,0)</f>
        <v>0</v>
      </c>
      <c r="G184" s="3">
        <v>6991</v>
      </c>
      <c r="H184" s="3">
        <v>4</v>
      </c>
      <c r="I184" s="3">
        <v>72291</v>
      </c>
      <c r="J184" s="3">
        <f>IF(E184="Cold",1,0)</f>
        <v>1</v>
      </c>
      <c r="K184" s="3">
        <f>IF(E184="Hot",1,0)</f>
        <v>0</v>
      </c>
      <c r="L184" s="3">
        <v>1982</v>
      </c>
      <c r="M184" s="3">
        <v>26</v>
      </c>
      <c r="N184" s="4">
        <v>44257</v>
      </c>
      <c r="O184" s="10">
        <v>317251.00910000002</v>
      </c>
      <c r="P184" s="1">
        <f>$C$3+F184*$C$4+H184*$C$6+J184*$C$8+K184*$C$9+L184*$C$10+M184*$C$11</f>
        <v>290367.18979939719</v>
      </c>
      <c r="Q184" s="1">
        <f>(O184-P184)/O184</f>
        <v>8.473990162196407E-2</v>
      </c>
      <c r="R184" s="1"/>
      <c r="S184" s="1"/>
    </row>
    <row r="185" spans="1:19" x14ac:dyDescent="0.3">
      <c r="A185" s="2">
        <v>487</v>
      </c>
      <c r="B185" s="3" t="s">
        <v>28</v>
      </c>
      <c r="C185" s="3" t="s">
        <v>112</v>
      </c>
      <c r="D185" s="3" t="s">
        <v>14</v>
      </c>
      <c r="E185" s="3" t="s">
        <v>21</v>
      </c>
      <c r="F185" s="3">
        <f>IF(D185="Urban",1,0)</f>
        <v>0</v>
      </c>
      <c r="G185" s="3">
        <v>14555</v>
      </c>
      <c r="H185" s="3">
        <v>0</v>
      </c>
      <c r="I185" s="3">
        <v>97789</v>
      </c>
      <c r="J185" s="3">
        <f>IF(E185="Cold",1,0)</f>
        <v>0</v>
      </c>
      <c r="K185" s="3">
        <f>IF(E185="Hot",1,0)</f>
        <v>1</v>
      </c>
      <c r="L185" s="3">
        <v>1238</v>
      </c>
      <c r="M185" s="3">
        <v>88</v>
      </c>
      <c r="N185" s="4">
        <v>43936</v>
      </c>
      <c r="O185" s="10">
        <v>348047.98800000001</v>
      </c>
      <c r="P185" s="1">
        <f>$C$3+F185*$C$4+H185*$C$6+J185*$C$8+K185*$C$9+L185*$C$10+M185*$C$11</f>
        <v>318651.61834780726</v>
      </c>
      <c r="Q185" s="1">
        <f>(O185-P185)/O185</f>
        <v>8.4460679750266929E-2</v>
      </c>
      <c r="R185" s="1"/>
      <c r="S185" s="1"/>
    </row>
    <row r="186" spans="1:19" x14ac:dyDescent="0.3">
      <c r="A186" s="2">
        <v>77</v>
      </c>
      <c r="B186" s="3" t="s">
        <v>24</v>
      </c>
      <c r="C186" s="3" t="s">
        <v>94</v>
      </c>
      <c r="D186" s="3" t="s">
        <v>14</v>
      </c>
      <c r="E186" s="3" t="s">
        <v>23</v>
      </c>
      <c r="F186" s="3">
        <f>IF(D186="Urban",1,0)</f>
        <v>0</v>
      </c>
      <c r="G186" s="3">
        <v>10416</v>
      </c>
      <c r="H186" s="3">
        <v>0</v>
      </c>
      <c r="I186" s="3">
        <v>96892</v>
      </c>
      <c r="J186" s="3">
        <f>IF(E186="Cold",1,0)</f>
        <v>0</v>
      </c>
      <c r="K186" s="3">
        <f>IF(E186="Hot",1,0)</f>
        <v>0</v>
      </c>
      <c r="L186" s="3">
        <v>1251</v>
      </c>
      <c r="M186" s="3">
        <v>73</v>
      </c>
      <c r="N186" s="4">
        <v>44140</v>
      </c>
      <c r="O186" s="10">
        <v>341839.20649999997</v>
      </c>
      <c r="P186" s="1">
        <f>$C$3+F186*$C$4+H186*$C$6+J186*$C$8+K186*$C$9+L186*$C$10+M186*$C$11</f>
        <v>313003.29816080892</v>
      </c>
      <c r="Q186" s="1">
        <f>(O186-P186)/O186</f>
        <v>8.4355181590883593E-2</v>
      </c>
      <c r="R186" s="1"/>
      <c r="S186" s="1"/>
    </row>
    <row r="187" spans="1:19" x14ac:dyDescent="0.3">
      <c r="A187" s="2">
        <v>394</v>
      </c>
      <c r="B187" s="3" t="s">
        <v>26</v>
      </c>
      <c r="C187" s="3" t="s">
        <v>67</v>
      </c>
      <c r="D187" s="3" t="s">
        <v>14</v>
      </c>
      <c r="E187" s="3" t="s">
        <v>15</v>
      </c>
      <c r="F187" s="3">
        <f>IF(D187="Urban",1,0)</f>
        <v>0</v>
      </c>
      <c r="G187" s="3">
        <v>799</v>
      </c>
      <c r="H187" s="3">
        <v>9</v>
      </c>
      <c r="I187" s="3">
        <v>96982</v>
      </c>
      <c r="J187" s="3">
        <f>IF(E187="Cold",1,0)</f>
        <v>1</v>
      </c>
      <c r="K187" s="3">
        <f>IF(E187="Hot",1,0)</f>
        <v>0</v>
      </c>
      <c r="L187" s="3">
        <v>2240</v>
      </c>
      <c r="M187" s="3">
        <v>55</v>
      </c>
      <c r="N187" s="4">
        <v>44401</v>
      </c>
      <c r="O187" s="10">
        <v>327311.76049999997</v>
      </c>
      <c r="P187" s="1">
        <f>$C$3+F187*$C$4+H187*$C$6+J187*$C$8+K187*$C$9+L187*$C$10+M187*$C$11</f>
        <v>299704.29155347188</v>
      </c>
      <c r="Q187" s="1">
        <f>(O187-P187)/O187</f>
        <v>8.4346095307895608E-2</v>
      </c>
      <c r="R187" s="1"/>
      <c r="S187" s="1"/>
    </row>
    <row r="188" spans="1:19" x14ac:dyDescent="0.3">
      <c r="A188" s="2">
        <v>91</v>
      </c>
      <c r="B188" s="3" t="s">
        <v>55</v>
      </c>
      <c r="C188" s="3" t="s">
        <v>105</v>
      </c>
      <c r="D188" s="3" t="s">
        <v>18</v>
      </c>
      <c r="E188" s="3" t="s">
        <v>23</v>
      </c>
      <c r="F188" s="3">
        <f>IF(D188="Urban",1,0)</f>
        <v>1</v>
      </c>
      <c r="G188" s="3">
        <v>26643</v>
      </c>
      <c r="H188" s="3">
        <v>4</v>
      </c>
      <c r="I188" s="3">
        <v>99377</v>
      </c>
      <c r="J188" s="3">
        <f>IF(E188="Cold",1,0)</f>
        <v>0</v>
      </c>
      <c r="K188" s="3">
        <f>IF(E188="Hot",1,0)</f>
        <v>0</v>
      </c>
      <c r="L188" s="3">
        <v>1242</v>
      </c>
      <c r="M188" s="3">
        <v>64</v>
      </c>
      <c r="N188" s="4">
        <v>44412</v>
      </c>
      <c r="O188" s="10">
        <v>383259.40620000003</v>
      </c>
      <c r="P188" s="1">
        <f>$C$3+F188*$C$4+H188*$C$6+J188*$C$8+K188*$C$9+L188*$C$10+M188*$C$11</f>
        <v>350967.45363580598</v>
      </c>
      <c r="Q188" s="1">
        <f>(O188-P188)/O188</f>
        <v>8.4256125333928039E-2</v>
      </c>
      <c r="R188" s="1"/>
      <c r="S188" s="1"/>
    </row>
    <row r="189" spans="1:19" x14ac:dyDescent="0.3">
      <c r="A189" s="2">
        <v>678</v>
      </c>
      <c r="B189" s="3" t="s">
        <v>44</v>
      </c>
      <c r="C189" s="3" t="s">
        <v>217</v>
      </c>
      <c r="D189" s="3" t="s">
        <v>14</v>
      </c>
      <c r="E189" s="3" t="s">
        <v>21</v>
      </c>
      <c r="F189" s="3">
        <f>IF(D189="Urban",1,0)</f>
        <v>0</v>
      </c>
      <c r="G189" s="3">
        <v>11802</v>
      </c>
      <c r="H189" s="3">
        <v>0</v>
      </c>
      <c r="I189" s="3">
        <v>76271</v>
      </c>
      <c r="J189" s="3">
        <f>IF(E189="Cold",1,0)</f>
        <v>0</v>
      </c>
      <c r="K189" s="3">
        <f>IF(E189="Hot",1,0)</f>
        <v>1</v>
      </c>
      <c r="L189" s="3">
        <v>2661</v>
      </c>
      <c r="M189" s="3">
        <v>49</v>
      </c>
      <c r="N189" s="4">
        <v>44771</v>
      </c>
      <c r="O189" s="10">
        <v>365813.5061</v>
      </c>
      <c r="P189" s="1">
        <f>$C$3+F189*$C$4+H189*$C$6+J189*$C$8+K189*$C$9+L189*$C$10+M189*$C$11</f>
        <v>335029.53019304114</v>
      </c>
      <c r="Q189" s="1">
        <f>(O189-P189)/O189</f>
        <v>8.4152103171782983E-2</v>
      </c>
      <c r="R189" s="1"/>
      <c r="S189" s="1"/>
    </row>
    <row r="190" spans="1:19" x14ac:dyDescent="0.3">
      <c r="A190" s="2">
        <v>511</v>
      </c>
      <c r="B190" s="3" t="s">
        <v>16</v>
      </c>
      <c r="C190" s="3" t="s">
        <v>207</v>
      </c>
      <c r="D190" s="3" t="s">
        <v>18</v>
      </c>
      <c r="E190" s="3" t="s">
        <v>21</v>
      </c>
      <c r="F190" s="3">
        <f>IF(D190="Urban",1,0)</f>
        <v>1</v>
      </c>
      <c r="G190" s="3">
        <v>23962</v>
      </c>
      <c r="H190" s="3">
        <v>0</v>
      </c>
      <c r="I190" s="3">
        <v>78680</v>
      </c>
      <c r="J190" s="3">
        <f>IF(E190="Cold",1,0)</f>
        <v>0</v>
      </c>
      <c r="K190" s="3">
        <f>IF(E190="Hot",1,0)</f>
        <v>1</v>
      </c>
      <c r="L190" s="3">
        <v>2526</v>
      </c>
      <c r="M190" s="3">
        <v>54</v>
      </c>
      <c r="N190" s="4">
        <v>44454</v>
      </c>
      <c r="O190" s="10">
        <v>413318.65029999998</v>
      </c>
      <c r="P190" s="1">
        <f>$C$3+F190*$C$4+H190*$C$6+J190*$C$8+K190*$C$9+L190*$C$10+M190*$C$11</f>
        <v>378594.7083577647</v>
      </c>
      <c r="Q190" s="1">
        <f>(O190-P190)/O190</f>
        <v>8.4012521373113755E-2</v>
      </c>
      <c r="R190" s="1"/>
      <c r="S190" s="1"/>
    </row>
    <row r="191" spans="1:19" x14ac:dyDescent="0.3">
      <c r="A191" s="2">
        <v>583</v>
      </c>
      <c r="B191" s="3" t="s">
        <v>40</v>
      </c>
      <c r="C191" s="3" t="s">
        <v>103</v>
      </c>
      <c r="D191" s="3" t="s">
        <v>14</v>
      </c>
      <c r="E191" s="3" t="s">
        <v>15</v>
      </c>
      <c r="F191" s="3">
        <f>IF(D191="Urban",1,0)</f>
        <v>0</v>
      </c>
      <c r="G191" s="3">
        <v>10434</v>
      </c>
      <c r="H191" s="3">
        <v>5</v>
      </c>
      <c r="I191" s="3">
        <v>65661</v>
      </c>
      <c r="J191" s="3">
        <f>IF(E191="Cold",1,0)</f>
        <v>1</v>
      </c>
      <c r="K191" s="3">
        <f>IF(E191="Hot",1,0)</f>
        <v>0</v>
      </c>
      <c r="L191" s="3">
        <v>1240</v>
      </c>
      <c r="M191" s="3">
        <v>41</v>
      </c>
      <c r="N191" s="4">
        <v>43869</v>
      </c>
      <c r="O191" s="10">
        <v>304815.63290000003</v>
      </c>
      <c r="P191" s="1">
        <f>$C$3+F191*$C$4+H191*$C$6+J191*$C$8+K191*$C$9+L191*$C$10+M191*$C$11</f>
        <v>279232.41102924541</v>
      </c>
      <c r="Q191" s="1">
        <f>(O191-P191)/O191</f>
        <v>8.3930150259542716E-2</v>
      </c>
      <c r="R191" s="1"/>
      <c r="S191" s="1"/>
    </row>
    <row r="192" spans="1:19" x14ac:dyDescent="0.3">
      <c r="A192" s="2">
        <v>57</v>
      </c>
      <c r="B192" s="3" t="s">
        <v>31</v>
      </c>
      <c r="C192" s="3" t="s">
        <v>81</v>
      </c>
      <c r="D192" s="3" t="s">
        <v>14</v>
      </c>
      <c r="E192" s="3" t="s">
        <v>21</v>
      </c>
      <c r="F192" s="3">
        <f>IF(D192="Urban",1,0)</f>
        <v>0</v>
      </c>
      <c r="G192" s="3">
        <v>24385</v>
      </c>
      <c r="H192" s="3">
        <v>6</v>
      </c>
      <c r="I192" s="3">
        <v>60090</v>
      </c>
      <c r="J192" s="3">
        <f>IF(E192="Cold",1,0)</f>
        <v>0</v>
      </c>
      <c r="K192" s="3">
        <f>IF(E192="Hot",1,0)</f>
        <v>1</v>
      </c>
      <c r="L192" s="3">
        <v>1979</v>
      </c>
      <c r="M192" s="3">
        <v>74</v>
      </c>
      <c r="N192" s="4">
        <v>44956</v>
      </c>
      <c r="O192" s="10">
        <v>353047.95039999997</v>
      </c>
      <c r="P192" s="1">
        <f>$C$3+F192*$C$4+H192*$C$6+J192*$C$8+K192*$C$9+L192*$C$10+M192*$C$11</f>
        <v>323423.98651956086</v>
      </c>
      <c r="Q192" s="1">
        <f>(O192-P192)/O192</f>
        <v>8.3909179608252768E-2</v>
      </c>
      <c r="R192" s="1"/>
      <c r="S192" s="1"/>
    </row>
    <row r="193" spans="1:19" x14ac:dyDescent="0.3">
      <c r="A193" s="2">
        <v>694</v>
      </c>
      <c r="B193" s="3" t="s">
        <v>55</v>
      </c>
      <c r="C193" s="3" t="s">
        <v>66</v>
      </c>
      <c r="D193" s="3" t="s">
        <v>18</v>
      </c>
      <c r="E193" s="3" t="s">
        <v>15</v>
      </c>
      <c r="F193" s="3">
        <f>IF(D193="Urban",1,0)</f>
        <v>1</v>
      </c>
      <c r="G193" s="3">
        <v>22607</v>
      </c>
      <c r="H193" s="3">
        <v>2</v>
      </c>
      <c r="I193" s="3">
        <v>86384</v>
      </c>
      <c r="J193" s="3">
        <f>IF(E193="Cold",1,0)</f>
        <v>1</v>
      </c>
      <c r="K193" s="3">
        <f>IF(E193="Hot",1,0)</f>
        <v>0</v>
      </c>
      <c r="L193" s="3">
        <v>2379</v>
      </c>
      <c r="M193" s="3">
        <v>83</v>
      </c>
      <c r="N193" s="4">
        <v>44199</v>
      </c>
      <c r="O193" s="10">
        <v>395651.91749999998</v>
      </c>
      <c r="P193" s="1">
        <f>$C$3+F193*$C$4+H193*$C$6+J193*$C$8+K193*$C$9+L193*$C$10+M193*$C$11</f>
        <v>362477.67593895551</v>
      </c>
      <c r="Q193" s="1">
        <f>(O193-P193)/O193</f>
        <v>8.3847038504607965E-2</v>
      </c>
      <c r="R193" s="1"/>
      <c r="S193" s="1"/>
    </row>
    <row r="194" spans="1:19" x14ac:dyDescent="0.3">
      <c r="A194" s="2">
        <v>23</v>
      </c>
      <c r="B194" s="3" t="s">
        <v>16</v>
      </c>
      <c r="C194" s="3" t="s">
        <v>51</v>
      </c>
      <c r="D194" s="3" t="s">
        <v>18</v>
      </c>
      <c r="E194" s="3" t="s">
        <v>23</v>
      </c>
      <c r="F194" s="3">
        <f>IF(D194="Urban",1,0)</f>
        <v>1</v>
      </c>
      <c r="G194" s="3">
        <v>14972</v>
      </c>
      <c r="H194" s="3">
        <v>2</v>
      </c>
      <c r="I194" s="3">
        <v>76754</v>
      </c>
      <c r="J194" s="3">
        <f>IF(E194="Cold",1,0)</f>
        <v>0</v>
      </c>
      <c r="K194" s="3">
        <f>IF(E194="Hot",1,0)</f>
        <v>0</v>
      </c>
      <c r="L194" s="3">
        <v>2212</v>
      </c>
      <c r="M194" s="3">
        <v>36</v>
      </c>
      <c r="N194" s="4">
        <v>45051</v>
      </c>
      <c r="O194" s="10">
        <v>396775.43040000001</v>
      </c>
      <c r="P194" s="1">
        <f>$C$3+F194*$C$4+H194*$C$6+J194*$C$8+K194*$C$9+L194*$C$10+M194*$C$11</f>
        <v>363595.54719041963</v>
      </c>
      <c r="Q194" s="1">
        <f>(O194-P194)/O194</f>
        <v>8.362383521613434E-2</v>
      </c>
      <c r="R194" s="1"/>
      <c r="S194" s="1"/>
    </row>
    <row r="195" spans="1:19" x14ac:dyDescent="0.3">
      <c r="A195" s="2">
        <v>151</v>
      </c>
      <c r="B195" s="3" t="s">
        <v>24</v>
      </c>
      <c r="C195" s="3" t="s">
        <v>25</v>
      </c>
      <c r="D195" s="3" t="s">
        <v>14</v>
      </c>
      <c r="E195" s="3" t="s">
        <v>15</v>
      </c>
      <c r="F195" s="3">
        <f>IF(D195="Urban",1,0)</f>
        <v>0</v>
      </c>
      <c r="G195" s="3">
        <v>24510</v>
      </c>
      <c r="H195" s="3">
        <v>3</v>
      </c>
      <c r="I195" s="3">
        <v>55899</v>
      </c>
      <c r="J195" s="3">
        <f>IF(E195="Cold",1,0)</f>
        <v>1</v>
      </c>
      <c r="K195" s="3">
        <f>IF(E195="Hot",1,0)</f>
        <v>0</v>
      </c>
      <c r="L195" s="3">
        <v>2539</v>
      </c>
      <c r="M195" s="3">
        <v>52</v>
      </c>
      <c r="N195" s="4">
        <v>44431</v>
      </c>
      <c r="O195" s="10">
        <v>338759.30900000001</v>
      </c>
      <c r="P195" s="1">
        <f>$C$3+F195*$C$4+H195*$C$6+J195*$C$8+K195*$C$9+L195*$C$10+M195*$C$11</f>
        <v>310447.34553563263</v>
      </c>
      <c r="Q195" s="1">
        <f>(O195-P195)/O195</f>
        <v>8.3575455233814336E-2</v>
      </c>
      <c r="R195" s="1"/>
      <c r="S195" s="1"/>
    </row>
    <row r="196" spans="1:19" x14ac:dyDescent="0.3">
      <c r="A196" s="2">
        <v>244</v>
      </c>
      <c r="B196" s="3" t="s">
        <v>37</v>
      </c>
      <c r="C196" s="3" t="s">
        <v>166</v>
      </c>
      <c r="D196" s="3" t="s">
        <v>14</v>
      </c>
      <c r="E196" s="3" t="s">
        <v>15</v>
      </c>
      <c r="F196" s="3">
        <f>IF(D196="Urban",1,0)</f>
        <v>0</v>
      </c>
      <c r="G196" s="3">
        <v>27314</v>
      </c>
      <c r="H196" s="3">
        <v>6</v>
      </c>
      <c r="I196" s="3">
        <v>58070</v>
      </c>
      <c r="J196" s="3">
        <f>IF(E196="Cold",1,0)</f>
        <v>1</v>
      </c>
      <c r="K196" s="3">
        <f>IF(E196="Hot",1,0)</f>
        <v>0</v>
      </c>
      <c r="L196" s="3">
        <v>1638</v>
      </c>
      <c r="M196" s="3">
        <v>33</v>
      </c>
      <c r="N196" s="4">
        <v>44271</v>
      </c>
      <c r="O196" s="10">
        <v>309612.60399999999</v>
      </c>
      <c r="P196" s="1">
        <f>$C$3+F196*$C$4+H196*$C$6+J196*$C$8+K196*$C$9+L196*$C$10+M196*$C$11</f>
        <v>283759.37928486988</v>
      </c>
      <c r="Q196" s="1">
        <f>(O196-P196)/O196</f>
        <v>8.3501848378014068E-2</v>
      </c>
      <c r="R196" s="1"/>
      <c r="S196" s="1"/>
    </row>
    <row r="197" spans="1:19" x14ac:dyDescent="0.3">
      <c r="A197" s="2">
        <v>717</v>
      </c>
      <c r="B197" s="3" t="s">
        <v>74</v>
      </c>
      <c r="C197" s="3" t="s">
        <v>219</v>
      </c>
      <c r="D197" s="3" t="s">
        <v>14</v>
      </c>
      <c r="E197" s="3" t="s">
        <v>21</v>
      </c>
      <c r="F197" s="3">
        <f>IF(D197="Urban",1,0)</f>
        <v>0</v>
      </c>
      <c r="G197" s="3">
        <v>29842</v>
      </c>
      <c r="H197" s="3">
        <v>3</v>
      </c>
      <c r="I197" s="3">
        <v>79837</v>
      </c>
      <c r="J197" s="3">
        <f>IF(E197="Cold",1,0)</f>
        <v>0</v>
      </c>
      <c r="K197" s="3">
        <f>IF(E197="Hot",1,0)</f>
        <v>1</v>
      </c>
      <c r="L197" s="3">
        <v>1316</v>
      </c>
      <c r="M197" s="3">
        <v>64</v>
      </c>
      <c r="N197" s="4">
        <v>45519</v>
      </c>
      <c r="O197" s="10">
        <v>338158.54109999997</v>
      </c>
      <c r="P197" s="1">
        <f>$C$3+F197*$C$4+H197*$C$6+J197*$C$8+K197*$C$9+L197*$C$10+M197*$C$11</f>
        <v>309960.45455220318</v>
      </c>
      <c r="Q197" s="1">
        <f>(O197-P197)/O197</f>
        <v>8.3387178262808018E-2</v>
      </c>
      <c r="R197" s="1"/>
      <c r="S197" s="1"/>
    </row>
    <row r="198" spans="1:19" x14ac:dyDescent="0.3">
      <c r="A198" s="2">
        <v>600</v>
      </c>
      <c r="B198" s="3" t="s">
        <v>16</v>
      </c>
      <c r="C198" s="3" t="s">
        <v>171</v>
      </c>
      <c r="D198" s="3" t="s">
        <v>18</v>
      </c>
      <c r="E198" s="3" t="s">
        <v>23</v>
      </c>
      <c r="F198" s="3">
        <f>IF(D198="Urban",1,0)</f>
        <v>1</v>
      </c>
      <c r="G198" s="3">
        <v>8460</v>
      </c>
      <c r="H198" s="3">
        <v>4</v>
      </c>
      <c r="I198" s="3">
        <v>89727</v>
      </c>
      <c r="J198" s="3">
        <f>IF(E198="Cold",1,0)</f>
        <v>0</v>
      </c>
      <c r="K198" s="3">
        <f>IF(E198="Hot",1,0)</f>
        <v>0</v>
      </c>
      <c r="L198" s="3">
        <v>2059</v>
      </c>
      <c r="M198" s="3">
        <v>81</v>
      </c>
      <c r="N198" s="4">
        <v>44081</v>
      </c>
      <c r="O198" s="10">
        <v>406361.98499999999</v>
      </c>
      <c r="P198" s="1">
        <f>$C$3+F198*$C$4+H198*$C$6+J198*$C$8+K198*$C$9+L198*$C$10+M198*$C$11</f>
        <v>372512.27460063761</v>
      </c>
      <c r="Q198" s="1">
        <f>(O198-P198)/O198</f>
        <v>8.3299402131236211E-2</v>
      </c>
      <c r="R198" s="1"/>
      <c r="S198" s="1"/>
    </row>
    <row r="199" spans="1:19" x14ac:dyDescent="0.3">
      <c r="A199" s="2">
        <v>816</v>
      </c>
      <c r="B199" s="3" t="s">
        <v>26</v>
      </c>
      <c r="C199" s="3" t="s">
        <v>47</v>
      </c>
      <c r="D199" s="3" t="s">
        <v>18</v>
      </c>
      <c r="E199" s="3" t="s">
        <v>21</v>
      </c>
      <c r="F199" s="3">
        <f>IF(D199="Urban",1,0)</f>
        <v>1</v>
      </c>
      <c r="G199" s="3">
        <v>24865</v>
      </c>
      <c r="H199" s="3">
        <v>6</v>
      </c>
      <c r="I199" s="3">
        <v>93445</v>
      </c>
      <c r="J199" s="3">
        <f>IF(E199="Cold",1,0)</f>
        <v>0</v>
      </c>
      <c r="K199" s="3">
        <f>IF(E199="Hot",1,0)</f>
        <v>1</v>
      </c>
      <c r="L199" s="3">
        <v>2873</v>
      </c>
      <c r="M199" s="3">
        <v>67</v>
      </c>
      <c r="N199" s="4">
        <v>45375</v>
      </c>
      <c r="O199" s="10">
        <v>418657.75439999998</v>
      </c>
      <c r="P199" s="1">
        <f>$C$3+F199*$C$4+H199*$C$6+J199*$C$8+K199*$C$9+L199*$C$10+M199*$C$11</f>
        <v>383826.20944440033</v>
      </c>
      <c r="Q199" s="1">
        <f>(O199-P199)/O199</f>
        <v>8.3198136400264536E-2</v>
      </c>
      <c r="R199" s="1"/>
      <c r="S199" s="1"/>
    </row>
    <row r="200" spans="1:19" x14ac:dyDescent="0.3">
      <c r="A200" s="2">
        <v>628</v>
      </c>
      <c r="B200" s="3" t="s">
        <v>57</v>
      </c>
      <c r="C200" s="3" t="s">
        <v>116</v>
      </c>
      <c r="D200" s="3" t="s">
        <v>14</v>
      </c>
      <c r="E200" s="3" t="s">
        <v>21</v>
      </c>
      <c r="F200" s="3">
        <f>IF(D200="Urban",1,0)</f>
        <v>0</v>
      </c>
      <c r="G200" s="3">
        <v>18062</v>
      </c>
      <c r="H200" s="3">
        <v>0</v>
      </c>
      <c r="I200" s="3">
        <v>87903</v>
      </c>
      <c r="J200" s="3">
        <f>IF(E200="Cold",1,0)</f>
        <v>0</v>
      </c>
      <c r="K200" s="3">
        <f>IF(E200="Hot",1,0)</f>
        <v>1</v>
      </c>
      <c r="L200" s="3">
        <v>2640</v>
      </c>
      <c r="M200" s="3">
        <v>81</v>
      </c>
      <c r="N200" s="4">
        <v>44003</v>
      </c>
      <c r="O200" s="10">
        <v>375545.12910000002</v>
      </c>
      <c r="P200" s="1">
        <f>$C$3+F200*$C$4+H200*$C$6+J200*$C$8+K200*$C$9+L200*$C$10+M200*$C$11</f>
        <v>344473.79317648266</v>
      </c>
      <c r="Q200" s="1">
        <f>(O200-P200)/O200</f>
        <v>8.2736623419881167E-2</v>
      </c>
      <c r="R200" s="1"/>
      <c r="S200" s="1"/>
    </row>
    <row r="201" spans="1:19" x14ac:dyDescent="0.3">
      <c r="A201" s="2">
        <v>581</v>
      </c>
      <c r="B201" s="3" t="s">
        <v>122</v>
      </c>
      <c r="C201" s="3" t="s">
        <v>189</v>
      </c>
      <c r="D201" s="3" t="s">
        <v>14</v>
      </c>
      <c r="E201" s="3" t="s">
        <v>21</v>
      </c>
      <c r="F201" s="3">
        <f>IF(D201="Urban",1,0)</f>
        <v>0</v>
      </c>
      <c r="G201" s="3">
        <v>3902</v>
      </c>
      <c r="H201" s="3">
        <v>8</v>
      </c>
      <c r="I201" s="3">
        <v>82760</v>
      </c>
      <c r="J201" s="3">
        <f>IF(E201="Cold",1,0)</f>
        <v>0</v>
      </c>
      <c r="K201" s="3">
        <f>IF(E201="Hot",1,0)</f>
        <v>1</v>
      </c>
      <c r="L201" s="3">
        <v>2000</v>
      </c>
      <c r="M201" s="3">
        <v>38</v>
      </c>
      <c r="N201" s="4">
        <v>45195</v>
      </c>
      <c r="O201" s="10">
        <v>338835.5428</v>
      </c>
      <c r="P201" s="1">
        <f>$C$3+F201*$C$4+H201*$C$6+J201*$C$8+K201*$C$9+L201*$C$10+M201*$C$11</f>
        <v>310846.60809644329</v>
      </c>
      <c r="Q201" s="1">
        <f>(O201-P201)/O201</f>
        <v>8.2603302098320203E-2</v>
      </c>
      <c r="R201" s="1"/>
      <c r="S201" s="1"/>
    </row>
    <row r="202" spans="1:19" x14ac:dyDescent="0.3">
      <c r="A202" s="2">
        <v>736</v>
      </c>
      <c r="B202" s="3" t="s">
        <v>28</v>
      </c>
      <c r="C202" s="3" t="s">
        <v>20</v>
      </c>
      <c r="D202" s="3" t="s">
        <v>14</v>
      </c>
      <c r="E202" s="3" t="s">
        <v>15</v>
      </c>
      <c r="F202" s="3">
        <f>IF(D202="Urban",1,0)</f>
        <v>0</v>
      </c>
      <c r="G202" s="3">
        <v>10495</v>
      </c>
      <c r="H202" s="3">
        <v>2</v>
      </c>
      <c r="I202" s="3">
        <v>89281</v>
      </c>
      <c r="J202" s="3">
        <f>IF(E202="Cold",1,0)</f>
        <v>1</v>
      </c>
      <c r="K202" s="3">
        <f>IF(E202="Hot",1,0)</f>
        <v>0</v>
      </c>
      <c r="L202" s="3">
        <v>2294</v>
      </c>
      <c r="M202" s="3">
        <v>69</v>
      </c>
      <c r="N202" s="4">
        <v>45261</v>
      </c>
      <c r="O202" s="10">
        <v>339730.24310000002</v>
      </c>
      <c r="P202" s="1">
        <f>$C$3+F202*$C$4+H202*$C$6+J202*$C$8+K202*$C$9+L202*$C$10+M202*$C$11</f>
        <v>311747.87632923212</v>
      </c>
      <c r="Q202" s="1">
        <f>(O202-P202)/O202</f>
        <v>8.2366428479937401E-2</v>
      </c>
      <c r="R202" s="1"/>
      <c r="S202" s="1"/>
    </row>
    <row r="203" spans="1:19" x14ac:dyDescent="0.3">
      <c r="A203" s="2">
        <v>233</v>
      </c>
      <c r="B203" s="3" t="s">
        <v>74</v>
      </c>
      <c r="C203" s="3" t="s">
        <v>106</v>
      </c>
      <c r="D203" s="3" t="s">
        <v>18</v>
      </c>
      <c r="E203" s="3" t="s">
        <v>21</v>
      </c>
      <c r="F203" s="3">
        <f>IF(D203="Urban",1,0)</f>
        <v>1</v>
      </c>
      <c r="G203" s="3">
        <v>3395</v>
      </c>
      <c r="H203" s="3">
        <v>0</v>
      </c>
      <c r="I203" s="3">
        <v>94320</v>
      </c>
      <c r="J203" s="3">
        <f>IF(E203="Cold",1,0)</f>
        <v>0</v>
      </c>
      <c r="K203" s="3">
        <f>IF(E203="Hot",1,0)</f>
        <v>1</v>
      </c>
      <c r="L203" s="3">
        <v>2477</v>
      </c>
      <c r="M203" s="3">
        <v>96</v>
      </c>
      <c r="N203" s="4">
        <v>44874</v>
      </c>
      <c r="O203" s="10">
        <v>425582.92729999998</v>
      </c>
      <c r="P203" s="1">
        <f>$C$3+F203*$C$4+H203*$C$6+J203*$C$8+K203*$C$9+L203*$C$10+M203*$C$11</f>
        <v>390562.47424951009</v>
      </c>
      <c r="Q203" s="1">
        <f>(O203-P203)/O203</f>
        <v>8.2288200028765315E-2</v>
      </c>
      <c r="R203" s="1"/>
      <c r="S203" s="1"/>
    </row>
    <row r="204" spans="1:19" x14ac:dyDescent="0.3">
      <c r="A204" s="2">
        <v>579</v>
      </c>
      <c r="B204" s="3" t="s">
        <v>29</v>
      </c>
      <c r="C204" s="3" t="s">
        <v>110</v>
      </c>
      <c r="D204" s="3" t="s">
        <v>18</v>
      </c>
      <c r="E204" s="3" t="s">
        <v>15</v>
      </c>
      <c r="F204" s="3">
        <f>IF(D204="Urban",1,0)</f>
        <v>1</v>
      </c>
      <c r="G204" s="3">
        <v>21906</v>
      </c>
      <c r="H204" s="3">
        <v>3</v>
      </c>
      <c r="I204" s="3">
        <v>94364</v>
      </c>
      <c r="J204" s="3">
        <f>IF(E204="Cold",1,0)</f>
        <v>1</v>
      </c>
      <c r="K204" s="3">
        <f>IF(E204="Hot",1,0)</f>
        <v>0</v>
      </c>
      <c r="L204" s="3">
        <v>1017</v>
      </c>
      <c r="M204" s="3">
        <v>95</v>
      </c>
      <c r="N204" s="4">
        <v>44668</v>
      </c>
      <c r="O204" s="10">
        <v>368324.03230000002</v>
      </c>
      <c r="P204" s="1">
        <f>$C$3+F204*$C$4+H204*$C$6+J204*$C$8+K204*$C$9+L204*$C$10+M204*$C$11</f>
        <v>338044.83564697491</v>
      </c>
      <c r="Q204" s="1">
        <f>(O204-P204)/O204</f>
        <v>8.2208039654503712E-2</v>
      </c>
      <c r="R204" s="1"/>
      <c r="S204" s="1"/>
    </row>
    <row r="205" spans="1:19" x14ac:dyDescent="0.3">
      <c r="A205" s="2">
        <v>246</v>
      </c>
      <c r="B205" s="3" t="s">
        <v>55</v>
      </c>
      <c r="C205" s="3" t="s">
        <v>175</v>
      </c>
      <c r="D205" s="3" t="s">
        <v>14</v>
      </c>
      <c r="E205" s="3" t="s">
        <v>21</v>
      </c>
      <c r="F205" s="3">
        <f>IF(D205="Urban",1,0)</f>
        <v>0</v>
      </c>
      <c r="G205" s="3">
        <v>15078</v>
      </c>
      <c r="H205" s="3">
        <v>9</v>
      </c>
      <c r="I205" s="3">
        <v>58937</v>
      </c>
      <c r="J205" s="3">
        <f>IF(E205="Cold",1,0)</f>
        <v>0</v>
      </c>
      <c r="K205" s="3">
        <f>IF(E205="Hot",1,0)</f>
        <v>1</v>
      </c>
      <c r="L205" s="3">
        <v>1428</v>
      </c>
      <c r="M205" s="3">
        <v>84</v>
      </c>
      <c r="N205" s="4">
        <v>44909</v>
      </c>
      <c r="O205" s="10">
        <v>340650.16110000003</v>
      </c>
      <c r="P205" s="1">
        <f>$C$3+F205*$C$4+H205*$C$6+J205*$C$8+K205*$C$9+L205*$C$10+M205*$C$11</f>
        <v>312659.65895748523</v>
      </c>
      <c r="Q205" s="1">
        <f>(O205-P205)/O205</f>
        <v>8.2167881712223848E-2</v>
      </c>
      <c r="R205" s="1"/>
      <c r="S205" s="1"/>
    </row>
    <row r="206" spans="1:19" x14ac:dyDescent="0.3">
      <c r="A206" s="2">
        <v>625</v>
      </c>
      <c r="B206" s="3" t="s">
        <v>31</v>
      </c>
      <c r="C206" s="3" t="s">
        <v>125</v>
      </c>
      <c r="D206" s="3" t="s">
        <v>14</v>
      </c>
      <c r="E206" s="3" t="s">
        <v>23</v>
      </c>
      <c r="F206" s="3">
        <f>IF(D206="Urban",1,0)</f>
        <v>0</v>
      </c>
      <c r="G206" s="3">
        <v>26330</v>
      </c>
      <c r="H206" s="3">
        <v>4</v>
      </c>
      <c r="I206" s="3">
        <v>65750</v>
      </c>
      <c r="J206" s="3">
        <f>IF(E206="Cold",1,0)</f>
        <v>0</v>
      </c>
      <c r="K206" s="3">
        <f>IF(E206="Hot",1,0)</f>
        <v>0</v>
      </c>
      <c r="L206" s="3">
        <v>2062</v>
      </c>
      <c r="M206" s="3">
        <v>88</v>
      </c>
      <c r="N206" s="4">
        <v>45490</v>
      </c>
      <c r="O206" s="10">
        <v>359521.72989999998</v>
      </c>
      <c r="P206" s="1">
        <f>$C$3+F206*$C$4+H206*$C$6+J206*$C$8+K206*$C$9+L206*$C$10+M206*$C$11</f>
        <v>330011.5261386495</v>
      </c>
      <c r="Q206" s="1">
        <f>(O206-P206)/O206</f>
        <v>8.2081836248280915E-2</v>
      </c>
      <c r="R206" s="1"/>
      <c r="S206" s="1"/>
    </row>
    <row r="207" spans="1:19" x14ac:dyDescent="0.3">
      <c r="A207" s="2">
        <v>676</v>
      </c>
      <c r="B207" s="3" t="s">
        <v>24</v>
      </c>
      <c r="C207" s="3" t="s">
        <v>101</v>
      </c>
      <c r="D207" s="3" t="s">
        <v>18</v>
      </c>
      <c r="E207" s="3" t="s">
        <v>15</v>
      </c>
      <c r="F207" s="3">
        <f>IF(D207="Urban",1,0)</f>
        <v>1</v>
      </c>
      <c r="G207" s="3">
        <v>2413</v>
      </c>
      <c r="H207" s="3">
        <v>2</v>
      </c>
      <c r="I207" s="3">
        <v>69619</v>
      </c>
      <c r="J207" s="3">
        <f>IF(E207="Cold",1,0)</f>
        <v>1</v>
      </c>
      <c r="K207" s="3">
        <f>IF(E207="Hot",1,0)</f>
        <v>0</v>
      </c>
      <c r="L207" s="3">
        <v>1267</v>
      </c>
      <c r="M207" s="3">
        <v>51</v>
      </c>
      <c r="N207" s="4">
        <v>44772</v>
      </c>
      <c r="O207" s="10">
        <v>359790.47730000003</v>
      </c>
      <c r="P207" s="1">
        <f>$C$3+F207*$C$4+H207*$C$6+J207*$C$8+K207*$C$9+L207*$C$10+M207*$C$11</f>
        <v>330422.07453142182</v>
      </c>
      <c r="Q207" s="1">
        <f>(O207-P207)/O207</f>
        <v>8.1626403758569416E-2</v>
      </c>
      <c r="R207" s="1"/>
      <c r="S207" s="1"/>
    </row>
    <row r="208" spans="1:19" x14ac:dyDescent="0.3">
      <c r="A208" s="2">
        <v>714</v>
      </c>
      <c r="B208" s="3" t="s">
        <v>40</v>
      </c>
      <c r="C208" s="3" t="s">
        <v>42</v>
      </c>
      <c r="D208" s="3" t="s">
        <v>18</v>
      </c>
      <c r="E208" s="3" t="s">
        <v>15</v>
      </c>
      <c r="F208" s="3">
        <f>IF(D208="Urban",1,0)</f>
        <v>1</v>
      </c>
      <c r="G208" s="3">
        <v>14034</v>
      </c>
      <c r="H208" s="3">
        <v>4</v>
      </c>
      <c r="I208" s="3">
        <v>98667</v>
      </c>
      <c r="J208" s="3">
        <f>IF(E208="Cold",1,0)</f>
        <v>1</v>
      </c>
      <c r="K208" s="3">
        <f>IF(E208="Hot",1,0)</f>
        <v>0</v>
      </c>
      <c r="L208" s="3">
        <v>2218</v>
      </c>
      <c r="M208" s="3">
        <v>56</v>
      </c>
      <c r="N208" s="4">
        <v>44973</v>
      </c>
      <c r="O208" s="10">
        <v>380058.22989999998</v>
      </c>
      <c r="P208" s="1">
        <f>$C$3+F208*$C$4+H208*$C$6+J208*$C$8+K208*$C$9+L208*$C$10+M208*$C$11</f>
        <v>349042.18458618195</v>
      </c>
      <c r="Q208" s="1">
        <f>(O208-P208)/O208</f>
        <v>8.160866644560992E-2</v>
      </c>
      <c r="R208" s="1"/>
      <c r="S208" s="1"/>
    </row>
    <row r="209" spans="1:19" x14ac:dyDescent="0.3">
      <c r="A209" s="2">
        <v>46</v>
      </c>
      <c r="B209" s="3" t="s">
        <v>31</v>
      </c>
      <c r="C209" s="3" t="s">
        <v>32</v>
      </c>
      <c r="D209" s="3" t="s">
        <v>18</v>
      </c>
      <c r="E209" s="3" t="s">
        <v>15</v>
      </c>
      <c r="F209" s="3">
        <f>IF(D209="Urban",1,0)</f>
        <v>1</v>
      </c>
      <c r="G209" s="3">
        <v>21447</v>
      </c>
      <c r="H209" s="3">
        <v>4</v>
      </c>
      <c r="I209" s="3">
        <v>65767</v>
      </c>
      <c r="J209" s="3">
        <f>IF(E209="Cold",1,0)</f>
        <v>1</v>
      </c>
      <c r="K209" s="3">
        <f>IF(E209="Hot",1,0)</f>
        <v>0</v>
      </c>
      <c r="L209" s="3">
        <v>1852</v>
      </c>
      <c r="M209" s="3">
        <v>68</v>
      </c>
      <c r="N209" s="4">
        <v>44961</v>
      </c>
      <c r="O209" s="10">
        <v>376131.39189999999</v>
      </c>
      <c r="P209" s="1">
        <f>$C$3+F209*$C$4+H209*$C$6+J209*$C$8+K209*$C$9+L209*$C$10+M209*$C$11</f>
        <v>345436.66442904319</v>
      </c>
      <c r="Q209" s="1">
        <f>(O209-P209)/O209</f>
        <v>8.1606396413510307E-2</v>
      </c>
      <c r="R209" s="1"/>
      <c r="S209" s="1"/>
    </row>
    <row r="210" spans="1:19" x14ac:dyDescent="0.3">
      <c r="A210" s="2">
        <v>118</v>
      </c>
      <c r="B210" s="3" t="s">
        <v>122</v>
      </c>
      <c r="C210" s="3" t="s">
        <v>123</v>
      </c>
      <c r="D210" s="3" t="s">
        <v>14</v>
      </c>
      <c r="E210" s="3" t="s">
        <v>15</v>
      </c>
      <c r="F210" s="3">
        <f>IF(D210="Urban",1,0)</f>
        <v>0</v>
      </c>
      <c r="G210" s="3">
        <v>8816</v>
      </c>
      <c r="H210" s="3">
        <v>7</v>
      </c>
      <c r="I210" s="3">
        <v>79748</v>
      </c>
      <c r="J210" s="3">
        <f>IF(E210="Cold",1,0)</f>
        <v>1</v>
      </c>
      <c r="K210" s="3">
        <f>IF(E210="Hot",1,0)</f>
        <v>0</v>
      </c>
      <c r="L210" s="3">
        <v>1141</v>
      </c>
      <c r="M210" s="3">
        <v>61</v>
      </c>
      <c r="N210" s="4">
        <v>45003</v>
      </c>
      <c r="O210" s="10">
        <v>306407.27309999999</v>
      </c>
      <c r="P210" s="1">
        <f>$C$3+F210*$C$4+H210*$C$6+J210*$C$8+K210*$C$9+L210*$C$10+M210*$C$11</f>
        <v>281521.06835777214</v>
      </c>
      <c r="Q210" s="1">
        <f>(O210-P210)/O210</f>
        <v>8.1219366924446076E-2</v>
      </c>
      <c r="R210" s="1"/>
      <c r="S210" s="1"/>
    </row>
    <row r="211" spans="1:19" x14ac:dyDescent="0.3">
      <c r="A211" s="2">
        <v>828</v>
      </c>
      <c r="B211" s="3" t="s">
        <v>74</v>
      </c>
      <c r="C211" s="3" t="s">
        <v>221</v>
      </c>
      <c r="D211" s="3" t="s">
        <v>14</v>
      </c>
      <c r="E211" s="3" t="s">
        <v>21</v>
      </c>
      <c r="F211" s="3">
        <f>IF(D211="Urban",1,0)</f>
        <v>0</v>
      </c>
      <c r="G211" s="3">
        <v>6719</v>
      </c>
      <c r="H211" s="3">
        <v>4</v>
      </c>
      <c r="I211" s="3">
        <v>50380</v>
      </c>
      <c r="J211" s="3">
        <f>IF(E211="Cold",1,0)</f>
        <v>0</v>
      </c>
      <c r="K211" s="3">
        <f>IF(E211="Hot",1,0)</f>
        <v>1</v>
      </c>
      <c r="L211" s="3">
        <v>2258</v>
      </c>
      <c r="M211" s="3">
        <v>38</v>
      </c>
      <c r="N211" s="4">
        <v>44072</v>
      </c>
      <c r="O211" s="10">
        <v>347994.95569999999</v>
      </c>
      <c r="P211" s="1">
        <f>$C$3+F211*$C$4+H211*$C$6+J211*$C$8+K211*$C$9+L211*$C$10+M211*$C$11</f>
        <v>319795.91779011977</v>
      </c>
      <c r="Q211" s="1">
        <f>(O211-P211)/O211</f>
        <v>8.1032892712933721E-2</v>
      </c>
      <c r="R211" s="1"/>
      <c r="S211" s="1"/>
    </row>
    <row r="212" spans="1:19" x14ac:dyDescent="0.3">
      <c r="A212" s="2">
        <v>68</v>
      </c>
      <c r="B212" s="3" t="s">
        <v>74</v>
      </c>
      <c r="C212" s="3" t="s">
        <v>89</v>
      </c>
      <c r="D212" s="3" t="s">
        <v>14</v>
      </c>
      <c r="E212" s="3" t="s">
        <v>21</v>
      </c>
      <c r="F212" s="3">
        <f>IF(D212="Urban",1,0)</f>
        <v>0</v>
      </c>
      <c r="G212" s="3">
        <v>20712</v>
      </c>
      <c r="H212" s="3">
        <v>4</v>
      </c>
      <c r="I212" s="3">
        <v>55361</v>
      </c>
      <c r="J212" s="3">
        <f>IF(E212="Cold",1,0)</f>
        <v>0</v>
      </c>
      <c r="K212" s="3">
        <f>IF(E212="Hot",1,0)</f>
        <v>1</v>
      </c>
      <c r="L212" s="3">
        <v>1686</v>
      </c>
      <c r="M212" s="3">
        <v>25</v>
      </c>
      <c r="N212" s="4">
        <v>44706</v>
      </c>
      <c r="O212" s="10">
        <v>331202.99800000002</v>
      </c>
      <c r="P212" s="1">
        <f>$C$3+F212*$C$4+H212*$C$6+J212*$C$8+K212*$C$9+L212*$C$10+M212*$C$11</f>
        <v>304373.49437365157</v>
      </c>
      <c r="Q212" s="1">
        <f>(O212-P212)/O212</f>
        <v>8.1006222130720118E-2</v>
      </c>
      <c r="R212" s="1"/>
      <c r="S212" s="1"/>
    </row>
    <row r="213" spans="1:19" x14ac:dyDescent="0.3">
      <c r="A213" s="2">
        <v>100</v>
      </c>
      <c r="B213" s="3" t="s">
        <v>40</v>
      </c>
      <c r="C213" s="3" t="s">
        <v>41</v>
      </c>
      <c r="D213" s="3" t="s">
        <v>14</v>
      </c>
      <c r="E213" s="3" t="s">
        <v>23</v>
      </c>
      <c r="F213" s="3">
        <f>IF(D213="Urban",1,0)</f>
        <v>0</v>
      </c>
      <c r="G213" s="3">
        <v>26318</v>
      </c>
      <c r="H213" s="3">
        <v>8</v>
      </c>
      <c r="I213" s="3">
        <v>76066</v>
      </c>
      <c r="J213" s="3">
        <f>IF(E213="Cold",1,0)</f>
        <v>0</v>
      </c>
      <c r="K213" s="3">
        <f>IF(E213="Hot",1,0)</f>
        <v>0</v>
      </c>
      <c r="L213" s="3">
        <v>2363</v>
      </c>
      <c r="M213" s="3">
        <v>75</v>
      </c>
      <c r="N213" s="4">
        <v>43876</v>
      </c>
      <c r="O213" s="10">
        <v>357049.565</v>
      </c>
      <c r="P213" s="1">
        <f>$C$3+F213*$C$4+H213*$C$6+J213*$C$8+K213*$C$9+L213*$C$10+M213*$C$11</f>
        <v>328211.21735123062</v>
      </c>
      <c r="Q213" s="1">
        <f>(O213-P213)/O213</f>
        <v>8.0768471595167424E-2</v>
      </c>
      <c r="R213" s="1"/>
      <c r="S213" s="1"/>
    </row>
    <row r="214" spans="1:19" x14ac:dyDescent="0.3">
      <c r="A214" s="2">
        <v>210</v>
      </c>
      <c r="B214" s="3" t="s">
        <v>33</v>
      </c>
      <c r="C214" s="3" t="s">
        <v>80</v>
      </c>
      <c r="D214" s="3" t="s">
        <v>18</v>
      </c>
      <c r="E214" s="3" t="s">
        <v>21</v>
      </c>
      <c r="F214" s="3">
        <f>IF(D214="Urban",1,0)</f>
        <v>1</v>
      </c>
      <c r="G214" s="3">
        <v>13994</v>
      </c>
      <c r="H214" s="3">
        <v>6</v>
      </c>
      <c r="I214" s="3">
        <v>87476</v>
      </c>
      <c r="J214" s="3">
        <f>IF(E214="Cold",1,0)</f>
        <v>0</v>
      </c>
      <c r="K214" s="3">
        <f>IF(E214="Hot",1,0)</f>
        <v>1</v>
      </c>
      <c r="L214" s="3">
        <v>1559</v>
      </c>
      <c r="M214" s="3">
        <v>27</v>
      </c>
      <c r="N214" s="4">
        <v>45016</v>
      </c>
      <c r="O214" s="10">
        <v>375589.5097</v>
      </c>
      <c r="P214" s="1">
        <f>$C$3+F214*$C$4+H214*$C$6+J214*$C$8+K214*$C$9+L214*$C$10+M214*$C$11</f>
        <v>345273.44353690819</v>
      </c>
      <c r="Q214" s="1">
        <f>(O214-P214)/O214</f>
        <v>8.0715955531629704E-2</v>
      </c>
      <c r="R214" s="1"/>
      <c r="S214" s="1"/>
    </row>
    <row r="215" spans="1:19" x14ac:dyDescent="0.3">
      <c r="A215" s="2">
        <v>197</v>
      </c>
      <c r="B215" s="3" t="s">
        <v>26</v>
      </c>
      <c r="C215" s="3" t="s">
        <v>156</v>
      </c>
      <c r="D215" s="3" t="s">
        <v>18</v>
      </c>
      <c r="E215" s="3" t="s">
        <v>21</v>
      </c>
      <c r="F215" s="3">
        <f>IF(D215="Urban",1,0)</f>
        <v>1</v>
      </c>
      <c r="G215" s="3">
        <v>18342</v>
      </c>
      <c r="H215" s="3">
        <v>8</v>
      </c>
      <c r="I215" s="3">
        <v>96364</v>
      </c>
      <c r="J215" s="3">
        <f>IF(E215="Cold",1,0)</f>
        <v>0</v>
      </c>
      <c r="K215" s="3">
        <f>IF(E215="Hot",1,0)</f>
        <v>1</v>
      </c>
      <c r="L215" s="3">
        <v>2365</v>
      </c>
      <c r="M215" s="3">
        <v>47</v>
      </c>
      <c r="N215" s="4">
        <v>44130</v>
      </c>
      <c r="O215" s="10">
        <v>397717.67460000003</v>
      </c>
      <c r="P215" s="1">
        <f>$C$3+F215*$C$4+H215*$C$6+J215*$C$8+K215*$C$9+L215*$C$10+M215*$C$11</f>
        <v>365623.23173375218</v>
      </c>
      <c r="Q215" s="1">
        <f>(O215-P215)/O215</f>
        <v>8.0696546610674172E-2</v>
      </c>
      <c r="R215" s="1"/>
      <c r="S215" s="1"/>
    </row>
    <row r="216" spans="1:19" x14ac:dyDescent="0.3">
      <c r="A216" s="2">
        <v>903</v>
      </c>
      <c r="B216" s="3" t="s">
        <v>19</v>
      </c>
      <c r="C216" s="3" t="s">
        <v>155</v>
      </c>
      <c r="D216" s="3" t="s">
        <v>18</v>
      </c>
      <c r="E216" s="3" t="s">
        <v>23</v>
      </c>
      <c r="F216" s="3">
        <f>IF(D216="Urban",1,0)</f>
        <v>1</v>
      </c>
      <c r="G216" s="3">
        <v>7714</v>
      </c>
      <c r="H216" s="3">
        <v>5</v>
      </c>
      <c r="I216" s="3">
        <v>94678</v>
      </c>
      <c r="J216" s="3">
        <f>IF(E216="Cold",1,0)</f>
        <v>0</v>
      </c>
      <c r="K216" s="3">
        <f>IF(E216="Hot",1,0)</f>
        <v>0</v>
      </c>
      <c r="L216" s="3">
        <v>1211</v>
      </c>
      <c r="M216" s="3">
        <v>55</v>
      </c>
      <c r="N216" s="4">
        <v>44338</v>
      </c>
      <c r="O216" s="10">
        <v>376899.00410000002</v>
      </c>
      <c r="P216" s="1">
        <f>$C$3+F216*$C$4+H216*$C$6+J216*$C$8+K216*$C$9+L216*$C$10+M216*$C$11</f>
        <v>346624.6171155842</v>
      </c>
      <c r="Q216" s="1">
        <f>(O216-P216)/O216</f>
        <v>8.0324932289774165E-2</v>
      </c>
      <c r="R216" s="1"/>
      <c r="S216" s="1"/>
    </row>
    <row r="217" spans="1:19" x14ac:dyDescent="0.3">
      <c r="A217" s="2">
        <v>1</v>
      </c>
      <c r="B217" s="3" t="s">
        <v>16</v>
      </c>
      <c r="C217" s="3" t="s">
        <v>17</v>
      </c>
      <c r="D217" s="3" t="s">
        <v>18</v>
      </c>
      <c r="E217" s="3" t="s">
        <v>15</v>
      </c>
      <c r="F217" s="3">
        <f>IF(D217="Urban",1,0)</f>
        <v>1</v>
      </c>
      <c r="G217" s="3">
        <v>1003</v>
      </c>
      <c r="H217" s="3">
        <v>6</v>
      </c>
      <c r="I217" s="3">
        <v>72018</v>
      </c>
      <c r="J217" s="3">
        <f>IF(E217="Cold",1,0)</f>
        <v>1</v>
      </c>
      <c r="K217" s="3">
        <f>IF(E217="Hot",1,0)</f>
        <v>0</v>
      </c>
      <c r="L217" s="3">
        <v>1006</v>
      </c>
      <c r="M217" s="3">
        <v>50</v>
      </c>
      <c r="N217" s="4">
        <v>44354</v>
      </c>
      <c r="O217" s="10">
        <v>349046.79139999999</v>
      </c>
      <c r="P217" s="1">
        <f>$C$3+F217*$C$4+H217*$C$6+J217*$C$8+K217*$C$9+L217*$C$10+M217*$C$11</f>
        <v>321104.66365295224</v>
      </c>
      <c r="Q217" s="1">
        <f>(O217-P217)/O217</f>
        <v>8.0052670402652931E-2</v>
      </c>
      <c r="R217" s="1"/>
      <c r="S217" s="1"/>
    </row>
    <row r="218" spans="1:19" x14ac:dyDescent="0.3">
      <c r="A218" s="2">
        <v>867</v>
      </c>
      <c r="B218" s="3" t="s">
        <v>35</v>
      </c>
      <c r="C218" s="3" t="s">
        <v>148</v>
      </c>
      <c r="D218" s="3" t="s">
        <v>14</v>
      </c>
      <c r="E218" s="3" t="s">
        <v>21</v>
      </c>
      <c r="F218" s="3">
        <f>IF(D218="Urban",1,0)</f>
        <v>0</v>
      </c>
      <c r="G218" s="3">
        <v>14135</v>
      </c>
      <c r="H218" s="3">
        <v>7</v>
      </c>
      <c r="I218" s="3">
        <v>96971</v>
      </c>
      <c r="J218" s="3">
        <f>IF(E218="Cold",1,0)</f>
        <v>0</v>
      </c>
      <c r="K218" s="3">
        <f>IF(E218="Hot",1,0)</f>
        <v>1</v>
      </c>
      <c r="L218" s="3">
        <v>1913</v>
      </c>
      <c r="M218" s="3">
        <v>44</v>
      </c>
      <c r="N218" s="4">
        <v>45058</v>
      </c>
      <c r="O218" s="10">
        <v>338989.51770000003</v>
      </c>
      <c r="P218" s="1">
        <f>$C$3+F218*$C$4+H218*$C$6+J218*$C$8+K218*$C$9+L218*$C$10+M218*$C$11</f>
        <v>311909.8225378145</v>
      </c>
      <c r="Q218" s="1">
        <f>(O218-P218)/O218</f>
        <v>7.9883576772278239E-2</v>
      </c>
      <c r="R218" s="1"/>
      <c r="S218" s="1"/>
    </row>
    <row r="219" spans="1:19" x14ac:dyDescent="0.3">
      <c r="A219" s="2">
        <v>382</v>
      </c>
      <c r="B219" s="3" t="s">
        <v>33</v>
      </c>
      <c r="C219" s="3" t="s">
        <v>91</v>
      </c>
      <c r="D219" s="3" t="s">
        <v>18</v>
      </c>
      <c r="E219" s="3" t="s">
        <v>21</v>
      </c>
      <c r="F219" s="3">
        <f>IF(D219="Urban",1,0)</f>
        <v>1</v>
      </c>
      <c r="G219" s="3">
        <v>3701</v>
      </c>
      <c r="H219" s="3">
        <v>0</v>
      </c>
      <c r="I219" s="3">
        <v>61593</v>
      </c>
      <c r="J219" s="3">
        <f>IF(E219="Cold",1,0)</f>
        <v>0</v>
      </c>
      <c r="K219" s="3">
        <f>IF(E219="Hot",1,0)</f>
        <v>1</v>
      </c>
      <c r="L219" s="3">
        <v>2848</v>
      </c>
      <c r="M219" s="3">
        <v>98</v>
      </c>
      <c r="N219" s="4">
        <v>44290</v>
      </c>
      <c r="O219" s="10">
        <v>433044.33669999999</v>
      </c>
      <c r="P219" s="1">
        <f>$C$3+F219*$C$4+H219*$C$6+J219*$C$8+K219*$C$9+L219*$C$10+M219*$C$11</f>
        <v>398583.00011847279</v>
      </c>
      <c r="Q219" s="1">
        <f>(O219-P219)/O219</f>
        <v>7.9579233951282385E-2</v>
      </c>
      <c r="R219" s="1"/>
      <c r="S219" s="1"/>
    </row>
    <row r="220" spans="1:19" x14ac:dyDescent="0.3">
      <c r="A220" s="2">
        <v>868</v>
      </c>
      <c r="B220" s="3" t="s">
        <v>53</v>
      </c>
      <c r="C220" s="3" t="s">
        <v>225</v>
      </c>
      <c r="D220" s="3" t="s">
        <v>14</v>
      </c>
      <c r="E220" s="3" t="s">
        <v>21</v>
      </c>
      <c r="F220" s="3">
        <f>IF(D220="Urban",1,0)</f>
        <v>0</v>
      </c>
      <c r="G220" s="3">
        <v>15012</v>
      </c>
      <c r="H220" s="3">
        <v>6</v>
      </c>
      <c r="I220" s="3">
        <v>95686</v>
      </c>
      <c r="J220" s="3">
        <f>IF(E220="Cold",1,0)</f>
        <v>0</v>
      </c>
      <c r="K220" s="3">
        <f>IF(E220="Hot",1,0)</f>
        <v>1</v>
      </c>
      <c r="L220" s="3">
        <v>2878</v>
      </c>
      <c r="M220" s="3">
        <v>25</v>
      </c>
      <c r="N220" s="4">
        <v>45228</v>
      </c>
      <c r="O220" s="10">
        <v>354430.63799999998</v>
      </c>
      <c r="P220" s="1">
        <f>$C$3+F220*$C$4+H220*$C$6+J220*$C$8+K220*$C$9+L220*$C$10+M220*$C$11</f>
        <v>326262.10347935156</v>
      </c>
      <c r="Q220" s="1">
        <f>(O220-P220)/O220</f>
        <v>7.9475450202610362E-2</v>
      </c>
      <c r="R220" s="1"/>
      <c r="S220" s="1"/>
    </row>
    <row r="221" spans="1:19" x14ac:dyDescent="0.3">
      <c r="A221" s="2">
        <v>473</v>
      </c>
      <c r="B221" s="3" t="s">
        <v>44</v>
      </c>
      <c r="C221" s="3" t="s">
        <v>82</v>
      </c>
      <c r="D221" s="3" t="s">
        <v>18</v>
      </c>
      <c r="E221" s="3" t="s">
        <v>15</v>
      </c>
      <c r="F221" s="3">
        <f>IF(D221="Urban",1,0)</f>
        <v>1</v>
      </c>
      <c r="G221" s="3">
        <v>13037</v>
      </c>
      <c r="H221" s="3">
        <v>0</v>
      </c>
      <c r="I221" s="3">
        <v>58393</v>
      </c>
      <c r="J221" s="3">
        <f>IF(E221="Cold",1,0)</f>
        <v>1</v>
      </c>
      <c r="K221" s="3">
        <f>IF(E221="Hot",1,0)</f>
        <v>0</v>
      </c>
      <c r="L221" s="3">
        <v>1200</v>
      </c>
      <c r="M221" s="3">
        <v>48</v>
      </c>
      <c r="N221" s="4">
        <v>44197</v>
      </c>
      <c r="O221" s="10">
        <v>358534.9007</v>
      </c>
      <c r="P221" s="1">
        <f>$C$3+F221*$C$4+H221*$C$6+J221*$C$8+K221*$C$9+L221*$C$10+M221*$C$11</f>
        <v>330060.45734611806</v>
      </c>
      <c r="Q221" s="1">
        <f>(O221-P221)/O221</f>
        <v>7.9418888644560745E-2</v>
      </c>
      <c r="R221" s="1"/>
      <c r="S221" s="1"/>
    </row>
    <row r="222" spans="1:19" x14ac:dyDescent="0.3">
      <c r="A222" s="2">
        <v>110</v>
      </c>
      <c r="B222" s="3" t="s">
        <v>108</v>
      </c>
      <c r="C222" s="3" t="s">
        <v>117</v>
      </c>
      <c r="D222" s="3" t="s">
        <v>14</v>
      </c>
      <c r="E222" s="3" t="s">
        <v>21</v>
      </c>
      <c r="F222" s="3">
        <f>IF(D222="Urban",1,0)</f>
        <v>0</v>
      </c>
      <c r="G222" s="3">
        <v>29281</v>
      </c>
      <c r="H222" s="3">
        <v>6</v>
      </c>
      <c r="I222" s="3">
        <v>90787</v>
      </c>
      <c r="J222" s="3">
        <f>IF(E222="Cold",1,0)</f>
        <v>0</v>
      </c>
      <c r="K222" s="3">
        <f>IF(E222="Hot",1,0)</f>
        <v>1</v>
      </c>
      <c r="L222" s="3">
        <v>1869</v>
      </c>
      <c r="M222" s="3">
        <v>62</v>
      </c>
      <c r="N222" s="4">
        <v>44716</v>
      </c>
      <c r="O222" s="10">
        <v>344871.73719999997</v>
      </c>
      <c r="P222" s="1">
        <f>$C$3+F222*$C$4+H222*$C$6+J222*$C$8+K222*$C$9+L222*$C$10+M222*$C$11</f>
        <v>317529.95055148535</v>
      </c>
      <c r="Q222" s="1">
        <f>(O222-P222)/O222</f>
        <v>7.9281030305647857E-2</v>
      </c>
      <c r="R222" s="1"/>
      <c r="S222" s="1"/>
    </row>
    <row r="223" spans="1:19" x14ac:dyDescent="0.3">
      <c r="A223" s="2">
        <v>212</v>
      </c>
      <c r="B223" s="3" t="s">
        <v>40</v>
      </c>
      <c r="C223" s="3" t="s">
        <v>71</v>
      </c>
      <c r="D223" s="3" t="s">
        <v>18</v>
      </c>
      <c r="E223" s="3" t="s">
        <v>23</v>
      </c>
      <c r="F223" s="3">
        <f>IF(D223="Urban",1,0)</f>
        <v>1</v>
      </c>
      <c r="G223" s="3">
        <v>21057</v>
      </c>
      <c r="H223" s="3">
        <v>6</v>
      </c>
      <c r="I223" s="3">
        <v>98011</v>
      </c>
      <c r="J223" s="3">
        <f>IF(E223="Cold",1,0)</f>
        <v>0</v>
      </c>
      <c r="K223" s="3">
        <f>IF(E223="Hot",1,0)</f>
        <v>0</v>
      </c>
      <c r="L223" s="3">
        <v>1102</v>
      </c>
      <c r="M223" s="3">
        <v>69</v>
      </c>
      <c r="N223" s="4">
        <v>44209</v>
      </c>
      <c r="O223" s="10">
        <v>377693.12729999999</v>
      </c>
      <c r="P223" s="1">
        <f>$C$3+F223*$C$4+H223*$C$6+J223*$C$8+K223*$C$9+L223*$C$10+M223*$C$11</f>
        <v>347814.4213951694</v>
      </c>
      <c r="Q223" s="1">
        <f>(O223-P223)/O223</f>
        <v>7.9108418303566519E-2</v>
      </c>
      <c r="R223" s="1"/>
      <c r="S223" s="1"/>
    </row>
    <row r="224" spans="1:19" x14ac:dyDescent="0.3">
      <c r="A224" s="2">
        <v>516</v>
      </c>
      <c r="B224" s="3" t="s">
        <v>122</v>
      </c>
      <c r="C224" s="3" t="s">
        <v>189</v>
      </c>
      <c r="D224" s="3" t="s">
        <v>14</v>
      </c>
      <c r="E224" s="3" t="s">
        <v>23</v>
      </c>
      <c r="F224" s="3">
        <f>IF(D224="Urban",1,0)</f>
        <v>0</v>
      </c>
      <c r="G224" s="3">
        <v>7115</v>
      </c>
      <c r="H224" s="3">
        <v>6</v>
      </c>
      <c r="I224" s="3">
        <v>98622</v>
      </c>
      <c r="J224" s="3">
        <f>IF(E224="Cold",1,0)</f>
        <v>0</v>
      </c>
      <c r="K224" s="3">
        <f>IF(E224="Hot",1,0)</f>
        <v>0</v>
      </c>
      <c r="L224" s="3">
        <v>2233</v>
      </c>
      <c r="M224" s="3">
        <v>44</v>
      </c>
      <c r="N224" s="4">
        <v>45420</v>
      </c>
      <c r="O224" s="10">
        <v>345167.5269</v>
      </c>
      <c r="P224" s="1">
        <f>$C$3+F224*$C$4+H224*$C$6+J224*$C$8+K224*$C$9+L224*$C$10+M224*$C$11</f>
        <v>317961.86505606817</v>
      </c>
      <c r="Q224" s="1">
        <f>(O224-P224)/O224</f>
        <v>7.8818717647832784E-2</v>
      </c>
      <c r="R224" s="1"/>
      <c r="S224" s="1"/>
    </row>
    <row r="225" spans="1:19" x14ac:dyDescent="0.3">
      <c r="A225" s="2">
        <v>406</v>
      </c>
      <c r="B225" s="3" t="s">
        <v>19</v>
      </c>
      <c r="C225" s="3" t="s">
        <v>199</v>
      </c>
      <c r="D225" s="3" t="s">
        <v>18</v>
      </c>
      <c r="E225" s="3" t="s">
        <v>21</v>
      </c>
      <c r="F225" s="3">
        <f>IF(D225="Urban",1,0)</f>
        <v>1</v>
      </c>
      <c r="G225" s="3">
        <v>12301</v>
      </c>
      <c r="H225" s="3">
        <v>2</v>
      </c>
      <c r="I225" s="3">
        <v>83306</v>
      </c>
      <c r="J225" s="3">
        <f>IF(E225="Cold",1,0)</f>
        <v>0</v>
      </c>
      <c r="K225" s="3">
        <f>IF(E225="Hot",1,0)</f>
        <v>1</v>
      </c>
      <c r="L225" s="3">
        <v>1443</v>
      </c>
      <c r="M225" s="3">
        <v>88</v>
      </c>
      <c r="N225" s="4">
        <v>44567</v>
      </c>
      <c r="O225" s="10">
        <v>396785.14529999997</v>
      </c>
      <c r="P225" s="1">
        <f>$C$3+F225*$C$4+H225*$C$6+J225*$C$8+K225*$C$9+L225*$C$10+M225*$C$11</f>
        <v>365560.84827240731</v>
      </c>
      <c r="Q225" s="1">
        <f>(O225-P225)/O225</f>
        <v>7.8693210664387905E-2</v>
      </c>
      <c r="R225" s="1"/>
      <c r="S225" s="1"/>
    </row>
    <row r="226" spans="1:19" x14ac:dyDescent="0.3">
      <c r="A226" s="2">
        <v>687</v>
      </c>
      <c r="B226" s="3" t="s">
        <v>37</v>
      </c>
      <c r="C226" s="3" t="s">
        <v>90</v>
      </c>
      <c r="D226" s="3" t="s">
        <v>14</v>
      </c>
      <c r="E226" s="3" t="s">
        <v>21</v>
      </c>
      <c r="F226" s="3">
        <f>IF(D226="Urban",1,0)</f>
        <v>0</v>
      </c>
      <c r="G226" s="3">
        <v>11363</v>
      </c>
      <c r="H226" s="3">
        <v>5</v>
      </c>
      <c r="I226" s="3">
        <v>54234</v>
      </c>
      <c r="J226" s="3">
        <f>IF(E226="Cold",1,0)</f>
        <v>0</v>
      </c>
      <c r="K226" s="3">
        <f>IF(E226="Hot",1,0)</f>
        <v>1</v>
      </c>
      <c r="L226" s="3">
        <v>1756</v>
      </c>
      <c r="M226" s="3">
        <v>66</v>
      </c>
      <c r="N226" s="4">
        <v>44044</v>
      </c>
      <c r="O226" s="10">
        <v>344524.79820000002</v>
      </c>
      <c r="P226" s="1">
        <f>$C$3+F226*$C$4+H226*$C$6+J226*$C$8+K226*$C$9+L226*$C$10+M226*$C$11</f>
        <v>317457.82160960592</v>
      </c>
      <c r="Q226" s="1">
        <f>(O226-P226)/O226</f>
        <v>7.8563217312100295E-2</v>
      </c>
      <c r="R226" s="1"/>
      <c r="S226" s="1"/>
    </row>
    <row r="227" spans="1:19" x14ac:dyDescent="0.3">
      <c r="A227" s="2">
        <v>733</v>
      </c>
      <c r="B227" s="3" t="s">
        <v>35</v>
      </c>
      <c r="C227" s="3" t="s">
        <v>192</v>
      </c>
      <c r="D227" s="3" t="s">
        <v>14</v>
      </c>
      <c r="E227" s="3" t="s">
        <v>21</v>
      </c>
      <c r="F227" s="3">
        <f>IF(D227="Urban",1,0)</f>
        <v>0</v>
      </c>
      <c r="G227" s="3">
        <v>9221</v>
      </c>
      <c r="H227" s="3">
        <v>4</v>
      </c>
      <c r="I227" s="3">
        <v>93305</v>
      </c>
      <c r="J227" s="3">
        <f>IF(E227="Cold",1,0)</f>
        <v>0</v>
      </c>
      <c r="K227" s="3">
        <f>IF(E227="Hot",1,0)</f>
        <v>1</v>
      </c>
      <c r="L227" s="3">
        <v>1676</v>
      </c>
      <c r="M227" s="3">
        <v>52</v>
      </c>
      <c r="N227" s="4">
        <v>45302</v>
      </c>
      <c r="O227" s="10">
        <v>339012.5233</v>
      </c>
      <c r="P227" s="1">
        <f>$C$3+F227*$C$4+H227*$C$6+J227*$C$8+K227*$C$9+L227*$C$10+M227*$C$11</f>
        <v>312496.13475089148</v>
      </c>
      <c r="Q227" s="1">
        <f>(O227-P227)/O227</f>
        <v>7.8216545781241126E-2</v>
      </c>
      <c r="R227" s="1"/>
      <c r="S227" s="1"/>
    </row>
    <row r="228" spans="1:19" x14ac:dyDescent="0.3">
      <c r="A228" s="2">
        <v>327</v>
      </c>
      <c r="B228" s="3" t="s">
        <v>24</v>
      </c>
      <c r="C228" s="3" t="s">
        <v>101</v>
      </c>
      <c r="D228" s="3" t="s">
        <v>18</v>
      </c>
      <c r="E228" s="3" t="s">
        <v>23</v>
      </c>
      <c r="F228" s="3">
        <f>IF(D228="Urban",1,0)</f>
        <v>1</v>
      </c>
      <c r="G228" s="3">
        <v>19402</v>
      </c>
      <c r="H228" s="3">
        <v>8</v>
      </c>
      <c r="I228" s="3">
        <v>74743</v>
      </c>
      <c r="J228" s="3">
        <f>IF(E228="Cold",1,0)</f>
        <v>0</v>
      </c>
      <c r="K228" s="3">
        <f>IF(E228="Hot",1,0)</f>
        <v>0</v>
      </c>
      <c r="L228" s="3">
        <v>1501</v>
      </c>
      <c r="M228" s="3">
        <v>22</v>
      </c>
      <c r="N228" s="4">
        <v>44892</v>
      </c>
      <c r="O228" s="10">
        <v>368181.20199999999</v>
      </c>
      <c r="P228" s="1">
        <f>$C$3+F228*$C$4+H228*$C$6+J228*$C$8+K228*$C$9+L228*$C$10+M228*$C$11</f>
        <v>339390.2777701327</v>
      </c>
      <c r="Q228" s="1">
        <f>(O228-P228)/O228</f>
        <v>7.819770285248645E-2</v>
      </c>
      <c r="R228" s="1"/>
      <c r="S228" s="1"/>
    </row>
    <row r="229" spans="1:19" x14ac:dyDescent="0.3">
      <c r="A229" s="2">
        <v>523</v>
      </c>
      <c r="B229" s="3" t="s">
        <v>19</v>
      </c>
      <c r="C229" s="3" t="s">
        <v>179</v>
      </c>
      <c r="D229" s="3" t="s">
        <v>14</v>
      </c>
      <c r="E229" s="3" t="s">
        <v>21</v>
      </c>
      <c r="F229" s="3">
        <f>IF(D229="Urban",1,0)</f>
        <v>0</v>
      </c>
      <c r="G229" s="3">
        <v>19890</v>
      </c>
      <c r="H229" s="3">
        <v>9</v>
      </c>
      <c r="I229" s="3">
        <v>65670</v>
      </c>
      <c r="J229" s="3">
        <f>IF(E229="Cold",1,0)</f>
        <v>0</v>
      </c>
      <c r="K229" s="3">
        <f>IF(E229="Hot",1,0)</f>
        <v>1</v>
      </c>
      <c r="L229" s="3">
        <v>2475</v>
      </c>
      <c r="M229" s="3">
        <v>36</v>
      </c>
      <c r="N229" s="4">
        <v>44499</v>
      </c>
      <c r="O229" s="10">
        <v>345732.07030000002</v>
      </c>
      <c r="P229" s="1">
        <f>$C$3+F229*$C$4+H229*$C$6+J229*$C$8+K229*$C$9+L229*$C$10+M229*$C$11</f>
        <v>318759.64945113636</v>
      </c>
      <c r="Q229" s="1">
        <f>(O229-P229)/O229</f>
        <v>7.8015385802824272E-2</v>
      </c>
      <c r="R229" s="1"/>
      <c r="S229" s="1"/>
    </row>
    <row r="230" spans="1:19" x14ac:dyDescent="0.3">
      <c r="A230" s="2">
        <v>457</v>
      </c>
      <c r="B230" s="3" t="s">
        <v>31</v>
      </c>
      <c r="C230" s="3" t="s">
        <v>172</v>
      </c>
      <c r="D230" s="3" t="s">
        <v>14</v>
      </c>
      <c r="E230" s="3" t="s">
        <v>21</v>
      </c>
      <c r="F230" s="3">
        <f>IF(D230="Urban",1,0)</f>
        <v>0</v>
      </c>
      <c r="G230" s="3">
        <v>28174</v>
      </c>
      <c r="H230" s="3">
        <v>5</v>
      </c>
      <c r="I230" s="3">
        <v>97245</v>
      </c>
      <c r="J230" s="3">
        <f>IF(E230="Cold",1,0)</f>
        <v>0</v>
      </c>
      <c r="K230" s="3">
        <f>IF(E230="Hot",1,0)</f>
        <v>1</v>
      </c>
      <c r="L230" s="3">
        <v>2831</v>
      </c>
      <c r="M230" s="3">
        <v>95</v>
      </c>
      <c r="N230" s="4">
        <v>44919</v>
      </c>
      <c r="O230" s="10">
        <v>377279.71389999997</v>
      </c>
      <c r="P230" s="1">
        <f>$C$3+F230*$C$4+H230*$C$6+J230*$C$8+K230*$C$9+L230*$C$10+M230*$C$11</f>
        <v>347850.32204363006</v>
      </c>
      <c r="Q230" s="1">
        <f>(O230-P230)/O230</f>
        <v>7.8004172427278529E-2</v>
      </c>
      <c r="R230" s="1"/>
      <c r="S230" s="1"/>
    </row>
    <row r="231" spans="1:19" x14ac:dyDescent="0.3">
      <c r="A231" s="2">
        <v>892</v>
      </c>
      <c r="B231" s="3" t="s">
        <v>12</v>
      </c>
      <c r="C231" s="3" t="s">
        <v>173</v>
      </c>
      <c r="D231" s="3" t="s">
        <v>18</v>
      </c>
      <c r="E231" s="3" t="s">
        <v>23</v>
      </c>
      <c r="F231" s="3">
        <f>IF(D231="Urban",1,0)</f>
        <v>1</v>
      </c>
      <c r="G231" s="3">
        <v>28291</v>
      </c>
      <c r="H231" s="3">
        <v>7</v>
      </c>
      <c r="I231" s="3">
        <v>72865</v>
      </c>
      <c r="J231" s="3">
        <f>IF(E231="Cold",1,0)</f>
        <v>0</v>
      </c>
      <c r="K231" s="3">
        <f>IF(E231="Hot",1,0)</f>
        <v>0</v>
      </c>
      <c r="L231" s="3">
        <v>2242</v>
      </c>
      <c r="M231" s="3">
        <v>40</v>
      </c>
      <c r="N231" s="4">
        <v>44840</v>
      </c>
      <c r="O231" s="10">
        <v>391170.72739999997</v>
      </c>
      <c r="P231" s="1">
        <f>$C$3+F231*$C$4+H231*$C$6+J231*$C$8+K231*$C$9+L231*$C$10+M231*$C$11</f>
        <v>360676.69057013397</v>
      </c>
      <c r="Q231" s="1">
        <f>(O231-P231)/O231</f>
        <v>7.7955825152232511E-2</v>
      </c>
      <c r="R231" s="1"/>
      <c r="S231" s="1"/>
    </row>
    <row r="232" spans="1:19" x14ac:dyDescent="0.3">
      <c r="A232" s="2">
        <v>181</v>
      </c>
      <c r="B232" s="3" t="s">
        <v>35</v>
      </c>
      <c r="C232" s="3" t="s">
        <v>150</v>
      </c>
      <c r="D232" s="3" t="s">
        <v>18</v>
      </c>
      <c r="E232" s="3" t="s">
        <v>23</v>
      </c>
      <c r="F232" s="3">
        <f>IF(D232="Urban",1,0)</f>
        <v>1</v>
      </c>
      <c r="G232" s="3">
        <v>27212</v>
      </c>
      <c r="H232" s="3">
        <v>9</v>
      </c>
      <c r="I232" s="3">
        <v>51315</v>
      </c>
      <c r="J232" s="3">
        <f>IF(E232="Cold",1,0)</f>
        <v>0</v>
      </c>
      <c r="K232" s="3">
        <f>IF(E232="Hot",1,0)</f>
        <v>0</v>
      </c>
      <c r="L232" s="3">
        <v>2929</v>
      </c>
      <c r="M232" s="3">
        <v>80</v>
      </c>
      <c r="N232" s="4">
        <v>45345</v>
      </c>
      <c r="O232" s="10">
        <v>417342.6433</v>
      </c>
      <c r="P232" s="1">
        <f>$C$3+F232*$C$4+H232*$C$6+J232*$C$8+K232*$C$9+L232*$C$10+M232*$C$11</f>
        <v>384816.19039054256</v>
      </c>
      <c r="Q232" s="1">
        <f>(O232-P232)/O232</f>
        <v>7.7937046289507317E-2</v>
      </c>
      <c r="R232" s="1"/>
      <c r="S232" s="1"/>
    </row>
    <row r="233" spans="1:19" x14ac:dyDescent="0.3">
      <c r="A233" s="2">
        <v>648</v>
      </c>
      <c r="B233" s="3" t="s">
        <v>31</v>
      </c>
      <c r="C233" s="3" t="s">
        <v>146</v>
      </c>
      <c r="D233" s="3" t="s">
        <v>14</v>
      </c>
      <c r="E233" s="3" t="s">
        <v>15</v>
      </c>
      <c r="F233" s="3">
        <f>IF(D233="Urban",1,0)</f>
        <v>0</v>
      </c>
      <c r="G233" s="3">
        <v>6039</v>
      </c>
      <c r="H233" s="3">
        <v>2</v>
      </c>
      <c r="I233" s="3">
        <v>54856</v>
      </c>
      <c r="J233" s="3">
        <f>IF(E233="Cold",1,0)</f>
        <v>1</v>
      </c>
      <c r="K233" s="3">
        <f>IF(E233="Hot",1,0)</f>
        <v>0</v>
      </c>
      <c r="L233" s="3">
        <v>1999</v>
      </c>
      <c r="M233" s="3">
        <v>59</v>
      </c>
      <c r="N233" s="4">
        <v>45391</v>
      </c>
      <c r="O233" s="10">
        <v>328338.23420000001</v>
      </c>
      <c r="P233" s="1">
        <f>$C$3+F233*$C$4+H233*$C$6+J233*$C$8+K233*$C$9+L233*$C$10+M233*$C$11</f>
        <v>302778.24605024705</v>
      </c>
      <c r="Q233" s="1">
        <f>(O233-P233)/O233</f>
        <v>7.7846517668069243E-2</v>
      </c>
      <c r="R233" s="1"/>
      <c r="S233" s="1"/>
    </row>
    <row r="234" spans="1:19" x14ac:dyDescent="0.3">
      <c r="A234" s="2">
        <v>635</v>
      </c>
      <c r="B234" s="3" t="s">
        <v>16</v>
      </c>
      <c r="C234" s="3" t="s">
        <v>51</v>
      </c>
      <c r="D234" s="3" t="s">
        <v>18</v>
      </c>
      <c r="E234" s="3" t="s">
        <v>23</v>
      </c>
      <c r="F234" s="3">
        <f>IF(D234="Urban",1,0)</f>
        <v>1</v>
      </c>
      <c r="G234" s="3">
        <v>14581</v>
      </c>
      <c r="H234" s="3">
        <v>5</v>
      </c>
      <c r="I234" s="3">
        <v>90981</v>
      </c>
      <c r="J234" s="3">
        <f>IF(E234="Cold",1,0)</f>
        <v>0</v>
      </c>
      <c r="K234" s="3">
        <f>IF(E234="Hot",1,0)</f>
        <v>0</v>
      </c>
      <c r="L234" s="3">
        <v>2172</v>
      </c>
      <c r="M234" s="3">
        <v>94</v>
      </c>
      <c r="N234" s="4">
        <v>44079</v>
      </c>
      <c r="O234" s="10">
        <v>409610.95020000002</v>
      </c>
      <c r="P234" s="1">
        <f>$C$3+F234*$C$4+H234*$C$6+J234*$C$8+K234*$C$9+L234*$C$10+M234*$C$11</f>
        <v>377824.31409915496</v>
      </c>
      <c r="Q234" s="1">
        <f>(O234-P234)/O234</f>
        <v>7.760201743953539E-2</v>
      </c>
      <c r="R234" s="1"/>
      <c r="S234" s="1"/>
    </row>
    <row r="235" spans="1:19" x14ac:dyDescent="0.3">
      <c r="A235" s="2">
        <v>439</v>
      </c>
      <c r="B235" s="3" t="s">
        <v>57</v>
      </c>
      <c r="C235" s="3" t="s">
        <v>67</v>
      </c>
      <c r="D235" s="3" t="s">
        <v>14</v>
      </c>
      <c r="E235" s="3" t="s">
        <v>21</v>
      </c>
      <c r="F235" s="3">
        <f>IF(D235="Urban",1,0)</f>
        <v>0</v>
      </c>
      <c r="G235" s="3">
        <v>3907</v>
      </c>
      <c r="H235" s="3">
        <v>2</v>
      </c>
      <c r="I235" s="3">
        <v>70514</v>
      </c>
      <c r="J235" s="3">
        <f>IF(E235="Cold",1,0)</f>
        <v>0</v>
      </c>
      <c r="K235" s="3">
        <f>IF(E235="Hot",1,0)</f>
        <v>1</v>
      </c>
      <c r="L235" s="3">
        <v>1868</v>
      </c>
      <c r="M235" s="3">
        <v>44</v>
      </c>
      <c r="N235" s="4">
        <v>44216</v>
      </c>
      <c r="O235" s="10">
        <v>342319.6875</v>
      </c>
      <c r="P235" s="1">
        <f>$C$3+F235*$C$4+H235*$C$6+J235*$C$8+K235*$C$9+L235*$C$10+M235*$C$11</f>
        <v>315762.24352882546</v>
      </c>
      <c r="Q235" s="1">
        <f>(O235-P235)/O235</f>
        <v>7.7580825587703114E-2</v>
      </c>
      <c r="R235" s="1"/>
      <c r="S235" s="1"/>
    </row>
    <row r="236" spans="1:19" x14ac:dyDescent="0.3">
      <c r="A236" s="2">
        <v>966</v>
      </c>
      <c r="B236" s="3" t="s">
        <v>16</v>
      </c>
      <c r="C236" s="3" t="s">
        <v>17</v>
      </c>
      <c r="D236" s="3" t="s">
        <v>14</v>
      </c>
      <c r="E236" s="3" t="s">
        <v>23</v>
      </c>
      <c r="F236" s="3">
        <f>IF(D236="Urban",1,0)</f>
        <v>0</v>
      </c>
      <c r="G236" s="3">
        <v>20131</v>
      </c>
      <c r="H236" s="3">
        <v>7</v>
      </c>
      <c r="I236" s="3">
        <v>95492</v>
      </c>
      <c r="J236" s="3">
        <f>IF(E236="Cold",1,0)</f>
        <v>0</v>
      </c>
      <c r="K236" s="3">
        <f>IF(E236="Hot",1,0)</f>
        <v>0</v>
      </c>
      <c r="L236" s="3">
        <v>1230</v>
      </c>
      <c r="M236" s="3">
        <v>27</v>
      </c>
      <c r="N236" s="4">
        <v>45121</v>
      </c>
      <c r="O236" s="10">
        <v>316258.7403</v>
      </c>
      <c r="P236" s="1">
        <f>$C$3+F236*$C$4+H236*$C$6+J236*$C$8+K236*$C$9+L236*$C$10+M236*$C$11</f>
        <v>291754.93500980578</v>
      </c>
      <c r="Q236" s="1">
        <f>(O236-P236)/O236</f>
        <v>7.7480246923611204E-2</v>
      </c>
      <c r="R236" s="1"/>
      <c r="S236" s="1"/>
    </row>
    <row r="237" spans="1:19" x14ac:dyDescent="0.3">
      <c r="A237" s="2">
        <v>502</v>
      </c>
      <c r="B237" s="3" t="s">
        <v>72</v>
      </c>
      <c r="C237" s="3" t="s">
        <v>147</v>
      </c>
      <c r="D237" s="3" t="s">
        <v>14</v>
      </c>
      <c r="E237" s="3" t="s">
        <v>21</v>
      </c>
      <c r="F237" s="3">
        <f>IF(D237="Urban",1,0)</f>
        <v>0</v>
      </c>
      <c r="G237" s="3">
        <v>16792</v>
      </c>
      <c r="H237" s="3">
        <v>1</v>
      </c>
      <c r="I237" s="3">
        <v>94335</v>
      </c>
      <c r="J237" s="3">
        <f>IF(E237="Cold",1,0)</f>
        <v>0</v>
      </c>
      <c r="K237" s="3">
        <f>IF(E237="Hot",1,0)</f>
        <v>1</v>
      </c>
      <c r="L237" s="3">
        <v>2570</v>
      </c>
      <c r="M237" s="3">
        <v>81</v>
      </c>
      <c r="N237" s="4">
        <v>43906</v>
      </c>
      <c r="O237" s="10">
        <v>370798.17709999997</v>
      </c>
      <c r="P237" s="1">
        <f>$C$3+F237*$C$4+H237*$C$6+J237*$C$8+K237*$C$9+L237*$C$10+M237*$C$11</f>
        <v>342126.70197430585</v>
      </c>
      <c r="Q237" s="1">
        <f>(O237-P237)/O237</f>
        <v>7.7323667958490952E-2</v>
      </c>
      <c r="R237" s="1"/>
      <c r="S237" s="1"/>
    </row>
    <row r="238" spans="1:19" x14ac:dyDescent="0.3">
      <c r="A238" s="2">
        <v>935</v>
      </c>
      <c r="B238" s="3" t="s">
        <v>16</v>
      </c>
      <c r="C238" s="3" t="s">
        <v>51</v>
      </c>
      <c r="D238" s="3" t="s">
        <v>14</v>
      </c>
      <c r="E238" s="3" t="s">
        <v>15</v>
      </c>
      <c r="F238" s="3">
        <f>IF(D238="Urban",1,0)</f>
        <v>0</v>
      </c>
      <c r="G238" s="3">
        <v>27607</v>
      </c>
      <c r="H238" s="3">
        <v>7</v>
      </c>
      <c r="I238" s="3">
        <v>54583</v>
      </c>
      <c r="J238" s="3">
        <f>IF(E238="Cold",1,0)</f>
        <v>1</v>
      </c>
      <c r="K238" s="3">
        <f>IF(E238="Hot",1,0)</f>
        <v>0</v>
      </c>
      <c r="L238" s="3">
        <v>1045</v>
      </c>
      <c r="M238" s="3">
        <v>38</v>
      </c>
      <c r="N238" s="4">
        <v>43986</v>
      </c>
      <c r="O238" s="10">
        <v>295346.53899999999</v>
      </c>
      <c r="P238" s="1">
        <f>$C$3+F238*$C$4+H238*$C$6+J238*$C$8+K238*$C$9+L238*$C$10+M238*$C$11</f>
        <v>272515.90073908417</v>
      </c>
      <c r="Q238" s="1">
        <f>(O238-P238)/O238</f>
        <v>7.7301187744461153E-2</v>
      </c>
      <c r="R238" s="1"/>
      <c r="S238" s="1"/>
    </row>
    <row r="239" spans="1:19" x14ac:dyDescent="0.3">
      <c r="A239" s="2">
        <v>508</v>
      </c>
      <c r="B239" s="3" t="s">
        <v>55</v>
      </c>
      <c r="C239" s="3" t="s">
        <v>98</v>
      </c>
      <c r="D239" s="3" t="s">
        <v>14</v>
      </c>
      <c r="E239" s="3" t="s">
        <v>21</v>
      </c>
      <c r="F239" s="3">
        <f>IF(D239="Urban",1,0)</f>
        <v>0</v>
      </c>
      <c r="G239" s="3">
        <v>11990</v>
      </c>
      <c r="H239" s="3">
        <v>0</v>
      </c>
      <c r="I239" s="3">
        <v>77054</v>
      </c>
      <c r="J239" s="3">
        <f>IF(E239="Cold",1,0)</f>
        <v>0</v>
      </c>
      <c r="K239" s="3">
        <f>IF(E239="Hot",1,0)</f>
        <v>1</v>
      </c>
      <c r="L239" s="3">
        <v>1071</v>
      </c>
      <c r="M239" s="3">
        <v>70</v>
      </c>
      <c r="N239" s="4">
        <v>44571</v>
      </c>
      <c r="O239" s="10">
        <v>335669.31640000001</v>
      </c>
      <c r="P239" s="1">
        <f>$C$3+F239*$C$4+H239*$C$6+J239*$C$8+K239*$C$9+L239*$C$10+M239*$C$11</f>
        <v>309770.65029432753</v>
      </c>
      <c r="Q239" s="1">
        <f>(O239-P239)/O239</f>
        <v>7.715529790876198E-2</v>
      </c>
      <c r="R239" s="1"/>
      <c r="S239" s="1"/>
    </row>
    <row r="240" spans="1:19" x14ac:dyDescent="0.3">
      <c r="A240" s="2">
        <v>489</v>
      </c>
      <c r="B240" s="3" t="s">
        <v>26</v>
      </c>
      <c r="C240" s="3" t="s">
        <v>27</v>
      </c>
      <c r="D240" s="3" t="s">
        <v>18</v>
      </c>
      <c r="E240" s="3" t="s">
        <v>23</v>
      </c>
      <c r="F240" s="3">
        <f>IF(D240="Urban",1,0)</f>
        <v>1</v>
      </c>
      <c r="G240" s="3">
        <v>10791</v>
      </c>
      <c r="H240" s="3">
        <v>8</v>
      </c>
      <c r="I240" s="3">
        <v>64564</v>
      </c>
      <c r="J240" s="3">
        <f>IF(E240="Cold",1,0)</f>
        <v>0</v>
      </c>
      <c r="K240" s="3">
        <f>IF(E240="Hot",1,0)</f>
        <v>0</v>
      </c>
      <c r="L240" s="3">
        <v>2197</v>
      </c>
      <c r="M240" s="3">
        <v>70</v>
      </c>
      <c r="N240" s="4">
        <v>44105</v>
      </c>
      <c r="O240" s="10">
        <v>398828.73379999999</v>
      </c>
      <c r="P240" s="1">
        <f>$C$3+F240*$C$4+H240*$C$6+J240*$C$8+K240*$C$9+L240*$C$10+M240*$C$11</f>
        <v>368075.42661734007</v>
      </c>
      <c r="Q240" s="1">
        <f>(O240-P240)/O240</f>
        <v>7.7109056034266904E-2</v>
      </c>
      <c r="R240" s="1"/>
      <c r="S240" s="1"/>
    </row>
    <row r="241" spans="1:19" x14ac:dyDescent="0.3">
      <c r="A241" s="2">
        <v>319</v>
      </c>
      <c r="B241" s="3" t="s">
        <v>12</v>
      </c>
      <c r="C241" s="3" t="s">
        <v>85</v>
      </c>
      <c r="D241" s="3" t="s">
        <v>18</v>
      </c>
      <c r="E241" s="3" t="s">
        <v>15</v>
      </c>
      <c r="F241" s="3">
        <f>IF(D241="Urban",1,0)</f>
        <v>1</v>
      </c>
      <c r="G241" s="3">
        <v>28661</v>
      </c>
      <c r="H241" s="3">
        <v>2</v>
      </c>
      <c r="I241" s="3">
        <v>90255</v>
      </c>
      <c r="J241" s="3">
        <f>IF(E241="Cold",1,0)</f>
        <v>1</v>
      </c>
      <c r="K241" s="3">
        <f>IF(E241="Hot",1,0)</f>
        <v>0</v>
      </c>
      <c r="L241" s="3">
        <v>2246</v>
      </c>
      <c r="M241" s="3">
        <v>99</v>
      </c>
      <c r="N241" s="4">
        <v>44393</v>
      </c>
      <c r="O241" s="10">
        <v>395184.00750000001</v>
      </c>
      <c r="P241" s="1">
        <f>$C$3+F241*$C$4+H241*$C$6+J241*$C$8+K241*$C$9+L241*$C$10+M241*$C$11</f>
        <v>364755.06872198143</v>
      </c>
      <c r="Q241" s="1">
        <f>(O241-P241)/O241</f>
        <v>7.699941850004792E-2</v>
      </c>
      <c r="R241" s="1"/>
      <c r="S241" s="1"/>
    </row>
    <row r="242" spans="1:19" x14ac:dyDescent="0.3">
      <c r="A242" s="2">
        <v>384</v>
      </c>
      <c r="B242" s="3" t="s">
        <v>26</v>
      </c>
      <c r="C242" s="3" t="s">
        <v>159</v>
      </c>
      <c r="D242" s="3" t="s">
        <v>14</v>
      </c>
      <c r="E242" s="3" t="s">
        <v>21</v>
      </c>
      <c r="F242" s="3">
        <f>IF(D242="Urban",1,0)</f>
        <v>0</v>
      </c>
      <c r="G242" s="3">
        <v>28960</v>
      </c>
      <c r="H242" s="3">
        <v>6</v>
      </c>
      <c r="I242" s="3">
        <v>98576</v>
      </c>
      <c r="J242" s="3">
        <f>IF(E242="Cold",1,0)</f>
        <v>0</v>
      </c>
      <c r="K242" s="3">
        <f>IF(E242="Hot",1,0)</f>
        <v>1</v>
      </c>
      <c r="L242" s="3">
        <v>2711</v>
      </c>
      <c r="M242" s="3">
        <v>86</v>
      </c>
      <c r="N242" s="4">
        <v>45257</v>
      </c>
      <c r="O242" s="10">
        <v>370229.54090000002</v>
      </c>
      <c r="P242" s="1">
        <f>$C$3+F242*$C$4+H242*$C$6+J242*$C$8+K242*$C$9+L242*$C$10+M242*$C$11</f>
        <v>341731.30801260134</v>
      </c>
      <c r="Q242" s="1">
        <f>(O242-P242)/O242</f>
        <v>7.6974497545824236E-2</v>
      </c>
      <c r="R242" s="1"/>
      <c r="S242" s="1"/>
    </row>
    <row r="243" spans="1:19" x14ac:dyDescent="0.3">
      <c r="A243" s="2">
        <v>553</v>
      </c>
      <c r="B243" s="3" t="s">
        <v>53</v>
      </c>
      <c r="C243" s="3" t="s">
        <v>157</v>
      </c>
      <c r="D243" s="3" t="s">
        <v>14</v>
      </c>
      <c r="E243" s="3" t="s">
        <v>21</v>
      </c>
      <c r="F243" s="3">
        <f>IF(D243="Urban",1,0)</f>
        <v>0</v>
      </c>
      <c r="G243" s="3">
        <v>5407</v>
      </c>
      <c r="H243" s="3">
        <v>2</v>
      </c>
      <c r="I243" s="3">
        <v>97679</v>
      </c>
      <c r="J243" s="3">
        <f>IF(E243="Cold",1,0)</f>
        <v>0</v>
      </c>
      <c r="K243" s="3">
        <f>IF(E243="Hot",1,0)</f>
        <v>1</v>
      </c>
      <c r="L243" s="3">
        <v>1899</v>
      </c>
      <c r="M243" s="3">
        <v>47</v>
      </c>
      <c r="N243" s="4">
        <v>44841</v>
      </c>
      <c r="O243" s="10">
        <v>343747.86249999999</v>
      </c>
      <c r="P243" s="1">
        <f>$C$3+F243*$C$4+H243*$C$6+J243*$C$8+K243*$C$9+L243*$C$10+M243*$C$11</f>
        <v>317305.60219823569</v>
      </c>
      <c r="Q243" s="1">
        <f>(O243-P243)/O243</f>
        <v>7.692341738347333E-2</v>
      </c>
      <c r="R243" s="1"/>
      <c r="S243" s="1"/>
    </row>
    <row r="244" spans="1:19" x14ac:dyDescent="0.3">
      <c r="A244" s="2">
        <v>12</v>
      </c>
      <c r="B244" s="3" t="s">
        <v>24</v>
      </c>
      <c r="C244" s="3" t="s">
        <v>39</v>
      </c>
      <c r="D244" s="3" t="s">
        <v>14</v>
      </c>
      <c r="E244" s="3" t="s">
        <v>15</v>
      </c>
      <c r="F244" s="3">
        <f>IF(D244="Urban",1,0)</f>
        <v>0</v>
      </c>
      <c r="G244" s="3">
        <v>3338</v>
      </c>
      <c r="H244" s="3">
        <v>3</v>
      </c>
      <c r="I244" s="3">
        <v>95768</v>
      </c>
      <c r="J244" s="3">
        <f>IF(E244="Cold",1,0)</f>
        <v>1</v>
      </c>
      <c r="K244" s="3">
        <f>IF(E244="Hot",1,0)</f>
        <v>0</v>
      </c>
      <c r="L244" s="3">
        <v>2580</v>
      </c>
      <c r="M244" s="3">
        <v>70</v>
      </c>
      <c r="N244" s="4">
        <v>44546</v>
      </c>
      <c r="O244" s="10">
        <v>343201.23979999998</v>
      </c>
      <c r="P244" s="1">
        <f>$C$3+F244*$C$4+H244*$C$6+J244*$C$8+K244*$C$9+L244*$C$10+M244*$C$11</f>
        <v>316813.7252030262</v>
      </c>
      <c r="Q244" s="1">
        <f>(O244-P244)/O244</f>
        <v>7.6886419793678676E-2</v>
      </c>
      <c r="R244" s="1"/>
      <c r="S244" s="1"/>
    </row>
    <row r="245" spans="1:19" x14ac:dyDescent="0.3">
      <c r="A245" s="2">
        <v>610</v>
      </c>
      <c r="B245" s="3" t="s">
        <v>28</v>
      </c>
      <c r="C245" s="3" t="s">
        <v>112</v>
      </c>
      <c r="D245" s="3" t="s">
        <v>14</v>
      </c>
      <c r="E245" s="3" t="s">
        <v>15</v>
      </c>
      <c r="F245" s="3">
        <f>IF(D245="Urban",1,0)</f>
        <v>0</v>
      </c>
      <c r="G245" s="3">
        <v>13939</v>
      </c>
      <c r="H245" s="3">
        <v>0</v>
      </c>
      <c r="I245" s="3">
        <v>54537</v>
      </c>
      <c r="J245" s="3">
        <f>IF(E245="Cold",1,0)</f>
        <v>1</v>
      </c>
      <c r="K245" s="3">
        <f>IF(E245="Hot",1,0)</f>
        <v>0</v>
      </c>
      <c r="L245" s="3">
        <v>1700</v>
      </c>
      <c r="M245" s="3">
        <v>30</v>
      </c>
      <c r="N245" s="4">
        <v>44589</v>
      </c>
      <c r="O245" s="10">
        <v>313754.76120000001</v>
      </c>
      <c r="P245" s="1">
        <f>$C$3+F245*$C$4+H245*$C$6+J245*$C$8+K245*$C$9+L245*$C$10+M245*$C$11</f>
        <v>289772.61225510674</v>
      </c>
      <c r="Q245" s="1">
        <f>(O245-P245)/O245</f>
        <v>7.6435968184737996E-2</v>
      </c>
      <c r="R245" s="1"/>
      <c r="S245" s="1"/>
    </row>
    <row r="246" spans="1:19" x14ac:dyDescent="0.3">
      <c r="A246" s="2">
        <v>258</v>
      </c>
      <c r="B246" s="3" t="s">
        <v>19</v>
      </c>
      <c r="C246" s="3" t="s">
        <v>179</v>
      </c>
      <c r="D246" s="3" t="s">
        <v>18</v>
      </c>
      <c r="E246" s="3" t="s">
        <v>23</v>
      </c>
      <c r="F246" s="3">
        <f>IF(D246="Urban",1,0)</f>
        <v>1</v>
      </c>
      <c r="G246" s="3">
        <v>14860</v>
      </c>
      <c r="H246" s="3">
        <v>6</v>
      </c>
      <c r="I246" s="3">
        <v>79618</v>
      </c>
      <c r="J246" s="3">
        <f>IF(E246="Cold",1,0)</f>
        <v>0</v>
      </c>
      <c r="K246" s="3">
        <f>IF(E246="Hot",1,0)</f>
        <v>0</v>
      </c>
      <c r="L246" s="3">
        <v>1832</v>
      </c>
      <c r="M246" s="3">
        <v>80</v>
      </c>
      <c r="N246" s="4">
        <v>45325</v>
      </c>
      <c r="O246" s="10">
        <v>396017.35220000002</v>
      </c>
      <c r="P246" s="1">
        <f>$C$3+F246*$C$4+H246*$C$6+J246*$C$8+K246*$C$9+L246*$C$10+M246*$C$11</f>
        <v>365773.59875410004</v>
      </c>
      <c r="Q246" s="1">
        <f>(O246-P246)/O246</f>
        <v>7.6369768339408603E-2</v>
      </c>
      <c r="R246" s="1"/>
      <c r="S246" s="1"/>
    </row>
    <row r="247" spans="1:19" x14ac:dyDescent="0.3">
      <c r="A247" s="2">
        <v>188</v>
      </c>
      <c r="B247" s="3" t="s">
        <v>12</v>
      </c>
      <c r="C247" s="3" t="s">
        <v>47</v>
      </c>
      <c r="D247" s="3" t="s">
        <v>14</v>
      </c>
      <c r="E247" s="3" t="s">
        <v>15</v>
      </c>
      <c r="F247" s="3">
        <f>IF(D247="Urban",1,0)</f>
        <v>0</v>
      </c>
      <c r="G247" s="3">
        <v>17367</v>
      </c>
      <c r="H247" s="3">
        <v>5</v>
      </c>
      <c r="I247" s="3">
        <v>51356</v>
      </c>
      <c r="J247" s="3">
        <f>IF(E247="Cold",1,0)</f>
        <v>1</v>
      </c>
      <c r="K247" s="3">
        <f>IF(E247="Hot",1,0)</f>
        <v>0</v>
      </c>
      <c r="L247" s="3">
        <v>2394</v>
      </c>
      <c r="M247" s="3">
        <v>38</v>
      </c>
      <c r="N247" s="4">
        <v>44416</v>
      </c>
      <c r="O247" s="10">
        <v>326244.26209999999</v>
      </c>
      <c r="P247" s="1">
        <f>$C$3+F247*$C$4+H247*$C$6+J247*$C$8+K247*$C$9+L247*$C$10+M247*$C$11</f>
        <v>301338.15741945506</v>
      </c>
      <c r="Q247" s="1">
        <f>(O247-P247)/O247</f>
        <v>7.6341893402896821E-2</v>
      </c>
      <c r="R247" s="1"/>
      <c r="S247" s="1"/>
    </row>
    <row r="248" spans="1:19" x14ac:dyDescent="0.3">
      <c r="A248" s="2">
        <v>194</v>
      </c>
      <c r="B248" s="3" t="s">
        <v>24</v>
      </c>
      <c r="C248" s="3" t="s">
        <v>154</v>
      </c>
      <c r="D248" s="3" t="s">
        <v>14</v>
      </c>
      <c r="E248" s="3" t="s">
        <v>15</v>
      </c>
      <c r="F248" s="3">
        <f>IF(D248="Urban",1,0)</f>
        <v>0</v>
      </c>
      <c r="G248" s="3">
        <v>7127</v>
      </c>
      <c r="H248" s="3">
        <v>7</v>
      </c>
      <c r="I248" s="3">
        <v>75074</v>
      </c>
      <c r="J248" s="3">
        <f>IF(E248="Cold",1,0)</f>
        <v>1</v>
      </c>
      <c r="K248" s="3">
        <f>IF(E248="Hot",1,0)</f>
        <v>0</v>
      </c>
      <c r="L248" s="3">
        <v>2928</v>
      </c>
      <c r="M248" s="3">
        <v>72</v>
      </c>
      <c r="N248" s="4">
        <v>45422</v>
      </c>
      <c r="O248" s="10">
        <v>347069.5563</v>
      </c>
      <c r="P248" s="1">
        <f>$C$3+F248*$C$4+H248*$C$6+J248*$C$8+K248*$C$9+L248*$C$10+M248*$C$11</f>
        <v>320574.84828886995</v>
      </c>
      <c r="Q248" s="1">
        <f>(O248-P248)/O248</f>
        <v>7.633832334239235E-2</v>
      </c>
      <c r="R248" s="1"/>
      <c r="S248" s="1"/>
    </row>
    <row r="249" spans="1:19" x14ac:dyDescent="0.3">
      <c r="A249" s="2">
        <v>450</v>
      </c>
      <c r="B249" s="3" t="s">
        <v>31</v>
      </c>
      <c r="C249" s="3" t="s">
        <v>32</v>
      </c>
      <c r="D249" s="3" t="s">
        <v>14</v>
      </c>
      <c r="E249" s="3" t="s">
        <v>23</v>
      </c>
      <c r="F249" s="3">
        <f>IF(D249="Urban",1,0)</f>
        <v>0</v>
      </c>
      <c r="G249" s="3">
        <v>25248</v>
      </c>
      <c r="H249" s="3">
        <v>2</v>
      </c>
      <c r="I249" s="3">
        <v>59736</v>
      </c>
      <c r="J249" s="3">
        <f>IF(E249="Cold",1,0)</f>
        <v>0</v>
      </c>
      <c r="K249" s="3">
        <f>IF(E249="Hot",1,0)</f>
        <v>0</v>
      </c>
      <c r="L249" s="3">
        <v>2661</v>
      </c>
      <c r="M249" s="3">
        <v>23</v>
      </c>
      <c r="N249" s="4">
        <v>43980</v>
      </c>
      <c r="O249" s="10">
        <v>350573.1447</v>
      </c>
      <c r="P249" s="1">
        <f>$C$3+F249*$C$4+H249*$C$6+J249*$C$8+K249*$C$9+L249*$C$10+M249*$C$11</f>
        <v>323831.04267828097</v>
      </c>
      <c r="Q249" s="1">
        <f>(O249-P249)/O249</f>
        <v>7.6281091195970999E-2</v>
      </c>
      <c r="R249" s="1"/>
      <c r="S249" s="1"/>
    </row>
    <row r="250" spans="1:19" x14ac:dyDescent="0.3">
      <c r="A250" s="2">
        <v>55</v>
      </c>
      <c r="B250" s="3" t="s">
        <v>28</v>
      </c>
      <c r="C250" s="3" t="s">
        <v>49</v>
      </c>
      <c r="D250" s="3" t="s">
        <v>14</v>
      </c>
      <c r="E250" s="3" t="s">
        <v>15</v>
      </c>
      <c r="F250" s="3">
        <f>IF(D250="Urban",1,0)</f>
        <v>0</v>
      </c>
      <c r="G250" s="3">
        <v>5560</v>
      </c>
      <c r="H250" s="3">
        <v>3</v>
      </c>
      <c r="I250" s="3">
        <v>93673</v>
      </c>
      <c r="J250" s="3">
        <f>IF(E250="Cold",1,0)</f>
        <v>1</v>
      </c>
      <c r="K250" s="3">
        <f>IF(E250="Hot",1,0)</f>
        <v>0</v>
      </c>
      <c r="L250" s="3">
        <v>1514</v>
      </c>
      <c r="M250" s="3">
        <v>34</v>
      </c>
      <c r="N250" s="4">
        <v>44578</v>
      </c>
      <c r="O250" s="10">
        <v>307912.0477</v>
      </c>
      <c r="P250" s="1">
        <f>$C$3+F250*$C$4+H250*$C$6+J250*$C$8+K250*$C$9+L250*$C$10+M250*$C$11</f>
        <v>284443.22799594718</v>
      </c>
      <c r="Q250" s="1">
        <f>(O250-P250)/O250</f>
        <v>7.6219231690857994E-2</v>
      </c>
      <c r="R250" s="1"/>
      <c r="S250" s="1"/>
    </row>
    <row r="251" spans="1:19" x14ac:dyDescent="0.3">
      <c r="A251" s="2">
        <v>109</v>
      </c>
      <c r="B251" s="3" t="s">
        <v>57</v>
      </c>
      <c r="C251" s="3" t="s">
        <v>116</v>
      </c>
      <c r="D251" s="3" t="s">
        <v>14</v>
      </c>
      <c r="E251" s="3" t="s">
        <v>15</v>
      </c>
      <c r="F251" s="3">
        <f>IF(D251="Urban",1,0)</f>
        <v>0</v>
      </c>
      <c r="G251" s="3">
        <v>25744</v>
      </c>
      <c r="H251" s="3">
        <v>1</v>
      </c>
      <c r="I251" s="3">
        <v>91526</v>
      </c>
      <c r="J251" s="3">
        <f>IF(E251="Cold",1,0)</f>
        <v>1</v>
      </c>
      <c r="K251" s="3">
        <f>IF(E251="Hot",1,0)</f>
        <v>0</v>
      </c>
      <c r="L251" s="3">
        <v>1575</v>
      </c>
      <c r="M251" s="3">
        <v>48</v>
      </c>
      <c r="N251" s="4">
        <v>44494</v>
      </c>
      <c r="O251" s="10">
        <v>315920.47379999998</v>
      </c>
      <c r="P251" s="1">
        <f>$C$3+F251*$C$4+H251*$C$6+J251*$C$8+K251*$C$9+L251*$C$10+M251*$C$11</f>
        <v>291876.02385473403</v>
      </c>
      <c r="Q251" s="1">
        <f>(O251-P251)/O251</f>
        <v>7.610918550498183E-2</v>
      </c>
      <c r="R251" s="1"/>
      <c r="S251" s="1"/>
    </row>
    <row r="252" spans="1:19" x14ac:dyDescent="0.3">
      <c r="A252" s="2">
        <v>281</v>
      </c>
      <c r="B252" s="3" t="s">
        <v>108</v>
      </c>
      <c r="C252" s="3" t="s">
        <v>109</v>
      </c>
      <c r="D252" s="3" t="s">
        <v>18</v>
      </c>
      <c r="E252" s="3" t="s">
        <v>21</v>
      </c>
      <c r="F252" s="3">
        <f>IF(D252="Urban",1,0)</f>
        <v>1</v>
      </c>
      <c r="G252" s="3">
        <v>26396</v>
      </c>
      <c r="H252" s="3">
        <v>2</v>
      </c>
      <c r="I252" s="3">
        <v>99576</v>
      </c>
      <c r="J252" s="3">
        <f>IF(E252="Cold",1,0)</f>
        <v>0</v>
      </c>
      <c r="K252" s="3">
        <f>IF(E252="Hot",1,0)</f>
        <v>1</v>
      </c>
      <c r="L252" s="3">
        <v>2802</v>
      </c>
      <c r="M252" s="3">
        <v>86</v>
      </c>
      <c r="N252" s="4">
        <v>44808</v>
      </c>
      <c r="O252" s="10">
        <v>424338.20209999999</v>
      </c>
      <c r="P252" s="1">
        <f>$C$3+F252*$C$4+H252*$C$6+J252*$C$8+K252*$C$9+L252*$C$10+M252*$C$11</f>
        <v>392066.02008542116</v>
      </c>
      <c r="Q252" s="1">
        <f>(O252-P252)/O252</f>
        <v>7.6052973441626495E-2</v>
      </c>
      <c r="R252" s="1"/>
      <c r="S252" s="1"/>
    </row>
    <row r="253" spans="1:19" x14ac:dyDescent="0.3">
      <c r="A253" s="2">
        <v>402</v>
      </c>
      <c r="B253" s="3" t="s">
        <v>72</v>
      </c>
      <c r="C253" s="3" t="s">
        <v>145</v>
      </c>
      <c r="D253" s="3" t="s">
        <v>14</v>
      </c>
      <c r="E253" s="3" t="s">
        <v>21</v>
      </c>
      <c r="F253" s="3">
        <f>IF(D253="Urban",1,0)</f>
        <v>0</v>
      </c>
      <c r="G253" s="3">
        <v>918</v>
      </c>
      <c r="H253" s="3">
        <v>4</v>
      </c>
      <c r="I253" s="3">
        <v>94721</v>
      </c>
      <c r="J253" s="3">
        <f>IF(E253="Cold",1,0)</f>
        <v>0</v>
      </c>
      <c r="K253" s="3">
        <f>IF(E253="Hot",1,0)</f>
        <v>1</v>
      </c>
      <c r="L253" s="3">
        <v>1284</v>
      </c>
      <c r="M253" s="3">
        <v>39</v>
      </c>
      <c r="N253" s="4">
        <v>44175</v>
      </c>
      <c r="O253" s="10">
        <v>325404.00790000003</v>
      </c>
      <c r="P253" s="1">
        <f>$C$3+F253*$C$4+H253*$C$6+J253*$C$8+K253*$C$9+L253*$C$10+M253*$C$11</f>
        <v>300665.98045740352</v>
      </c>
      <c r="Q253" s="1">
        <f>(O253-P253)/O253</f>
        <v>7.6022503847582454E-2</v>
      </c>
      <c r="R253" s="1"/>
      <c r="S253" s="1"/>
    </row>
    <row r="254" spans="1:19" x14ac:dyDescent="0.3">
      <c r="A254" s="2">
        <v>211</v>
      </c>
      <c r="B254" s="3" t="s">
        <v>29</v>
      </c>
      <c r="C254" s="3" t="s">
        <v>164</v>
      </c>
      <c r="D254" s="3" t="s">
        <v>18</v>
      </c>
      <c r="E254" s="3" t="s">
        <v>15</v>
      </c>
      <c r="F254" s="3">
        <f>IF(D254="Urban",1,0)</f>
        <v>1</v>
      </c>
      <c r="G254" s="3">
        <v>26470</v>
      </c>
      <c r="H254" s="3">
        <v>9</v>
      </c>
      <c r="I254" s="3">
        <v>51102</v>
      </c>
      <c r="J254" s="3">
        <f>IF(E254="Cold",1,0)</f>
        <v>1</v>
      </c>
      <c r="K254" s="3">
        <f>IF(E254="Hot",1,0)</f>
        <v>0</v>
      </c>
      <c r="L254" s="3">
        <v>2399</v>
      </c>
      <c r="M254" s="3">
        <v>40</v>
      </c>
      <c r="N254" s="4">
        <v>45455</v>
      </c>
      <c r="O254" s="10">
        <v>371157.01980000001</v>
      </c>
      <c r="P254" s="1">
        <f>$C$3+F254*$C$4+H254*$C$6+J254*$C$8+K254*$C$9+L254*$C$10+M254*$C$11</f>
        <v>342972.24196419481</v>
      </c>
      <c r="Q254" s="1">
        <f>(O254-P254)/O254</f>
        <v>7.5937612202492427E-2</v>
      </c>
      <c r="R254" s="1"/>
      <c r="S254" s="1"/>
    </row>
    <row r="255" spans="1:19" x14ac:dyDescent="0.3">
      <c r="A255" s="2">
        <v>761</v>
      </c>
      <c r="B255" s="3" t="s">
        <v>31</v>
      </c>
      <c r="C255" s="3" t="s">
        <v>81</v>
      </c>
      <c r="D255" s="3" t="s">
        <v>18</v>
      </c>
      <c r="E255" s="3" t="s">
        <v>23</v>
      </c>
      <c r="F255" s="3">
        <f>IF(D255="Urban",1,0)</f>
        <v>1</v>
      </c>
      <c r="G255" s="3">
        <v>10319</v>
      </c>
      <c r="H255" s="3">
        <v>8</v>
      </c>
      <c r="I255" s="3">
        <v>69413</v>
      </c>
      <c r="J255" s="3">
        <f>IF(E255="Cold",1,0)</f>
        <v>0</v>
      </c>
      <c r="K255" s="3">
        <f>IF(E255="Hot",1,0)</f>
        <v>0</v>
      </c>
      <c r="L255" s="3">
        <v>2040</v>
      </c>
      <c r="M255" s="3">
        <v>42</v>
      </c>
      <c r="N255" s="4">
        <v>44394</v>
      </c>
      <c r="O255" s="10">
        <v>385472.68229999999</v>
      </c>
      <c r="P255" s="1">
        <f>$C$3+F255*$C$4+H255*$C$6+J255*$C$8+K255*$C$9+L255*$C$10+M255*$C$11</f>
        <v>356311.7287432584</v>
      </c>
      <c r="Q255" s="1">
        <f>(O255-P255)/O255</f>
        <v>7.5649857683161667E-2</v>
      </c>
      <c r="R255" s="1"/>
      <c r="S255" s="1"/>
    </row>
    <row r="256" spans="1:19" x14ac:dyDescent="0.3">
      <c r="A256" s="2">
        <v>909</v>
      </c>
      <c r="B256" s="3" t="s">
        <v>35</v>
      </c>
      <c r="C256" s="3" t="s">
        <v>62</v>
      </c>
      <c r="D256" s="3" t="s">
        <v>18</v>
      </c>
      <c r="E256" s="3" t="s">
        <v>21</v>
      </c>
      <c r="F256" s="3">
        <f>IF(D256="Urban",1,0)</f>
        <v>1</v>
      </c>
      <c r="G256" s="3">
        <v>5388</v>
      </c>
      <c r="H256" s="3">
        <v>1</v>
      </c>
      <c r="I256" s="3">
        <v>88049</v>
      </c>
      <c r="J256" s="3">
        <f>IF(E256="Cold",1,0)</f>
        <v>0</v>
      </c>
      <c r="K256" s="3">
        <f>IF(E256="Hot",1,0)</f>
        <v>1</v>
      </c>
      <c r="L256" s="3">
        <v>1020</v>
      </c>
      <c r="M256" s="3">
        <v>45</v>
      </c>
      <c r="N256" s="4">
        <v>45452</v>
      </c>
      <c r="O256" s="10">
        <v>373024.0735</v>
      </c>
      <c r="P256" s="1">
        <f>$C$3+F256*$C$4+H256*$C$6+J256*$C$8+K256*$C$9+L256*$C$10+M256*$C$11</f>
        <v>344815.22207978828</v>
      </c>
      <c r="Q256" s="1">
        <f>(O256-P256)/O256</f>
        <v>7.5622066842856786E-2</v>
      </c>
      <c r="R256" s="1"/>
      <c r="S256" s="1"/>
    </row>
    <row r="257" spans="1:19" x14ac:dyDescent="0.3">
      <c r="A257" s="2">
        <v>183</v>
      </c>
      <c r="B257" s="3" t="s">
        <v>37</v>
      </c>
      <c r="C257" s="3" t="s">
        <v>90</v>
      </c>
      <c r="D257" s="3" t="s">
        <v>18</v>
      </c>
      <c r="E257" s="3" t="s">
        <v>23</v>
      </c>
      <c r="F257" s="3">
        <f>IF(D257="Urban",1,0)</f>
        <v>1</v>
      </c>
      <c r="G257" s="3">
        <v>11294</v>
      </c>
      <c r="H257" s="3">
        <v>6</v>
      </c>
      <c r="I257" s="3">
        <v>99410</v>
      </c>
      <c r="J257" s="3">
        <f>IF(E257="Cold",1,0)</f>
        <v>0</v>
      </c>
      <c r="K257" s="3">
        <f>IF(E257="Hot",1,0)</f>
        <v>0</v>
      </c>
      <c r="L257" s="3">
        <v>2858</v>
      </c>
      <c r="M257" s="3">
        <v>36</v>
      </c>
      <c r="N257" s="4">
        <v>43866</v>
      </c>
      <c r="O257" s="10">
        <v>403075.63780000003</v>
      </c>
      <c r="P257" s="1">
        <f>$C$3+F257*$C$4+H257*$C$6+J257*$C$8+K257*$C$9+L257*$C$10+M257*$C$11</f>
        <v>372687.41131437715</v>
      </c>
      <c r="Q257" s="1">
        <f>(O257-P257)/O257</f>
        <v>7.5390878623880136E-2</v>
      </c>
      <c r="R257" s="1"/>
      <c r="S257" s="1"/>
    </row>
    <row r="258" spans="1:19" x14ac:dyDescent="0.3">
      <c r="A258" s="2">
        <v>294</v>
      </c>
      <c r="B258" s="3" t="s">
        <v>29</v>
      </c>
      <c r="C258" s="3" t="s">
        <v>135</v>
      </c>
      <c r="D258" s="3" t="s">
        <v>18</v>
      </c>
      <c r="E258" s="3" t="s">
        <v>21</v>
      </c>
      <c r="F258" s="3">
        <f>IF(D258="Urban",1,0)</f>
        <v>1</v>
      </c>
      <c r="G258" s="3">
        <v>26788</v>
      </c>
      <c r="H258" s="3">
        <v>2</v>
      </c>
      <c r="I258" s="3">
        <v>86995</v>
      </c>
      <c r="J258" s="3">
        <f>IF(E258="Cold",1,0)</f>
        <v>0</v>
      </c>
      <c r="K258" s="3">
        <f>IF(E258="Hot",1,0)</f>
        <v>1</v>
      </c>
      <c r="L258" s="3">
        <v>1961</v>
      </c>
      <c r="M258" s="3">
        <v>90</v>
      </c>
      <c r="N258" s="4">
        <v>44146</v>
      </c>
      <c r="O258" s="10">
        <v>407203.27919999999</v>
      </c>
      <c r="P258" s="1">
        <f>$C$3+F258*$C$4+H258*$C$6+J258*$C$8+K258*$C$9+L258*$C$10+M258*$C$11</f>
        <v>376515.06059180386</v>
      </c>
      <c r="Q258" s="1">
        <f>(O258-P258)/O258</f>
        <v>7.5363387712610849E-2</v>
      </c>
      <c r="R258" s="1"/>
      <c r="S258" s="1"/>
    </row>
    <row r="259" spans="1:19" x14ac:dyDescent="0.3">
      <c r="A259" s="2">
        <v>999</v>
      </c>
      <c r="B259" s="3" t="s">
        <v>55</v>
      </c>
      <c r="C259" s="3" t="s">
        <v>148</v>
      </c>
      <c r="D259" s="3" t="s">
        <v>14</v>
      </c>
      <c r="E259" s="3" t="s">
        <v>21</v>
      </c>
      <c r="F259" s="3">
        <f>IF(D259="Urban",1,0)</f>
        <v>0</v>
      </c>
      <c r="G259" s="3">
        <v>23667</v>
      </c>
      <c r="H259" s="3">
        <v>9</v>
      </c>
      <c r="I259" s="3">
        <v>69133</v>
      </c>
      <c r="J259" s="3">
        <f>IF(E259="Cold",1,0)</f>
        <v>0</v>
      </c>
      <c r="K259" s="3">
        <f>IF(E259="Hot",1,0)</f>
        <v>1</v>
      </c>
      <c r="L259" s="3">
        <v>2978</v>
      </c>
      <c r="M259" s="3">
        <v>52</v>
      </c>
      <c r="N259" s="4">
        <v>44445</v>
      </c>
      <c r="O259" s="10">
        <v>360777.52299999999</v>
      </c>
      <c r="P259" s="1">
        <f>$C$3+F259*$C$4+H259*$C$6+J259*$C$8+K259*$C$9+L259*$C$10+M259*$C$11</f>
        <v>333729.72646869236</v>
      </c>
      <c r="Q259" s="1">
        <f>(O259-P259)/O259</f>
        <v>7.497084714811246E-2</v>
      </c>
      <c r="R259" s="1"/>
      <c r="S259" s="1"/>
    </row>
    <row r="260" spans="1:19" x14ac:dyDescent="0.3">
      <c r="A260" s="2">
        <v>315</v>
      </c>
      <c r="B260" s="3" t="s">
        <v>28</v>
      </c>
      <c r="C260" s="3" t="s">
        <v>187</v>
      </c>
      <c r="D260" s="3" t="s">
        <v>14</v>
      </c>
      <c r="E260" s="3" t="s">
        <v>15</v>
      </c>
      <c r="F260" s="3">
        <f>IF(D260="Urban",1,0)</f>
        <v>0</v>
      </c>
      <c r="G260" s="3">
        <v>19866</v>
      </c>
      <c r="H260" s="3">
        <v>9</v>
      </c>
      <c r="I260" s="3">
        <v>83222</v>
      </c>
      <c r="J260" s="3">
        <f>IF(E260="Cold",1,0)</f>
        <v>1</v>
      </c>
      <c r="K260" s="3">
        <f>IF(E260="Hot",1,0)</f>
        <v>0</v>
      </c>
      <c r="L260" s="3">
        <v>2365</v>
      </c>
      <c r="M260" s="3">
        <v>89</v>
      </c>
      <c r="N260" s="4">
        <v>44670</v>
      </c>
      <c r="O260" s="10">
        <v>338019.02639999997</v>
      </c>
      <c r="P260" s="1">
        <f>$C$3+F260*$C$4+H260*$C$6+J260*$C$8+K260*$C$9+L260*$C$10+M260*$C$11</f>
        <v>312678.74400215078</v>
      </c>
      <c r="Q260" s="1">
        <f>(O260-P260)/O260</f>
        <v>7.4967029719393327E-2</v>
      </c>
      <c r="R260" s="1"/>
      <c r="S260" s="1"/>
    </row>
    <row r="261" spans="1:19" x14ac:dyDescent="0.3">
      <c r="A261" s="2">
        <v>431</v>
      </c>
      <c r="B261" s="3" t="s">
        <v>35</v>
      </c>
      <c r="C261" s="3" t="s">
        <v>148</v>
      </c>
      <c r="D261" s="3" t="s">
        <v>14</v>
      </c>
      <c r="E261" s="3" t="s">
        <v>23</v>
      </c>
      <c r="F261" s="3">
        <f>IF(D261="Urban",1,0)</f>
        <v>0</v>
      </c>
      <c r="G261" s="3">
        <v>28554</v>
      </c>
      <c r="H261" s="3">
        <v>6</v>
      </c>
      <c r="I261" s="3">
        <v>87298</v>
      </c>
      <c r="J261" s="3">
        <f>IF(E261="Cold",1,0)</f>
        <v>0</v>
      </c>
      <c r="K261" s="3">
        <f>IF(E261="Hot",1,0)</f>
        <v>0</v>
      </c>
      <c r="L261" s="3">
        <v>2048</v>
      </c>
      <c r="M261" s="3">
        <v>77</v>
      </c>
      <c r="N261" s="4">
        <v>45530</v>
      </c>
      <c r="O261" s="10">
        <v>350729.39039999997</v>
      </c>
      <c r="P261" s="1">
        <f>$C$3+F261*$C$4+H261*$C$6+J261*$C$8+K261*$C$9+L261*$C$10+M261*$C$11</f>
        <v>324441.40176020446</v>
      </c>
      <c r="Q261" s="1">
        <f>(O261-P261)/O261</f>
        <v>7.4952340349391813E-2</v>
      </c>
      <c r="R261" s="1"/>
      <c r="S261" s="1"/>
    </row>
    <row r="262" spans="1:19" x14ac:dyDescent="0.3">
      <c r="A262" s="2">
        <v>615</v>
      </c>
      <c r="B262" s="3" t="s">
        <v>28</v>
      </c>
      <c r="C262" s="3" t="s">
        <v>49</v>
      </c>
      <c r="D262" s="3" t="s">
        <v>18</v>
      </c>
      <c r="E262" s="3" t="s">
        <v>21</v>
      </c>
      <c r="F262" s="3">
        <f>IF(D262="Urban",1,0)</f>
        <v>1</v>
      </c>
      <c r="G262" s="3">
        <v>19079</v>
      </c>
      <c r="H262" s="3">
        <v>6</v>
      </c>
      <c r="I262" s="3">
        <v>86331</v>
      </c>
      <c r="J262" s="3">
        <f>IF(E262="Cold",1,0)</f>
        <v>0</v>
      </c>
      <c r="K262" s="3">
        <f>IF(E262="Hot",1,0)</f>
        <v>1</v>
      </c>
      <c r="L262" s="3">
        <v>1175</v>
      </c>
      <c r="M262" s="3">
        <v>21</v>
      </c>
      <c r="N262" s="4">
        <v>43835</v>
      </c>
      <c r="O262" s="10">
        <v>362958.50630000001</v>
      </c>
      <c r="P262" s="1">
        <f>$C$3+F262*$C$4+H262*$C$6+J262*$C$8+K262*$C$9+L262*$C$10+M262*$C$11</f>
        <v>335760.55587808992</v>
      </c>
      <c r="Q262" s="1">
        <f>(O262-P262)/O262</f>
        <v>7.4934048795731706E-2</v>
      </c>
      <c r="R262" s="1"/>
      <c r="S262" s="1"/>
    </row>
    <row r="263" spans="1:19" x14ac:dyDescent="0.3">
      <c r="A263" s="2">
        <v>92</v>
      </c>
      <c r="B263" s="3" t="s">
        <v>44</v>
      </c>
      <c r="C263" s="3" t="s">
        <v>82</v>
      </c>
      <c r="D263" s="3" t="s">
        <v>14</v>
      </c>
      <c r="E263" s="3" t="s">
        <v>23</v>
      </c>
      <c r="F263" s="3">
        <f>IF(D263="Urban",1,0)</f>
        <v>0</v>
      </c>
      <c r="G263" s="3">
        <v>14752</v>
      </c>
      <c r="H263" s="3">
        <v>9</v>
      </c>
      <c r="I263" s="3">
        <v>90642</v>
      </c>
      <c r="J263" s="3">
        <f>IF(E263="Cold",1,0)</f>
        <v>0</v>
      </c>
      <c r="K263" s="3">
        <f>IF(E263="Hot",1,0)</f>
        <v>0</v>
      </c>
      <c r="L263" s="3">
        <v>1541</v>
      </c>
      <c r="M263" s="3">
        <v>81</v>
      </c>
      <c r="N263" s="4">
        <v>44734</v>
      </c>
      <c r="O263" s="10">
        <v>338033.95529999997</v>
      </c>
      <c r="P263" s="1">
        <f>$C$3+F263*$C$4+H263*$C$6+J263*$C$8+K263*$C$9+L263*$C$10+M263*$C$11</f>
        <v>312705.80423173017</v>
      </c>
      <c r="Q263" s="1">
        <f>(O263-P263)/O263</f>
        <v>7.4927830980149476E-2</v>
      </c>
      <c r="R263" s="1"/>
      <c r="S263" s="1"/>
    </row>
    <row r="264" spans="1:19" x14ac:dyDescent="0.3">
      <c r="A264" s="2">
        <v>90</v>
      </c>
      <c r="B264" s="3" t="s">
        <v>26</v>
      </c>
      <c r="C264" s="3" t="s">
        <v>47</v>
      </c>
      <c r="D264" s="3" t="s">
        <v>18</v>
      </c>
      <c r="E264" s="3" t="s">
        <v>21</v>
      </c>
      <c r="F264" s="3">
        <f>IF(D264="Urban",1,0)</f>
        <v>1</v>
      </c>
      <c r="G264" s="3">
        <v>23957</v>
      </c>
      <c r="H264" s="3">
        <v>0</v>
      </c>
      <c r="I264" s="3">
        <v>65884</v>
      </c>
      <c r="J264" s="3">
        <f>IF(E264="Cold",1,0)</f>
        <v>0</v>
      </c>
      <c r="K264" s="3">
        <f>IF(E264="Hot",1,0)</f>
        <v>1</v>
      </c>
      <c r="L264" s="3">
        <v>2378</v>
      </c>
      <c r="M264" s="3">
        <v>68</v>
      </c>
      <c r="N264" s="4">
        <v>44206</v>
      </c>
      <c r="O264" s="10">
        <v>410607.41979999997</v>
      </c>
      <c r="P264" s="1">
        <f>$C$3+F264*$C$4+H264*$C$6+J264*$C$8+K264*$C$9+L264*$C$10+M264*$C$11</f>
        <v>379956.2853150554</v>
      </c>
      <c r="Q264" s="1">
        <f>(O264-P264)/O264</f>
        <v>7.464827230807039E-2</v>
      </c>
      <c r="R264" s="1"/>
      <c r="S264" s="1"/>
    </row>
    <row r="265" spans="1:19" x14ac:dyDescent="0.3">
      <c r="A265" s="2">
        <v>957</v>
      </c>
      <c r="B265" s="3" t="s">
        <v>37</v>
      </c>
      <c r="C265" s="3" t="s">
        <v>61</v>
      </c>
      <c r="D265" s="3" t="s">
        <v>14</v>
      </c>
      <c r="E265" s="3" t="s">
        <v>21</v>
      </c>
      <c r="F265" s="3">
        <f>IF(D265="Urban",1,0)</f>
        <v>0</v>
      </c>
      <c r="G265" s="3">
        <v>24027</v>
      </c>
      <c r="H265" s="3">
        <v>6</v>
      </c>
      <c r="I265" s="3">
        <v>56030</v>
      </c>
      <c r="J265" s="3">
        <f>IF(E265="Cold",1,0)</f>
        <v>0</v>
      </c>
      <c r="K265" s="3">
        <f>IF(E265="Hot",1,0)</f>
        <v>1</v>
      </c>
      <c r="L265" s="3">
        <v>2714</v>
      </c>
      <c r="M265" s="3">
        <v>21</v>
      </c>
      <c r="N265" s="4">
        <v>45125</v>
      </c>
      <c r="O265" s="10">
        <v>347655.03080000001</v>
      </c>
      <c r="P265" s="1">
        <f>$C$3+F265*$C$4+H265*$C$6+J265*$C$8+K265*$C$9+L265*$C$10+M265*$C$11</f>
        <v>321756.22703632922</v>
      </c>
      <c r="Q265" s="1">
        <f>(O265-P265)/O265</f>
        <v>7.4495696794820515E-2</v>
      </c>
      <c r="R265" s="1"/>
      <c r="S265" s="1"/>
    </row>
    <row r="266" spans="1:19" x14ac:dyDescent="0.3">
      <c r="A266" s="2">
        <v>440</v>
      </c>
      <c r="B266" s="3" t="s">
        <v>28</v>
      </c>
      <c r="C266" s="3" t="s">
        <v>181</v>
      </c>
      <c r="D266" s="3" t="s">
        <v>14</v>
      </c>
      <c r="E266" s="3" t="s">
        <v>23</v>
      </c>
      <c r="F266" s="3">
        <f>IF(D266="Urban",1,0)</f>
        <v>0</v>
      </c>
      <c r="G266" s="3">
        <v>10038</v>
      </c>
      <c r="H266" s="3">
        <v>0</v>
      </c>
      <c r="I266" s="3">
        <v>76091</v>
      </c>
      <c r="J266" s="3">
        <f>IF(E266="Cold",1,0)</f>
        <v>0</v>
      </c>
      <c r="K266" s="3">
        <f>IF(E266="Hot",1,0)</f>
        <v>0</v>
      </c>
      <c r="L266" s="3">
        <v>2329</v>
      </c>
      <c r="M266" s="3">
        <v>80</v>
      </c>
      <c r="N266" s="4">
        <v>44172</v>
      </c>
      <c r="O266" s="10">
        <v>363702.91800000001</v>
      </c>
      <c r="P266" s="1">
        <f>$C$3+F266*$C$4+H266*$C$6+J266*$C$8+K266*$C$9+L266*$C$10+M266*$C$11</f>
        <v>336674.60902652767</v>
      </c>
      <c r="Q266" s="1">
        <f>(O266-P266)/O266</f>
        <v>7.4314248348901976E-2</v>
      </c>
      <c r="R266" s="1"/>
      <c r="S266" s="1"/>
    </row>
    <row r="267" spans="1:19" x14ac:dyDescent="0.3">
      <c r="A267" s="2">
        <v>842</v>
      </c>
      <c r="B267" s="3" t="s">
        <v>31</v>
      </c>
      <c r="C267" s="3" t="s">
        <v>81</v>
      </c>
      <c r="D267" s="3" t="s">
        <v>14</v>
      </c>
      <c r="E267" s="3" t="s">
        <v>23</v>
      </c>
      <c r="F267" s="3">
        <f>IF(D267="Urban",1,0)</f>
        <v>0</v>
      </c>
      <c r="G267" s="3">
        <v>21682</v>
      </c>
      <c r="H267" s="3">
        <v>9</v>
      </c>
      <c r="I267" s="3">
        <v>64702</v>
      </c>
      <c r="J267" s="3">
        <f>IF(E267="Cold",1,0)</f>
        <v>0</v>
      </c>
      <c r="K267" s="3">
        <f>IF(E267="Hot",1,0)</f>
        <v>0</v>
      </c>
      <c r="L267" s="3">
        <v>1574</v>
      </c>
      <c r="M267" s="3">
        <v>74</v>
      </c>
      <c r="N267" s="4">
        <v>44072</v>
      </c>
      <c r="O267" s="10">
        <v>335981.29109999997</v>
      </c>
      <c r="P267" s="1">
        <f>$C$3+F267*$C$4+H267*$C$6+J267*$C$8+K267*$C$9+L267*$C$10+M267*$C$11</f>
        <v>311206.77667507267</v>
      </c>
      <c r="Q267" s="1">
        <f>(O267-P267)/O267</f>
        <v>7.3737779695457875E-2</v>
      </c>
      <c r="R267" s="1"/>
      <c r="S267" s="1"/>
    </row>
    <row r="268" spans="1:19" x14ac:dyDescent="0.3">
      <c r="A268" s="2">
        <v>588</v>
      </c>
      <c r="B268" s="3" t="s">
        <v>122</v>
      </c>
      <c r="C268" s="3" t="s">
        <v>208</v>
      </c>
      <c r="D268" s="3" t="s">
        <v>18</v>
      </c>
      <c r="E268" s="3" t="s">
        <v>21</v>
      </c>
      <c r="F268" s="3">
        <f>IF(D268="Urban",1,0)</f>
        <v>1</v>
      </c>
      <c r="G268" s="3">
        <v>8900</v>
      </c>
      <c r="H268" s="3">
        <v>4</v>
      </c>
      <c r="I268" s="3">
        <v>93706</v>
      </c>
      <c r="J268" s="3">
        <f>IF(E268="Cold",1,0)</f>
        <v>0</v>
      </c>
      <c r="K268" s="3">
        <f>IF(E268="Hot",1,0)</f>
        <v>1</v>
      </c>
      <c r="L268" s="3">
        <v>1529</v>
      </c>
      <c r="M268" s="3">
        <v>39</v>
      </c>
      <c r="N268" s="4">
        <v>45047</v>
      </c>
      <c r="O268" s="10">
        <v>378125.33750000002</v>
      </c>
      <c r="P268" s="1">
        <f>$C$3+F268*$C$4+H268*$C$6+J268*$C$8+K268*$C$9+L268*$C$10+M268*$C$11</f>
        <v>350273.6877180349</v>
      </c>
      <c r="Q268" s="1">
        <f>(O268-P268)/O268</f>
        <v>7.3657189878118451E-2</v>
      </c>
      <c r="R268" s="1"/>
      <c r="S268" s="1"/>
    </row>
    <row r="269" spans="1:19" x14ac:dyDescent="0.3">
      <c r="A269" s="2">
        <v>822</v>
      </c>
      <c r="B269" s="3" t="s">
        <v>12</v>
      </c>
      <c r="C269" s="3" t="s">
        <v>50</v>
      </c>
      <c r="D269" s="3" t="s">
        <v>14</v>
      </c>
      <c r="E269" s="3" t="s">
        <v>21</v>
      </c>
      <c r="F269" s="3">
        <f>IF(D269="Urban",1,0)</f>
        <v>0</v>
      </c>
      <c r="G269" s="3">
        <v>20288</v>
      </c>
      <c r="H269" s="3">
        <v>6</v>
      </c>
      <c r="I269" s="3">
        <v>99098</v>
      </c>
      <c r="J269" s="3">
        <f>IF(E269="Cold",1,0)</f>
        <v>0</v>
      </c>
      <c r="K269" s="3">
        <f>IF(E269="Hot",1,0)</f>
        <v>1</v>
      </c>
      <c r="L269" s="3">
        <v>1480</v>
      </c>
      <c r="M269" s="3">
        <v>44</v>
      </c>
      <c r="N269" s="4">
        <v>44903</v>
      </c>
      <c r="O269" s="10">
        <v>328399.59590000001</v>
      </c>
      <c r="P269" s="1">
        <f>$C$3+F269*$C$4+H269*$C$6+J269*$C$8+K269*$C$9+L269*$C$10+M269*$C$11</f>
        <v>304218.51724632992</v>
      </c>
      <c r="Q269" s="1">
        <f>(O269-P269)/O269</f>
        <v>7.3633095032898277E-2</v>
      </c>
      <c r="R269" s="1"/>
      <c r="S269" s="1"/>
    </row>
    <row r="270" spans="1:19" x14ac:dyDescent="0.3">
      <c r="A270" s="2">
        <v>509</v>
      </c>
      <c r="B270" s="3" t="s">
        <v>72</v>
      </c>
      <c r="C270" s="3" t="s">
        <v>180</v>
      </c>
      <c r="D270" s="3" t="s">
        <v>18</v>
      </c>
      <c r="E270" s="3" t="s">
        <v>15</v>
      </c>
      <c r="F270" s="3">
        <f>IF(D270="Urban",1,0)</f>
        <v>1</v>
      </c>
      <c r="G270" s="3">
        <v>29464</v>
      </c>
      <c r="H270" s="3">
        <v>7</v>
      </c>
      <c r="I270" s="3">
        <v>69145</v>
      </c>
      <c r="J270" s="3">
        <f>IF(E270="Cold",1,0)</f>
        <v>1</v>
      </c>
      <c r="K270" s="3">
        <f>IF(E270="Hot",1,0)</f>
        <v>0</v>
      </c>
      <c r="L270" s="3">
        <v>2700</v>
      </c>
      <c r="M270" s="3">
        <v>77</v>
      </c>
      <c r="N270" s="4">
        <v>45132</v>
      </c>
      <c r="O270" s="10">
        <v>391057.99190000002</v>
      </c>
      <c r="P270" s="1">
        <f>$C$3+F270*$C$4+H270*$C$6+J270*$C$8+K270*$C$9+L270*$C$10+M270*$C$11</f>
        <v>362284.02074005373</v>
      </c>
      <c r="Q270" s="1">
        <f>(O270-P270)/O270</f>
        <v>7.3579805951911784E-2</v>
      </c>
      <c r="R270" s="1"/>
      <c r="S270" s="1"/>
    </row>
    <row r="271" spans="1:19" x14ac:dyDescent="0.3">
      <c r="A271" s="2">
        <v>299</v>
      </c>
      <c r="B271" s="3" t="s">
        <v>12</v>
      </c>
      <c r="C271" s="3" t="s">
        <v>47</v>
      </c>
      <c r="D271" s="3" t="s">
        <v>14</v>
      </c>
      <c r="E271" s="3" t="s">
        <v>21</v>
      </c>
      <c r="F271" s="3">
        <f>IF(D271="Urban",1,0)</f>
        <v>0</v>
      </c>
      <c r="G271" s="3">
        <v>27284</v>
      </c>
      <c r="H271" s="3">
        <v>9</v>
      </c>
      <c r="I271" s="3">
        <v>95169</v>
      </c>
      <c r="J271" s="3">
        <f>IF(E271="Cold",1,0)</f>
        <v>0</v>
      </c>
      <c r="K271" s="3">
        <f>IF(E271="Hot",1,0)</f>
        <v>1</v>
      </c>
      <c r="L271" s="3">
        <v>2872</v>
      </c>
      <c r="M271" s="3">
        <v>70</v>
      </c>
      <c r="N271" s="4">
        <v>44349</v>
      </c>
      <c r="O271" s="10">
        <v>363843.14850000001</v>
      </c>
      <c r="P271" s="1">
        <f>$C$3+F271*$C$4+H271*$C$6+J271*$C$8+K271*$C$9+L271*$C$10+M271*$C$11</f>
        <v>337162.41968565213</v>
      </c>
      <c r="Q271" s="1">
        <f>(O271-P271)/O271</f>
        <v>7.3330304347748024E-2</v>
      </c>
      <c r="R271" s="1"/>
      <c r="S271" s="1"/>
    </row>
    <row r="272" spans="1:19" x14ac:dyDescent="0.3">
      <c r="A272" s="2">
        <v>365</v>
      </c>
      <c r="B272" s="3" t="s">
        <v>26</v>
      </c>
      <c r="C272" s="3" t="s">
        <v>156</v>
      </c>
      <c r="D272" s="3" t="s">
        <v>14</v>
      </c>
      <c r="E272" s="3" t="s">
        <v>23</v>
      </c>
      <c r="F272" s="3">
        <f>IF(D272="Urban",1,0)</f>
        <v>0</v>
      </c>
      <c r="G272" s="3">
        <v>13324</v>
      </c>
      <c r="H272" s="3">
        <v>2</v>
      </c>
      <c r="I272" s="3">
        <v>85762</v>
      </c>
      <c r="J272" s="3">
        <f>IF(E272="Cold",1,0)</f>
        <v>0</v>
      </c>
      <c r="K272" s="3">
        <f>IF(E272="Hot",1,0)</f>
        <v>0</v>
      </c>
      <c r="L272" s="3">
        <v>2001</v>
      </c>
      <c r="M272" s="3">
        <v>85</v>
      </c>
      <c r="N272" s="4">
        <v>44090</v>
      </c>
      <c r="O272" s="10">
        <v>355808.59269999998</v>
      </c>
      <c r="P272" s="1">
        <f>$C$3+F272*$C$4+H272*$C$6+J272*$C$8+K272*$C$9+L272*$C$10+M272*$C$11</f>
        <v>329769.65125744505</v>
      </c>
      <c r="Q272" s="1">
        <f>(O272-P272)/O272</f>
        <v>7.3182441281033558E-2</v>
      </c>
      <c r="R272" s="1"/>
      <c r="S272" s="1"/>
    </row>
    <row r="273" spans="1:19" x14ac:dyDescent="0.3">
      <c r="A273" s="2">
        <v>128</v>
      </c>
      <c r="B273" s="3" t="s">
        <v>37</v>
      </c>
      <c r="C273" s="3" t="s">
        <v>128</v>
      </c>
      <c r="D273" s="3" t="s">
        <v>18</v>
      </c>
      <c r="E273" s="3" t="s">
        <v>23</v>
      </c>
      <c r="F273" s="3">
        <f>IF(D273="Urban",1,0)</f>
        <v>1</v>
      </c>
      <c r="G273" s="3">
        <v>11298</v>
      </c>
      <c r="H273" s="3">
        <v>7</v>
      </c>
      <c r="I273" s="3">
        <v>87085</v>
      </c>
      <c r="J273" s="3">
        <f>IF(E273="Cold",1,0)</f>
        <v>0</v>
      </c>
      <c r="K273" s="3">
        <f>IF(E273="Hot",1,0)</f>
        <v>0</v>
      </c>
      <c r="L273" s="3">
        <v>1093</v>
      </c>
      <c r="M273" s="3">
        <v>59</v>
      </c>
      <c r="N273" s="4">
        <v>44931</v>
      </c>
      <c r="O273" s="10">
        <v>370720.71850000002</v>
      </c>
      <c r="P273" s="1">
        <f>$C$3+F273*$C$4+H273*$C$6+J273*$C$8+K273*$C$9+L273*$C$10+M273*$C$11</f>
        <v>343602.40995723504</v>
      </c>
      <c r="Q273" s="1">
        <f>(O273-P273)/O273</f>
        <v>7.3150237333619583E-2</v>
      </c>
      <c r="R273" s="1"/>
      <c r="S273" s="1"/>
    </row>
    <row r="274" spans="1:19" x14ac:dyDescent="0.3">
      <c r="A274" s="2">
        <v>710</v>
      </c>
      <c r="B274" s="3" t="s">
        <v>40</v>
      </c>
      <c r="C274" s="3" t="s">
        <v>103</v>
      </c>
      <c r="D274" s="3" t="s">
        <v>14</v>
      </c>
      <c r="E274" s="3" t="s">
        <v>23</v>
      </c>
      <c r="F274" s="3">
        <f>IF(D274="Urban",1,0)</f>
        <v>0</v>
      </c>
      <c r="G274" s="3">
        <v>8306</v>
      </c>
      <c r="H274" s="3">
        <v>3</v>
      </c>
      <c r="I274" s="3">
        <v>67891</v>
      </c>
      <c r="J274" s="3">
        <f>IF(E274="Cold",1,0)</f>
        <v>0</v>
      </c>
      <c r="K274" s="3">
        <f>IF(E274="Hot",1,0)</f>
        <v>0</v>
      </c>
      <c r="L274" s="3">
        <v>2422</v>
      </c>
      <c r="M274" s="3">
        <v>91</v>
      </c>
      <c r="N274" s="4">
        <v>44254</v>
      </c>
      <c r="O274" s="10">
        <v>365786.88589999999</v>
      </c>
      <c r="P274" s="1">
        <f>$C$3+F274*$C$4+H274*$C$6+J274*$C$8+K274*$C$9+L274*$C$10+M274*$C$11</f>
        <v>339070.85213719145</v>
      </c>
      <c r="Q274" s="1">
        <f>(O274-P274)/O274</f>
        <v>7.3037155766465217E-2</v>
      </c>
      <c r="R274" s="1"/>
      <c r="S274" s="1"/>
    </row>
    <row r="275" spans="1:19" x14ac:dyDescent="0.3">
      <c r="A275" s="2">
        <v>206</v>
      </c>
      <c r="B275" s="3" t="s">
        <v>57</v>
      </c>
      <c r="C275" s="3" t="s">
        <v>162</v>
      </c>
      <c r="D275" s="3" t="s">
        <v>18</v>
      </c>
      <c r="E275" s="3" t="s">
        <v>23</v>
      </c>
      <c r="F275" s="3">
        <f>IF(D275="Urban",1,0)</f>
        <v>1</v>
      </c>
      <c r="G275" s="3">
        <v>22893</v>
      </c>
      <c r="H275" s="3">
        <v>4</v>
      </c>
      <c r="I275" s="3">
        <v>88306</v>
      </c>
      <c r="J275" s="3">
        <f>IF(E275="Cold",1,0)</f>
        <v>0</v>
      </c>
      <c r="K275" s="3">
        <f>IF(E275="Hot",1,0)</f>
        <v>0</v>
      </c>
      <c r="L275" s="3">
        <v>2768</v>
      </c>
      <c r="M275" s="3">
        <v>71</v>
      </c>
      <c r="N275" s="4">
        <v>44394</v>
      </c>
      <c r="O275" s="10">
        <v>413696.47450000001</v>
      </c>
      <c r="P275" s="1">
        <f>$C$3+F275*$C$4+H275*$C$6+J275*$C$8+K275*$C$9+L275*$C$10+M275*$C$11</f>
        <v>383579.52320760884</v>
      </c>
      <c r="Q275" s="1">
        <f>(O275-P275)/O275</f>
        <v>7.2799632457083374E-2</v>
      </c>
      <c r="R275" s="1"/>
      <c r="S275" s="1"/>
    </row>
    <row r="276" spans="1:19" x14ac:dyDescent="0.3">
      <c r="A276" s="2">
        <v>477</v>
      </c>
      <c r="B276" s="3" t="s">
        <v>55</v>
      </c>
      <c r="C276" s="3" t="s">
        <v>67</v>
      </c>
      <c r="D276" s="3" t="s">
        <v>14</v>
      </c>
      <c r="E276" s="3" t="s">
        <v>23</v>
      </c>
      <c r="F276" s="3">
        <f>IF(D276="Urban",1,0)</f>
        <v>0</v>
      </c>
      <c r="G276" s="3">
        <v>26500</v>
      </c>
      <c r="H276" s="3">
        <v>3</v>
      </c>
      <c r="I276" s="3">
        <v>81004</v>
      </c>
      <c r="J276" s="3">
        <f>IF(E276="Cold",1,0)</f>
        <v>0</v>
      </c>
      <c r="K276" s="3">
        <f>IF(E276="Hot",1,0)</f>
        <v>0</v>
      </c>
      <c r="L276" s="3">
        <v>1049</v>
      </c>
      <c r="M276" s="3">
        <v>27</v>
      </c>
      <c r="N276" s="4">
        <v>44595</v>
      </c>
      <c r="O276" s="10">
        <v>314738.91440000001</v>
      </c>
      <c r="P276" s="1">
        <f>$C$3+F276*$C$4+H276*$C$6+J276*$C$8+K276*$C$9+L276*$C$10+M276*$C$11</f>
        <v>291943.09945354715</v>
      </c>
      <c r="Q276" s="1">
        <f>(O276-P276)/O276</f>
        <v>7.2427697699566237E-2</v>
      </c>
      <c r="R276" s="1"/>
      <c r="S276" s="1"/>
    </row>
    <row r="277" spans="1:19" x14ac:dyDescent="0.3">
      <c r="A277" s="2">
        <v>886</v>
      </c>
      <c r="B277" s="3" t="s">
        <v>53</v>
      </c>
      <c r="C277" s="3" t="s">
        <v>212</v>
      </c>
      <c r="D277" s="3" t="s">
        <v>14</v>
      </c>
      <c r="E277" s="3" t="s">
        <v>15</v>
      </c>
      <c r="F277" s="3">
        <f>IF(D277="Urban",1,0)</f>
        <v>0</v>
      </c>
      <c r="G277" s="3">
        <v>28887</v>
      </c>
      <c r="H277" s="3">
        <v>0</v>
      </c>
      <c r="I277" s="3">
        <v>53595</v>
      </c>
      <c r="J277" s="3">
        <f>IF(E277="Cold",1,0)</f>
        <v>1</v>
      </c>
      <c r="K277" s="3">
        <f>IF(E277="Hot",1,0)</f>
        <v>0</v>
      </c>
      <c r="L277" s="3">
        <v>2509</v>
      </c>
      <c r="M277" s="3">
        <v>82</v>
      </c>
      <c r="N277" s="4">
        <v>44796</v>
      </c>
      <c r="O277" s="10">
        <v>347046.68060000002</v>
      </c>
      <c r="P277" s="1">
        <f>$C$3+F277*$C$4+H277*$C$6+J277*$C$8+K277*$C$9+L277*$C$10+M277*$C$11</f>
        <v>321945.82796049194</v>
      </c>
      <c r="Q277" s="1">
        <f>(O277-P277)/O277</f>
        <v>7.232702124138421E-2</v>
      </c>
      <c r="R277" s="1"/>
      <c r="S277" s="1"/>
    </row>
    <row r="278" spans="1:19" x14ac:dyDescent="0.3">
      <c r="A278" s="2">
        <v>730</v>
      </c>
      <c r="B278" s="3" t="s">
        <v>57</v>
      </c>
      <c r="C278" s="3" t="s">
        <v>116</v>
      </c>
      <c r="D278" s="3" t="s">
        <v>18</v>
      </c>
      <c r="E278" s="3" t="s">
        <v>15</v>
      </c>
      <c r="F278" s="3">
        <f>IF(D278="Urban",1,0)</f>
        <v>1</v>
      </c>
      <c r="G278" s="3">
        <v>21885</v>
      </c>
      <c r="H278" s="3">
        <v>3</v>
      </c>
      <c r="I278" s="3">
        <v>79679</v>
      </c>
      <c r="J278" s="3">
        <f>IF(E278="Cold",1,0)</f>
        <v>1</v>
      </c>
      <c r="K278" s="3">
        <f>IF(E278="Hot",1,0)</f>
        <v>0</v>
      </c>
      <c r="L278" s="3">
        <v>2218</v>
      </c>
      <c r="M278" s="3">
        <v>55</v>
      </c>
      <c r="N278" s="4">
        <v>44385</v>
      </c>
      <c r="O278" s="10">
        <v>376913.29979999998</v>
      </c>
      <c r="P278" s="1">
        <f>$C$3+F278*$C$4+H278*$C$6+J278*$C$8+K278*$C$9+L278*$C$10+M278*$C$11</f>
        <v>349684.05220778979</v>
      </c>
      <c r="Q278" s="1">
        <f>(O278-P278)/O278</f>
        <v>7.2242734885340304E-2</v>
      </c>
      <c r="R278" s="1"/>
      <c r="S278" s="1"/>
    </row>
    <row r="279" spans="1:19" x14ac:dyDescent="0.3">
      <c r="A279" s="2">
        <v>306</v>
      </c>
      <c r="B279" s="3" t="s">
        <v>31</v>
      </c>
      <c r="C279" s="3" t="s">
        <v>81</v>
      </c>
      <c r="D279" s="3" t="s">
        <v>14</v>
      </c>
      <c r="E279" s="3" t="s">
        <v>21</v>
      </c>
      <c r="F279" s="3">
        <f>IF(D279="Urban",1,0)</f>
        <v>0</v>
      </c>
      <c r="G279" s="3">
        <v>9869</v>
      </c>
      <c r="H279" s="3">
        <v>6</v>
      </c>
      <c r="I279" s="3">
        <v>65250</v>
      </c>
      <c r="J279" s="3">
        <f>IF(E279="Cold",1,0)</f>
        <v>0</v>
      </c>
      <c r="K279" s="3">
        <f>IF(E279="Hot",1,0)</f>
        <v>1</v>
      </c>
      <c r="L279" s="3">
        <v>1395</v>
      </c>
      <c r="M279" s="3">
        <v>65</v>
      </c>
      <c r="N279" s="4">
        <v>45161</v>
      </c>
      <c r="O279" s="10">
        <v>333055.55300000001</v>
      </c>
      <c r="P279" s="1">
        <f>$C$3+F279*$C$4+H279*$C$6+J279*$C$8+K279*$C$9+L279*$C$10+M279*$C$11</f>
        <v>308994.99862586759</v>
      </c>
      <c r="Q279" s="1">
        <f>(O279-P279)/O279</f>
        <v>7.2241865230610408E-2</v>
      </c>
      <c r="R279" s="1"/>
      <c r="S279" s="1"/>
    </row>
    <row r="280" spans="1:19" x14ac:dyDescent="0.3">
      <c r="A280" s="2">
        <v>264</v>
      </c>
      <c r="B280" s="3" t="s">
        <v>57</v>
      </c>
      <c r="C280" s="3" t="s">
        <v>174</v>
      </c>
      <c r="D280" s="3" t="s">
        <v>14</v>
      </c>
      <c r="E280" s="3" t="s">
        <v>21</v>
      </c>
      <c r="F280" s="3">
        <f>IF(D280="Urban",1,0)</f>
        <v>0</v>
      </c>
      <c r="G280" s="3">
        <v>25646</v>
      </c>
      <c r="H280" s="3">
        <v>5</v>
      </c>
      <c r="I280" s="3">
        <v>60031</v>
      </c>
      <c r="J280" s="3">
        <f>IF(E280="Cold",1,0)</f>
        <v>0</v>
      </c>
      <c r="K280" s="3">
        <f>IF(E280="Hot",1,0)</f>
        <v>1</v>
      </c>
      <c r="L280" s="3">
        <v>2408</v>
      </c>
      <c r="M280" s="3">
        <v>80</v>
      </c>
      <c r="N280" s="4">
        <v>44530</v>
      </c>
      <c r="O280" s="10">
        <v>360803.34450000001</v>
      </c>
      <c r="P280" s="1">
        <f>$C$3+F280*$C$4+H280*$C$6+J280*$C$8+K280*$C$9+L280*$C$10+M280*$C$11</f>
        <v>334785.03911347536</v>
      </c>
      <c r="Q280" s="1">
        <f>(O280-P280)/O280</f>
        <v>7.2112151350982409E-2</v>
      </c>
      <c r="R280" s="1"/>
      <c r="S280" s="1"/>
    </row>
    <row r="281" spans="1:19" x14ac:dyDescent="0.3">
      <c r="A281" s="2">
        <v>599</v>
      </c>
      <c r="B281" s="3" t="s">
        <v>122</v>
      </c>
      <c r="C281" s="3" t="s">
        <v>208</v>
      </c>
      <c r="D281" s="3" t="s">
        <v>18</v>
      </c>
      <c r="E281" s="3" t="s">
        <v>21</v>
      </c>
      <c r="F281" s="3">
        <f>IF(D281="Urban",1,0)</f>
        <v>1</v>
      </c>
      <c r="G281" s="3">
        <v>9946</v>
      </c>
      <c r="H281" s="3">
        <v>1</v>
      </c>
      <c r="I281" s="3">
        <v>81265</v>
      </c>
      <c r="J281" s="3">
        <f>IF(E281="Cold",1,0)</f>
        <v>0</v>
      </c>
      <c r="K281" s="3">
        <f>IF(E281="Hot",1,0)</f>
        <v>1</v>
      </c>
      <c r="L281" s="3">
        <v>1245</v>
      </c>
      <c r="M281" s="3">
        <v>38</v>
      </c>
      <c r="N281" s="4">
        <v>44972</v>
      </c>
      <c r="O281" s="10">
        <v>374117.48220000003</v>
      </c>
      <c r="P281" s="1">
        <f>$C$3+F281*$C$4+H281*$C$6+J281*$C$8+K281*$C$9+L281*$C$10+M281*$C$11</f>
        <v>347147.94825430965</v>
      </c>
      <c r="Q281" s="1">
        <f>(O281-P281)/O281</f>
        <v>7.2088408665363285E-2</v>
      </c>
      <c r="R281" s="1"/>
      <c r="S281" s="1"/>
    </row>
    <row r="282" spans="1:19" x14ac:dyDescent="0.3">
      <c r="A282" s="2">
        <v>202</v>
      </c>
      <c r="B282" s="3" t="s">
        <v>55</v>
      </c>
      <c r="C282" s="3" t="s">
        <v>148</v>
      </c>
      <c r="D282" s="3" t="s">
        <v>18</v>
      </c>
      <c r="E282" s="3" t="s">
        <v>23</v>
      </c>
      <c r="F282" s="3">
        <f>IF(D282="Urban",1,0)</f>
        <v>1</v>
      </c>
      <c r="G282" s="3">
        <v>13644</v>
      </c>
      <c r="H282" s="3">
        <v>0</v>
      </c>
      <c r="I282" s="3">
        <v>86147</v>
      </c>
      <c r="J282" s="3">
        <f>IF(E282="Cold",1,0)</f>
        <v>0</v>
      </c>
      <c r="K282" s="3">
        <f>IF(E282="Hot",1,0)</f>
        <v>0</v>
      </c>
      <c r="L282" s="3">
        <v>1675</v>
      </c>
      <c r="M282" s="3">
        <v>43</v>
      </c>
      <c r="N282" s="4">
        <v>45480</v>
      </c>
      <c r="O282" s="10">
        <v>384646.14539999998</v>
      </c>
      <c r="P282" s="1">
        <f>$C$3+F282*$C$4+H282*$C$6+J282*$C$8+K282*$C$9+L282*$C$10+M282*$C$11</f>
        <v>356936.41651143495</v>
      </c>
      <c r="Q282" s="1">
        <f>(O282-P282)/O282</f>
        <v>7.2039533529574887E-2</v>
      </c>
      <c r="R282" s="1"/>
      <c r="S282" s="1"/>
    </row>
    <row r="283" spans="1:19" x14ac:dyDescent="0.3">
      <c r="A283" s="2">
        <v>646</v>
      </c>
      <c r="B283" s="3" t="s">
        <v>35</v>
      </c>
      <c r="C283" s="3" t="s">
        <v>139</v>
      </c>
      <c r="D283" s="3" t="s">
        <v>18</v>
      </c>
      <c r="E283" s="3" t="s">
        <v>15</v>
      </c>
      <c r="F283" s="3">
        <f>IF(D283="Urban",1,0)</f>
        <v>1</v>
      </c>
      <c r="G283" s="3">
        <v>22558</v>
      </c>
      <c r="H283" s="3">
        <v>0</v>
      </c>
      <c r="I283" s="3">
        <v>97009</v>
      </c>
      <c r="J283" s="3">
        <f>IF(E283="Cold",1,0)</f>
        <v>1</v>
      </c>
      <c r="K283" s="3">
        <f>IF(E283="Hot",1,0)</f>
        <v>0</v>
      </c>
      <c r="L283" s="3">
        <v>1176</v>
      </c>
      <c r="M283" s="3">
        <v>31</v>
      </c>
      <c r="N283" s="4">
        <v>44610</v>
      </c>
      <c r="O283" s="10">
        <v>349520.64740000002</v>
      </c>
      <c r="P283" s="1">
        <f>$C$3+F283*$C$4+H283*$C$6+J283*$C$8+K283*$C$9+L283*$C$10+M283*$C$11</f>
        <v>324341.57757308264</v>
      </c>
      <c r="Q283" s="1">
        <f>(O283-P283)/O283</f>
        <v>7.2038862408325272E-2</v>
      </c>
      <c r="R283" s="1"/>
      <c r="S283" s="1"/>
    </row>
    <row r="284" spans="1:19" x14ac:dyDescent="0.3">
      <c r="A284" s="2">
        <v>261</v>
      </c>
      <c r="B284" s="3" t="s">
        <v>31</v>
      </c>
      <c r="C284" s="3" t="s">
        <v>81</v>
      </c>
      <c r="D284" s="3" t="s">
        <v>14</v>
      </c>
      <c r="E284" s="3" t="s">
        <v>15</v>
      </c>
      <c r="F284" s="3">
        <f>IF(D284="Urban",1,0)</f>
        <v>0</v>
      </c>
      <c r="G284" s="3">
        <v>28456</v>
      </c>
      <c r="H284" s="3">
        <v>1</v>
      </c>
      <c r="I284" s="3">
        <v>63559</v>
      </c>
      <c r="J284" s="3">
        <f>IF(E284="Cold",1,0)</f>
        <v>1</v>
      </c>
      <c r="K284" s="3">
        <f>IF(E284="Hot",1,0)</f>
        <v>0</v>
      </c>
      <c r="L284" s="3">
        <v>1003</v>
      </c>
      <c r="M284" s="3">
        <v>26</v>
      </c>
      <c r="N284" s="4">
        <v>45029</v>
      </c>
      <c r="O284" s="10">
        <v>294915.33549999999</v>
      </c>
      <c r="P284" s="1">
        <f>$C$3+F284*$C$4+H284*$C$6+J284*$C$8+K284*$C$9+L284*$C$10+M284*$C$11</f>
        <v>273679.53014357504</v>
      </c>
      <c r="Q284" s="1">
        <f>(O284-P284)/O284</f>
        <v>7.2006446597365714E-2</v>
      </c>
      <c r="R284" s="1"/>
      <c r="S284" s="1"/>
    </row>
    <row r="285" spans="1:19" x14ac:dyDescent="0.3">
      <c r="A285" s="2">
        <v>493</v>
      </c>
      <c r="B285" s="3" t="s">
        <v>108</v>
      </c>
      <c r="C285" s="3" t="s">
        <v>205</v>
      </c>
      <c r="D285" s="3" t="s">
        <v>18</v>
      </c>
      <c r="E285" s="3" t="s">
        <v>21</v>
      </c>
      <c r="F285" s="3">
        <f>IF(D285="Urban",1,0)</f>
        <v>1</v>
      </c>
      <c r="G285" s="3">
        <v>19317</v>
      </c>
      <c r="H285" s="3">
        <v>6</v>
      </c>
      <c r="I285" s="3">
        <v>60263</v>
      </c>
      <c r="J285" s="3">
        <f>IF(E285="Cold",1,0)</f>
        <v>0</v>
      </c>
      <c r="K285" s="3">
        <f>IF(E285="Hot",1,0)</f>
        <v>1</v>
      </c>
      <c r="L285" s="3">
        <v>1305</v>
      </c>
      <c r="M285" s="3">
        <v>87</v>
      </c>
      <c r="N285" s="4">
        <v>45512</v>
      </c>
      <c r="O285" s="10">
        <v>386496.89069999999</v>
      </c>
      <c r="P285" s="1">
        <f>$C$3+F285*$C$4+H285*$C$6+J285*$C$8+K285*$C$9+L285*$C$10+M285*$C$11</f>
        <v>358698.1546279742</v>
      </c>
      <c r="Q285" s="1">
        <f>(O285-P285)/O285</f>
        <v>7.1924863410099835E-2</v>
      </c>
      <c r="R285" s="1"/>
      <c r="S285" s="1"/>
    </row>
    <row r="286" spans="1:19" x14ac:dyDescent="0.3">
      <c r="A286" s="2">
        <v>894</v>
      </c>
      <c r="B286" s="3" t="s">
        <v>40</v>
      </c>
      <c r="C286" s="3" t="s">
        <v>42</v>
      </c>
      <c r="D286" s="3" t="s">
        <v>18</v>
      </c>
      <c r="E286" s="3" t="s">
        <v>15</v>
      </c>
      <c r="F286" s="3">
        <f>IF(D286="Urban",1,0)</f>
        <v>1</v>
      </c>
      <c r="G286" s="3">
        <v>20261</v>
      </c>
      <c r="H286" s="3">
        <v>7</v>
      </c>
      <c r="I286" s="3">
        <v>64709</v>
      </c>
      <c r="J286" s="3">
        <f>IF(E286="Cold",1,0)</f>
        <v>1</v>
      </c>
      <c r="K286" s="3">
        <f>IF(E286="Hot",1,0)</f>
        <v>0</v>
      </c>
      <c r="L286" s="3">
        <v>2865</v>
      </c>
      <c r="M286" s="3">
        <v>38</v>
      </c>
      <c r="N286" s="4">
        <v>45425</v>
      </c>
      <c r="O286" s="10">
        <v>380898.84700000001</v>
      </c>
      <c r="P286" s="1">
        <f>$C$3+F286*$C$4+H286*$C$6+J286*$C$8+K286*$C$9+L286*$C$10+M286*$C$11</f>
        <v>353555.96282579255</v>
      </c>
      <c r="Q286" s="1">
        <f>(O286-P286)/O286</f>
        <v>7.1785158683369446E-2</v>
      </c>
      <c r="R286" s="1"/>
      <c r="S286" s="1"/>
    </row>
    <row r="287" spans="1:19" x14ac:dyDescent="0.3">
      <c r="A287" s="2">
        <v>580</v>
      </c>
      <c r="B287" s="3" t="s">
        <v>35</v>
      </c>
      <c r="C287" s="3" t="s">
        <v>148</v>
      </c>
      <c r="D287" s="3" t="s">
        <v>14</v>
      </c>
      <c r="E287" s="3" t="s">
        <v>21</v>
      </c>
      <c r="F287" s="3">
        <f>IF(D287="Urban",1,0)</f>
        <v>0</v>
      </c>
      <c r="G287" s="3">
        <v>19792</v>
      </c>
      <c r="H287" s="3">
        <v>0</v>
      </c>
      <c r="I287" s="3">
        <v>95054</v>
      </c>
      <c r="J287" s="3">
        <f>IF(E287="Cold",1,0)</f>
        <v>0</v>
      </c>
      <c r="K287" s="3">
        <f>IF(E287="Hot",1,0)</f>
        <v>1</v>
      </c>
      <c r="L287" s="3">
        <v>1600</v>
      </c>
      <c r="M287" s="3">
        <v>86</v>
      </c>
      <c r="N287" s="4">
        <v>45018</v>
      </c>
      <c r="O287" s="10">
        <v>350392.89529999997</v>
      </c>
      <c r="P287" s="1">
        <f>$C$3+F287*$C$4+H287*$C$6+J287*$C$8+K287*$C$9+L287*$C$10+M287*$C$11</f>
        <v>325259.61062964733</v>
      </c>
      <c r="Q287" s="1">
        <f>(O287-P287)/O287</f>
        <v>7.1728864961242964E-2</v>
      </c>
      <c r="R287" s="1"/>
      <c r="S287" s="1"/>
    </row>
    <row r="288" spans="1:19" x14ac:dyDescent="0.3">
      <c r="A288" s="2">
        <v>496</v>
      </c>
      <c r="B288" s="3" t="s">
        <v>57</v>
      </c>
      <c r="C288" s="3" t="s">
        <v>206</v>
      </c>
      <c r="D288" s="3" t="s">
        <v>14</v>
      </c>
      <c r="E288" s="3" t="s">
        <v>15</v>
      </c>
      <c r="F288" s="3">
        <f>IF(D288="Urban",1,0)</f>
        <v>0</v>
      </c>
      <c r="G288" s="3">
        <v>22784</v>
      </c>
      <c r="H288" s="3">
        <v>3</v>
      </c>
      <c r="I288" s="3">
        <v>65242</v>
      </c>
      <c r="J288" s="3">
        <f>IF(E288="Cold",1,0)</f>
        <v>1</v>
      </c>
      <c r="K288" s="3">
        <f>IF(E288="Hot",1,0)</f>
        <v>0</v>
      </c>
      <c r="L288" s="3">
        <v>1387</v>
      </c>
      <c r="M288" s="3">
        <v>60</v>
      </c>
      <c r="N288" s="4">
        <v>45504</v>
      </c>
      <c r="O288" s="10">
        <v>312294.21490000002</v>
      </c>
      <c r="P288" s="1">
        <f>$C$3+F288*$C$4+H288*$C$6+J288*$C$8+K288*$C$9+L288*$C$10+M288*$C$11</f>
        <v>289922.6634105065</v>
      </c>
      <c r="Q288" s="1">
        <f>(O288-P288)/O288</f>
        <v>7.1636138045839667E-2</v>
      </c>
      <c r="R288" s="1"/>
      <c r="S288" s="1"/>
    </row>
    <row r="289" spans="1:19" x14ac:dyDescent="0.3">
      <c r="A289" s="2">
        <v>138</v>
      </c>
      <c r="B289" s="3" t="s">
        <v>24</v>
      </c>
      <c r="C289" s="3" t="s">
        <v>25</v>
      </c>
      <c r="D289" s="3" t="s">
        <v>14</v>
      </c>
      <c r="E289" s="3" t="s">
        <v>21</v>
      </c>
      <c r="F289" s="3">
        <f>IF(D289="Urban",1,0)</f>
        <v>0</v>
      </c>
      <c r="G289" s="3">
        <v>15000</v>
      </c>
      <c r="H289" s="3">
        <v>7</v>
      </c>
      <c r="I289" s="3">
        <v>67394</v>
      </c>
      <c r="J289" s="3">
        <f>IF(E289="Cold",1,0)</f>
        <v>0</v>
      </c>
      <c r="K289" s="3">
        <f>IF(E289="Hot",1,0)</f>
        <v>1</v>
      </c>
      <c r="L289" s="3">
        <v>2069</v>
      </c>
      <c r="M289" s="3">
        <v>99</v>
      </c>
      <c r="N289" s="4">
        <v>44434</v>
      </c>
      <c r="O289" s="10">
        <v>357550.76419999998</v>
      </c>
      <c r="P289" s="1">
        <f>$C$3+F289*$C$4+H289*$C$6+J289*$C$8+K289*$C$9+L289*$C$10+M289*$C$11</f>
        <v>331975.77424528508</v>
      </c>
      <c r="Q289" s="1">
        <f>(O289-P289)/O289</f>
        <v>7.1528276584550216E-2</v>
      </c>
      <c r="R289" s="1"/>
      <c r="S289" s="1"/>
    </row>
    <row r="290" spans="1:19" x14ac:dyDescent="0.3">
      <c r="A290" s="2">
        <v>593</v>
      </c>
      <c r="B290" s="3" t="s">
        <v>26</v>
      </c>
      <c r="C290" s="3" t="s">
        <v>27</v>
      </c>
      <c r="D290" s="3" t="s">
        <v>18</v>
      </c>
      <c r="E290" s="3" t="s">
        <v>21</v>
      </c>
      <c r="F290" s="3">
        <f>IF(D290="Urban",1,0)</f>
        <v>1</v>
      </c>
      <c r="G290" s="3">
        <v>11479</v>
      </c>
      <c r="H290" s="3">
        <v>1</v>
      </c>
      <c r="I290" s="3">
        <v>63550</v>
      </c>
      <c r="J290" s="3">
        <f>IF(E290="Cold",1,0)</f>
        <v>0</v>
      </c>
      <c r="K290" s="3">
        <f>IF(E290="Hot",1,0)</f>
        <v>1</v>
      </c>
      <c r="L290" s="3">
        <v>2303</v>
      </c>
      <c r="M290" s="3">
        <v>89</v>
      </c>
      <c r="N290" s="4">
        <v>45328</v>
      </c>
      <c r="O290" s="10">
        <v>413437.21779999998</v>
      </c>
      <c r="P290" s="1">
        <f>$C$3+F290*$C$4+H290*$C$6+J290*$C$8+K290*$C$9+L290*$C$10+M290*$C$11</f>
        <v>383982.23954707407</v>
      </c>
      <c r="Q290" s="1">
        <f>(O290-P290)/O290</f>
        <v>7.1244138129757675E-2</v>
      </c>
      <c r="R290" s="1"/>
      <c r="S290" s="1"/>
    </row>
    <row r="291" spans="1:19" x14ac:dyDescent="0.3">
      <c r="A291" s="2">
        <v>442</v>
      </c>
      <c r="B291" s="3" t="s">
        <v>53</v>
      </c>
      <c r="C291" s="3" t="s">
        <v>197</v>
      </c>
      <c r="D291" s="3" t="s">
        <v>14</v>
      </c>
      <c r="E291" s="3" t="s">
        <v>15</v>
      </c>
      <c r="F291" s="3">
        <f>IF(D291="Urban",1,0)</f>
        <v>0</v>
      </c>
      <c r="G291" s="3">
        <v>12026</v>
      </c>
      <c r="H291" s="3">
        <v>7</v>
      </c>
      <c r="I291" s="3">
        <v>70708</v>
      </c>
      <c r="J291" s="3">
        <f>IF(E291="Cold",1,0)</f>
        <v>1</v>
      </c>
      <c r="K291" s="3">
        <f>IF(E291="Hot",1,0)</f>
        <v>0</v>
      </c>
      <c r="L291" s="3">
        <v>2461</v>
      </c>
      <c r="M291" s="3">
        <v>78</v>
      </c>
      <c r="N291" s="4">
        <v>44551</v>
      </c>
      <c r="O291" s="10">
        <v>337115.9252</v>
      </c>
      <c r="P291" s="1">
        <f>$C$3+F291*$C$4+H291*$C$6+J291*$C$8+K291*$C$9+L291*$C$10+M291*$C$11</f>
        <v>313104.2858162651</v>
      </c>
      <c r="Q291" s="1">
        <f>(O291-P291)/O291</f>
        <v>7.1226654064145953E-2</v>
      </c>
      <c r="R291" s="1"/>
      <c r="S291" s="1"/>
    </row>
    <row r="292" spans="1:19" x14ac:dyDescent="0.3">
      <c r="A292" s="2">
        <v>992</v>
      </c>
      <c r="B292" s="3" t="s">
        <v>16</v>
      </c>
      <c r="C292" s="3" t="s">
        <v>87</v>
      </c>
      <c r="D292" s="3" t="s">
        <v>14</v>
      </c>
      <c r="E292" s="3" t="s">
        <v>23</v>
      </c>
      <c r="F292" s="3">
        <f>IF(D292="Urban",1,0)</f>
        <v>0</v>
      </c>
      <c r="G292" s="3">
        <v>21042</v>
      </c>
      <c r="H292" s="3">
        <v>1</v>
      </c>
      <c r="I292" s="3">
        <v>93086</v>
      </c>
      <c r="J292" s="3">
        <f>IF(E292="Cold",1,0)</f>
        <v>0</v>
      </c>
      <c r="K292" s="3">
        <f>IF(E292="Hot",1,0)</f>
        <v>0</v>
      </c>
      <c r="L292" s="3">
        <v>1013</v>
      </c>
      <c r="M292" s="3">
        <v>36</v>
      </c>
      <c r="N292" s="4">
        <v>45407</v>
      </c>
      <c r="O292" s="10">
        <v>318525.85739999998</v>
      </c>
      <c r="P292" s="1">
        <f>$C$3+F292*$C$4+H292*$C$6+J292*$C$8+K292*$C$9+L292*$C$10+M292*$C$11</f>
        <v>295898.91123234428</v>
      </c>
      <c r="Q292" s="1">
        <f>(O292-P292)/O292</f>
        <v>7.1036450077712587E-2</v>
      </c>
      <c r="R292" s="1"/>
      <c r="S292" s="1"/>
    </row>
    <row r="293" spans="1:19" x14ac:dyDescent="0.3">
      <c r="A293" s="2">
        <v>578</v>
      </c>
      <c r="B293" s="3" t="s">
        <v>28</v>
      </c>
      <c r="C293" s="3" t="s">
        <v>43</v>
      </c>
      <c r="D293" s="3" t="s">
        <v>14</v>
      </c>
      <c r="E293" s="3" t="s">
        <v>23</v>
      </c>
      <c r="F293" s="3">
        <f>IF(D293="Urban",1,0)</f>
        <v>0</v>
      </c>
      <c r="G293" s="3">
        <v>7274</v>
      </c>
      <c r="H293" s="3">
        <v>6</v>
      </c>
      <c r="I293" s="3">
        <v>72476</v>
      </c>
      <c r="J293" s="3">
        <f>IF(E293="Cold",1,0)</f>
        <v>0</v>
      </c>
      <c r="K293" s="3">
        <f>IF(E293="Hot",1,0)</f>
        <v>0</v>
      </c>
      <c r="L293" s="3">
        <v>2953</v>
      </c>
      <c r="M293" s="3">
        <v>26</v>
      </c>
      <c r="N293" s="4">
        <v>44194</v>
      </c>
      <c r="O293" s="10">
        <v>351744.62540000002</v>
      </c>
      <c r="P293" s="1">
        <f>$C$3+F293*$C$4+H293*$C$6+J293*$C$8+K293*$C$9+L293*$C$10+M293*$C$11</f>
        <v>326782.80095860758</v>
      </c>
      <c r="Q293" s="1">
        <f>(O293-P293)/O293</f>
        <v>7.0965759357392133E-2</v>
      </c>
      <c r="R293" s="1"/>
      <c r="S293" s="1"/>
    </row>
    <row r="294" spans="1:19" x14ac:dyDescent="0.3">
      <c r="A294" s="2">
        <v>839</v>
      </c>
      <c r="B294" s="3" t="s">
        <v>40</v>
      </c>
      <c r="C294" s="3" t="s">
        <v>226</v>
      </c>
      <c r="D294" s="3" t="s">
        <v>18</v>
      </c>
      <c r="E294" s="3" t="s">
        <v>23</v>
      </c>
      <c r="F294" s="3">
        <f>IF(D294="Urban",1,0)</f>
        <v>1</v>
      </c>
      <c r="G294" s="3">
        <v>23473</v>
      </c>
      <c r="H294" s="3">
        <v>5</v>
      </c>
      <c r="I294" s="3">
        <v>93207</v>
      </c>
      <c r="J294" s="3">
        <f>IF(E294="Cold",1,0)</f>
        <v>0</v>
      </c>
      <c r="K294" s="3">
        <f>IF(E294="Hot",1,0)</f>
        <v>0</v>
      </c>
      <c r="L294" s="3">
        <v>1570</v>
      </c>
      <c r="M294" s="3">
        <v>97</v>
      </c>
      <c r="N294" s="4">
        <v>44533</v>
      </c>
      <c r="O294" s="10">
        <v>394698.3676</v>
      </c>
      <c r="P294" s="1">
        <f>$C$3+F294*$C$4+H294*$C$6+J294*$C$8+K294*$C$9+L294*$C$10+M294*$C$11</f>
        <v>366734.85968608473</v>
      </c>
      <c r="Q294" s="1">
        <f>(O294-P294)/O294</f>
        <v>7.0847792160758011E-2</v>
      </c>
      <c r="R294" s="1"/>
      <c r="S294" s="1"/>
    </row>
    <row r="295" spans="1:19" x14ac:dyDescent="0.3">
      <c r="A295" s="2">
        <v>641</v>
      </c>
      <c r="B295" s="3" t="s">
        <v>24</v>
      </c>
      <c r="C295" s="3" t="s">
        <v>154</v>
      </c>
      <c r="D295" s="3" t="s">
        <v>18</v>
      </c>
      <c r="E295" s="3" t="s">
        <v>21</v>
      </c>
      <c r="F295" s="3">
        <f>IF(D295="Urban",1,0)</f>
        <v>1</v>
      </c>
      <c r="G295" s="3">
        <v>21929</v>
      </c>
      <c r="H295" s="3">
        <v>4</v>
      </c>
      <c r="I295" s="3">
        <v>87160</v>
      </c>
      <c r="J295" s="3">
        <f>IF(E295="Cold",1,0)</f>
        <v>0</v>
      </c>
      <c r="K295" s="3">
        <f>IF(E295="Hot",1,0)</f>
        <v>1</v>
      </c>
      <c r="L295" s="3">
        <v>2155</v>
      </c>
      <c r="M295" s="3">
        <v>29</v>
      </c>
      <c r="N295" s="4">
        <v>44890</v>
      </c>
      <c r="O295" s="10">
        <v>387075.59749999997</v>
      </c>
      <c r="P295" s="1">
        <f>$C$3+F295*$C$4+H295*$C$6+J295*$C$8+K295*$C$9+L295*$C$10+M295*$C$11</f>
        <v>359684.50111829862</v>
      </c>
      <c r="Q295" s="1">
        <f>(O295-P295)/O295</f>
        <v>7.0764203578349727E-2</v>
      </c>
      <c r="R295" s="1"/>
      <c r="S295" s="1"/>
    </row>
    <row r="296" spans="1:19" x14ac:dyDescent="0.3">
      <c r="A296" s="2">
        <v>249</v>
      </c>
      <c r="B296" s="3" t="s">
        <v>74</v>
      </c>
      <c r="C296" s="3" t="s">
        <v>120</v>
      </c>
      <c r="D296" s="3" t="s">
        <v>14</v>
      </c>
      <c r="E296" s="3" t="s">
        <v>15</v>
      </c>
      <c r="F296" s="3">
        <f>IF(D296="Urban",1,0)</f>
        <v>0</v>
      </c>
      <c r="G296" s="3">
        <v>18393</v>
      </c>
      <c r="H296" s="3">
        <v>6</v>
      </c>
      <c r="I296" s="3">
        <v>75439</v>
      </c>
      <c r="J296" s="3">
        <f>IF(E296="Cold",1,0)</f>
        <v>1</v>
      </c>
      <c r="K296" s="3">
        <f>IF(E296="Hot",1,0)</f>
        <v>0</v>
      </c>
      <c r="L296" s="3">
        <v>2430</v>
      </c>
      <c r="M296" s="3">
        <v>78</v>
      </c>
      <c r="N296" s="4">
        <v>43951</v>
      </c>
      <c r="O296" s="10">
        <v>337300.5196</v>
      </c>
      <c r="P296" s="1">
        <f>$C$3+F296*$C$4+H296*$C$6+J296*$C$8+K296*$C$9+L296*$C$10+M296*$C$11</f>
        <v>313435.7148994364</v>
      </c>
      <c r="Q296" s="1">
        <f>(O296-P296)/O296</f>
        <v>7.075235083795467E-2</v>
      </c>
      <c r="R296" s="1"/>
      <c r="S296" s="1"/>
    </row>
    <row r="297" spans="1:19" x14ac:dyDescent="0.3">
      <c r="A297" s="2">
        <v>408</v>
      </c>
      <c r="B297" s="3" t="s">
        <v>19</v>
      </c>
      <c r="C297" s="3" t="s">
        <v>52</v>
      </c>
      <c r="D297" s="3" t="s">
        <v>18</v>
      </c>
      <c r="E297" s="3" t="s">
        <v>21</v>
      </c>
      <c r="F297" s="3">
        <f>IF(D297="Urban",1,0)</f>
        <v>1</v>
      </c>
      <c r="G297" s="3">
        <v>10233</v>
      </c>
      <c r="H297" s="3">
        <v>1</v>
      </c>
      <c r="I297" s="3">
        <v>73537</v>
      </c>
      <c r="J297" s="3">
        <f>IF(E297="Cold",1,0)</f>
        <v>0</v>
      </c>
      <c r="K297" s="3">
        <f>IF(E297="Hot",1,0)</f>
        <v>1</v>
      </c>
      <c r="L297" s="3">
        <v>2806</v>
      </c>
      <c r="M297" s="3">
        <v>62</v>
      </c>
      <c r="N297" s="4">
        <v>44767</v>
      </c>
      <c r="O297" s="10">
        <v>415049.01579999999</v>
      </c>
      <c r="P297" s="1">
        <f>$C$3+F297*$C$4+H297*$C$6+J297*$C$8+K297*$C$9+L297*$C$10+M297*$C$11</f>
        <v>385698.4251566634</v>
      </c>
      <c r="Q297" s="1">
        <f>(O297-P297)/O297</f>
        <v>7.0715962515328024E-2</v>
      </c>
      <c r="R297" s="1"/>
      <c r="S297" s="1"/>
    </row>
    <row r="298" spans="1:19" x14ac:dyDescent="0.3">
      <c r="A298" s="2">
        <v>331</v>
      </c>
      <c r="B298" s="3" t="s">
        <v>122</v>
      </c>
      <c r="C298" s="3" t="s">
        <v>133</v>
      </c>
      <c r="D298" s="3" t="s">
        <v>14</v>
      </c>
      <c r="E298" s="3" t="s">
        <v>23</v>
      </c>
      <c r="F298" s="3">
        <f>IF(D298="Urban",1,0)</f>
        <v>0</v>
      </c>
      <c r="G298" s="3">
        <v>27810</v>
      </c>
      <c r="H298" s="3">
        <v>3</v>
      </c>
      <c r="I298" s="3">
        <v>98464</v>
      </c>
      <c r="J298" s="3">
        <f>IF(E298="Cold",1,0)</f>
        <v>0</v>
      </c>
      <c r="K298" s="3">
        <f>IF(E298="Hot",1,0)</f>
        <v>0</v>
      </c>
      <c r="L298" s="3">
        <v>2129</v>
      </c>
      <c r="M298" s="3">
        <v>27</v>
      </c>
      <c r="N298" s="4">
        <v>44301</v>
      </c>
      <c r="O298" s="10">
        <v>337292.65100000001</v>
      </c>
      <c r="P298" s="1">
        <f>$C$3+F298*$C$4+H298*$C$6+J298*$C$8+K298*$C$9+L298*$C$10+M298*$C$11</f>
        <v>313496.7141914285</v>
      </c>
      <c r="Q298" s="1">
        <f>(O298-P298)/O298</f>
        <v>7.0549822944620005E-2</v>
      </c>
      <c r="R298" s="1"/>
      <c r="S298" s="1"/>
    </row>
    <row r="299" spans="1:19" x14ac:dyDescent="0.3">
      <c r="A299" s="2">
        <v>87</v>
      </c>
      <c r="B299" s="3" t="s">
        <v>28</v>
      </c>
      <c r="C299" s="3" t="s">
        <v>102</v>
      </c>
      <c r="D299" s="3" t="s">
        <v>18</v>
      </c>
      <c r="E299" s="3" t="s">
        <v>21</v>
      </c>
      <c r="F299" s="3">
        <f>IF(D299="Urban",1,0)</f>
        <v>1</v>
      </c>
      <c r="G299" s="3">
        <v>10142</v>
      </c>
      <c r="H299" s="3">
        <v>5</v>
      </c>
      <c r="I299" s="3">
        <v>71908</v>
      </c>
      <c r="J299" s="3">
        <f>IF(E299="Cold",1,0)</f>
        <v>0</v>
      </c>
      <c r="K299" s="3">
        <f>IF(E299="Hot",1,0)</f>
        <v>1</v>
      </c>
      <c r="L299" s="3">
        <v>1447</v>
      </c>
      <c r="M299" s="3">
        <v>41</v>
      </c>
      <c r="N299" s="4">
        <v>44277</v>
      </c>
      <c r="O299" s="10">
        <v>374702.40370000002</v>
      </c>
      <c r="P299" s="1">
        <f>$C$3+F299*$C$4+H299*$C$6+J299*$C$8+K299*$C$9+L299*$C$10+M299*$C$11</f>
        <v>348303.57197314617</v>
      </c>
      <c r="Q299" s="1">
        <f>(O299-P299)/O299</f>
        <v>7.0452795248118261E-2</v>
      </c>
      <c r="R299" s="1"/>
      <c r="S299" s="1"/>
    </row>
    <row r="300" spans="1:19" x14ac:dyDescent="0.3">
      <c r="A300" s="2">
        <v>20</v>
      </c>
      <c r="B300" s="3" t="s">
        <v>28</v>
      </c>
      <c r="C300" s="3" t="s">
        <v>20</v>
      </c>
      <c r="D300" s="3" t="s">
        <v>14</v>
      </c>
      <c r="E300" s="3" t="s">
        <v>23</v>
      </c>
      <c r="F300" s="3">
        <f>IF(D300="Urban",1,0)</f>
        <v>0</v>
      </c>
      <c r="G300" s="3">
        <v>11533</v>
      </c>
      <c r="H300" s="3">
        <v>0</v>
      </c>
      <c r="I300" s="3">
        <v>70354</v>
      </c>
      <c r="J300" s="3">
        <f>IF(E300="Cold",1,0)</f>
        <v>0</v>
      </c>
      <c r="K300" s="3">
        <f>IF(E300="Hot",1,0)</f>
        <v>0</v>
      </c>
      <c r="L300" s="3">
        <v>1879</v>
      </c>
      <c r="M300" s="3">
        <v>52</v>
      </c>
      <c r="N300" s="4">
        <v>45059</v>
      </c>
      <c r="O300" s="10">
        <v>343233.15610000002</v>
      </c>
      <c r="P300" s="1">
        <f>$C$3+F300*$C$4+H300*$C$6+J300*$C$8+K300*$C$9+L300*$C$10+M300*$C$11</f>
        <v>319063.49530226161</v>
      </c>
      <c r="Q300" s="1">
        <f>(O300-P300)/O300</f>
        <v>7.04176166206293E-2</v>
      </c>
      <c r="R300" s="1"/>
      <c r="S300" s="1"/>
    </row>
    <row r="301" spans="1:19" x14ac:dyDescent="0.3">
      <c r="A301" s="2">
        <v>348</v>
      </c>
      <c r="B301" s="3" t="s">
        <v>19</v>
      </c>
      <c r="C301" s="3" t="s">
        <v>130</v>
      </c>
      <c r="D301" s="3" t="s">
        <v>14</v>
      </c>
      <c r="E301" s="3" t="s">
        <v>21</v>
      </c>
      <c r="F301" s="3">
        <f>IF(D301="Urban",1,0)</f>
        <v>0</v>
      </c>
      <c r="G301" s="3">
        <v>12105</v>
      </c>
      <c r="H301" s="3">
        <v>1</v>
      </c>
      <c r="I301" s="3">
        <v>93337</v>
      </c>
      <c r="J301" s="3">
        <f>IF(E301="Cold",1,0)</f>
        <v>0</v>
      </c>
      <c r="K301" s="3">
        <f>IF(E301="Hot",1,0)</f>
        <v>1</v>
      </c>
      <c r="L301" s="3">
        <v>2193</v>
      </c>
      <c r="M301" s="3">
        <v>20</v>
      </c>
      <c r="N301" s="4">
        <v>45200</v>
      </c>
      <c r="O301" s="10">
        <v>339720.93890000001</v>
      </c>
      <c r="P301" s="1">
        <f>$C$3+F301*$C$4+H301*$C$6+J301*$C$8+K301*$C$9+L301*$C$10+M301*$C$11</f>
        <v>315800.86186938238</v>
      </c>
      <c r="Q301" s="1">
        <f>(O301-P301)/O301</f>
        <v>7.0410958794796932E-2</v>
      </c>
      <c r="R301" s="1"/>
      <c r="S301" s="1"/>
    </row>
    <row r="302" spans="1:19" x14ac:dyDescent="0.3">
      <c r="A302" s="2">
        <v>899</v>
      </c>
      <c r="B302" s="3" t="s">
        <v>35</v>
      </c>
      <c r="C302" s="3" t="s">
        <v>62</v>
      </c>
      <c r="D302" s="3" t="s">
        <v>18</v>
      </c>
      <c r="E302" s="3" t="s">
        <v>15</v>
      </c>
      <c r="F302" s="3">
        <f>IF(D302="Urban",1,0)</f>
        <v>1</v>
      </c>
      <c r="G302" s="3">
        <v>17378</v>
      </c>
      <c r="H302" s="3">
        <v>6</v>
      </c>
      <c r="I302" s="3">
        <v>94723</v>
      </c>
      <c r="J302" s="3">
        <f>IF(E302="Cold",1,0)</f>
        <v>1</v>
      </c>
      <c r="K302" s="3">
        <f>IF(E302="Hot",1,0)</f>
        <v>0</v>
      </c>
      <c r="L302" s="3">
        <v>2532</v>
      </c>
      <c r="M302" s="3">
        <v>71</v>
      </c>
      <c r="N302" s="4">
        <v>45004</v>
      </c>
      <c r="O302" s="10">
        <v>385130.11790000001</v>
      </c>
      <c r="P302" s="1">
        <f>$C$3+F302*$C$4+H302*$C$6+J302*$C$8+K302*$C$9+L302*$C$10+M302*$C$11</f>
        <v>358031.95368316292</v>
      </c>
      <c r="Q302" s="1">
        <f>(O302-P302)/O302</f>
        <v>7.0361062293947091E-2</v>
      </c>
      <c r="R302" s="1"/>
      <c r="S302" s="1"/>
    </row>
    <row r="303" spans="1:19" x14ac:dyDescent="0.3">
      <c r="A303" s="2">
        <v>393</v>
      </c>
      <c r="B303" s="3" t="s">
        <v>29</v>
      </c>
      <c r="C303" s="3" t="s">
        <v>135</v>
      </c>
      <c r="D303" s="3" t="s">
        <v>14</v>
      </c>
      <c r="E303" s="3" t="s">
        <v>23</v>
      </c>
      <c r="F303" s="3">
        <f>IF(D303="Urban",1,0)</f>
        <v>0</v>
      </c>
      <c r="G303" s="3">
        <v>20768</v>
      </c>
      <c r="H303" s="3">
        <v>1</v>
      </c>
      <c r="I303" s="3">
        <v>94611</v>
      </c>
      <c r="J303" s="3">
        <f>IF(E303="Cold",1,0)</f>
        <v>0</v>
      </c>
      <c r="K303" s="3">
        <f>IF(E303="Hot",1,0)</f>
        <v>0</v>
      </c>
      <c r="L303" s="3">
        <v>1038</v>
      </c>
      <c r="M303" s="3">
        <v>21</v>
      </c>
      <c r="N303" s="4">
        <v>44007</v>
      </c>
      <c r="O303" s="10">
        <v>313832.80570000003</v>
      </c>
      <c r="P303" s="1">
        <f>$C$3+F303*$C$4+H303*$C$6+J303*$C$8+K303*$C$9+L303*$C$10+M303*$C$11</f>
        <v>291774.38700827368</v>
      </c>
      <c r="Q303" s="1">
        <f>(O303-P303)/O303</f>
        <v>7.0287166577519919E-2</v>
      </c>
      <c r="R303" s="1"/>
      <c r="S303" s="1"/>
    </row>
    <row r="304" spans="1:19" x14ac:dyDescent="0.3">
      <c r="A304" s="2">
        <v>930</v>
      </c>
      <c r="B304" s="3" t="s">
        <v>57</v>
      </c>
      <c r="C304" s="3" t="s">
        <v>116</v>
      </c>
      <c r="D304" s="3" t="s">
        <v>14</v>
      </c>
      <c r="E304" s="3" t="s">
        <v>23</v>
      </c>
      <c r="F304" s="3">
        <f>IF(D304="Urban",1,0)</f>
        <v>0</v>
      </c>
      <c r="G304" s="3">
        <v>21525</v>
      </c>
      <c r="H304" s="3">
        <v>4</v>
      </c>
      <c r="I304" s="3">
        <v>65475</v>
      </c>
      <c r="J304" s="3">
        <f>IF(E304="Cold",1,0)</f>
        <v>0</v>
      </c>
      <c r="K304" s="3">
        <f>IF(E304="Hot",1,0)</f>
        <v>0</v>
      </c>
      <c r="L304" s="3">
        <v>2930</v>
      </c>
      <c r="M304" s="3">
        <v>45</v>
      </c>
      <c r="N304" s="4">
        <v>45397</v>
      </c>
      <c r="O304" s="10">
        <v>359276.06599999999</v>
      </c>
      <c r="P304" s="1">
        <f>$C$3+F304*$C$4+H304*$C$6+J304*$C$8+K304*$C$9+L304*$C$10+M304*$C$11</f>
        <v>334080.35472372075</v>
      </c>
      <c r="Q304" s="1">
        <f>(O304-P304)/O304</f>
        <v>7.0129111456812818E-2</v>
      </c>
      <c r="R304" s="1"/>
      <c r="S304" s="1"/>
    </row>
    <row r="305" spans="1:19" x14ac:dyDescent="0.3">
      <c r="A305" s="2">
        <v>781</v>
      </c>
      <c r="B305" s="3" t="s">
        <v>31</v>
      </c>
      <c r="C305" s="3" t="s">
        <v>186</v>
      </c>
      <c r="D305" s="3" t="s">
        <v>14</v>
      </c>
      <c r="E305" s="3" t="s">
        <v>23</v>
      </c>
      <c r="F305" s="3">
        <f>IF(D305="Urban",1,0)</f>
        <v>0</v>
      </c>
      <c r="G305" s="3">
        <v>17712</v>
      </c>
      <c r="H305" s="3">
        <v>6</v>
      </c>
      <c r="I305" s="3">
        <v>88982</v>
      </c>
      <c r="J305" s="3">
        <f>IF(E305="Cold",1,0)</f>
        <v>0</v>
      </c>
      <c r="K305" s="3">
        <f>IF(E305="Hot",1,0)</f>
        <v>0</v>
      </c>
      <c r="L305" s="3">
        <v>2885</v>
      </c>
      <c r="M305" s="3">
        <v>73</v>
      </c>
      <c r="N305" s="4">
        <v>44398</v>
      </c>
      <c r="O305" s="10">
        <v>365507.83110000001</v>
      </c>
      <c r="P305" s="1">
        <f>$C$3+F305*$C$4+H305*$C$6+J305*$C$8+K305*$C$9+L305*$C$10+M305*$C$11</f>
        <v>339912.5330510888</v>
      </c>
      <c r="Q305" s="1">
        <f>(O305-P305)/O305</f>
        <v>7.0026674864617444E-2</v>
      </c>
      <c r="R305" s="1"/>
      <c r="S305" s="1"/>
    </row>
    <row r="306" spans="1:19" x14ac:dyDescent="0.3">
      <c r="A306" s="2">
        <v>642</v>
      </c>
      <c r="B306" s="3" t="s">
        <v>74</v>
      </c>
      <c r="C306" s="3" t="s">
        <v>75</v>
      </c>
      <c r="D306" s="3" t="s">
        <v>18</v>
      </c>
      <c r="E306" s="3" t="s">
        <v>15</v>
      </c>
      <c r="F306" s="3">
        <f>IF(D306="Urban",1,0)</f>
        <v>1</v>
      </c>
      <c r="G306" s="3">
        <v>17920</v>
      </c>
      <c r="H306" s="3">
        <v>6</v>
      </c>
      <c r="I306" s="3">
        <v>97748</v>
      </c>
      <c r="J306" s="3">
        <f>IF(E306="Cold",1,0)</f>
        <v>1</v>
      </c>
      <c r="K306" s="3">
        <f>IF(E306="Hot",1,0)</f>
        <v>0</v>
      </c>
      <c r="L306" s="3">
        <v>1090</v>
      </c>
      <c r="M306" s="3">
        <v>87</v>
      </c>
      <c r="N306" s="4">
        <v>45121</v>
      </c>
      <c r="O306" s="10">
        <v>359280.61969999998</v>
      </c>
      <c r="P306" s="1">
        <f>$C$3+F306*$C$4+H306*$C$6+J306*$C$8+K306*$C$9+L306*$C$10+M306*$C$11</f>
        <v>334185.56712184928</v>
      </c>
      <c r="Q306" s="1">
        <f>(O306-P306)/O306</f>
        <v>6.9848055258602923E-2</v>
      </c>
      <c r="R306" s="1"/>
      <c r="S306" s="1"/>
    </row>
    <row r="307" spans="1:19" x14ac:dyDescent="0.3">
      <c r="A307" s="2">
        <v>7</v>
      </c>
      <c r="B307" s="3" t="s">
        <v>29</v>
      </c>
      <c r="C307" s="3" t="s">
        <v>30</v>
      </c>
      <c r="D307" s="3" t="s">
        <v>14</v>
      </c>
      <c r="E307" s="3" t="s">
        <v>23</v>
      </c>
      <c r="F307" s="3">
        <f>IF(D307="Urban",1,0)</f>
        <v>0</v>
      </c>
      <c r="G307" s="3">
        <v>24241</v>
      </c>
      <c r="H307" s="3">
        <v>1</v>
      </c>
      <c r="I307" s="3">
        <v>80916</v>
      </c>
      <c r="J307" s="3">
        <f>IF(E307="Cold",1,0)</f>
        <v>0</v>
      </c>
      <c r="K307" s="3">
        <f>IF(E307="Hot",1,0)</f>
        <v>0</v>
      </c>
      <c r="L307" s="3">
        <v>2445</v>
      </c>
      <c r="M307" s="3">
        <v>77</v>
      </c>
      <c r="N307" s="4">
        <v>44701</v>
      </c>
      <c r="O307" s="10">
        <v>362291.28110000002</v>
      </c>
      <c r="P307" s="1">
        <f>$C$3+F307*$C$4+H307*$C$6+J307*$C$8+K307*$C$9+L307*$C$10+M307*$C$11</f>
        <v>337114.83915320021</v>
      </c>
      <c r="Q307" s="1">
        <f>(O307-P307)/O307</f>
        <v>6.9492265644258158E-2</v>
      </c>
      <c r="R307" s="1"/>
      <c r="S307" s="1"/>
    </row>
    <row r="308" spans="1:19" x14ac:dyDescent="0.3">
      <c r="A308" s="2">
        <v>437</v>
      </c>
      <c r="B308" s="3" t="s">
        <v>29</v>
      </c>
      <c r="C308" s="3" t="s">
        <v>164</v>
      </c>
      <c r="D308" s="3" t="s">
        <v>14</v>
      </c>
      <c r="E308" s="3" t="s">
        <v>15</v>
      </c>
      <c r="F308" s="3">
        <f>IF(D308="Urban",1,0)</f>
        <v>0</v>
      </c>
      <c r="G308" s="3">
        <v>15808</v>
      </c>
      <c r="H308" s="3">
        <v>5</v>
      </c>
      <c r="I308" s="3">
        <v>51900</v>
      </c>
      <c r="J308" s="3">
        <f>IF(E308="Cold",1,0)</f>
        <v>1</v>
      </c>
      <c r="K308" s="3">
        <f>IF(E308="Hot",1,0)</f>
        <v>0</v>
      </c>
      <c r="L308" s="3">
        <v>1692</v>
      </c>
      <c r="M308" s="3">
        <v>71</v>
      </c>
      <c r="N308" s="4">
        <v>44916</v>
      </c>
      <c r="O308" s="10">
        <v>319715.47360000003</v>
      </c>
      <c r="P308" s="1">
        <f>$C$3+F308*$C$4+H308*$C$6+J308*$C$8+K308*$C$9+L308*$C$10+M308*$C$11</f>
        <v>297499.89892036479</v>
      </c>
      <c r="Q308" s="1">
        <f>(O308-P308)/O308</f>
        <v>6.9485453517427853E-2</v>
      </c>
      <c r="R308" s="1"/>
      <c r="S308" s="1"/>
    </row>
    <row r="309" spans="1:19" x14ac:dyDescent="0.3">
      <c r="A309" s="2">
        <v>878</v>
      </c>
      <c r="B309" s="3" t="s">
        <v>74</v>
      </c>
      <c r="C309" s="3" t="s">
        <v>163</v>
      </c>
      <c r="D309" s="3" t="s">
        <v>18</v>
      </c>
      <c r="E309" s="3" t="s">
        <v>23</v>
      </c>
      <c r="F309" s="3">
        <f>IF(D309="Urban",1,0)</f>
        <v>1</v>
      </c>
      <c r="G309" s="3">
        <v>8087</v>
      </c>
      <c r="H309" s="3">
        <v>0</v>
      </c>
      <c r="I309" s="3">
        <v>84068</v>
      </c>
      <c r="J309" s="3">
        <f>IF(E309="Cold",1,0)</f>
        <v>0</v>
      </c>
      <c r="K309" s="3">
        <f>IF(E309="Hot",1,0)</f>
        <v>0</v>
      </c>
      <c r="L309" s="3">
        <v>1543</v>
      </c>
      <c r="M309" s="3">
        <v>96</v>
      </c>
      <c r="N309" s="4">
        <v>45360</v>
      </c>
      <c r="O309" s="10">
        <v>398310.73570000002</v>
      </c>
      <c r="P309" s="1">
        <f>$C$3+F309*$C$4+H309*$C$6+J309*$C$8+K309*$C$9+L309*$C$10+M309*$C$11</f>
        <v>370638.27755665028</v>
      </c>
      <c r="Q309" s="1">
        <f>(O309-P309)/O309</f>
        <v>6.9474547540672116E-2</v>
      </c>
      <c r="R309" s="1"/>
      <c r="S309" s="1"/>
    </row>
    <row r="310" spans="1:19" x14ac:dyDescent="0.3">
      <c r="A310" s="2">
        <v>566</v>
      </c>
      <c r="B310" s="3" t="s">
        <v>24</v>
      </c>
      <c r="C310" s="3" t="s">
        <v>94</v>
      </c>
      <c r="D310" s="3" t="s">
        <v>18</v>
      </c>
      <c r="E310" s="3" t="s">
        <v>21</v>
      </c>
      <c r="F310" s="3">
        <f>IF(D310="Urban",1,0)</f>
        <v>1</v>
      </c>
      <c r="G310" s="3">
        <v>20343</v>
      </c>
      <c r="H310" s="3">
        <v>5</v>
      </c>
      <c r="I310" s="3">
        <v>63824</v>
      </c>
      <c r="J310" s="3">
        <f>IF(E310="Cold",1,0)</f>
        <v>0</v>
      </c>
      <c r="K310" s="3">
        <f>IF(E310="Hot",1,0)</f>
        <v>1</v>
      </c>
      <c r="L310" s="3">
        <v>1977</v>
      </c>
      <c r="M310" s="3">
        <v>35</v>
      </c>
      <c r="N310" s="4">
        <v>45505</v>
      </c>
      <c r="O310" s="10">
        <v>383612.8407</v>
      </c>
      <c r="P310" s="1">
        <f>$C$3+F310*$C$4+H310*$C$6+J310*$C$8+K310*$C$9+L310*$C$10+M310*$C$11</f>
        <v>357031.42863879411</v>
      </c>
      <c r="Q310" s="1">
        <f>(O310-P310)/O310</f>
        <v>6.9292289623833464E-2</v>
      </c>
      <c r="R310" s="1"/>
      <c r="S310" s="1"/>
    </row>
    <row r="311" spans="1:19" x14ac:dyDescent="0.3">
      <c r="A311" s="2">
        <v>195</v>
      </c>
      <c r="B311" s="3" t="s">
        <v>19</v>
      </c>
      <c r="C311" s="3" t="s">
        <v>155</v>
      </c>
      <c r="D311" s="3" t="s">
        <v>14</v>
      </c>
      <c r="E311" s="3" t="s">
        <v>21</v>
      </c>
      <c r="F311" s="3">
        <f>IF(D311="Urban",1,0)</f>
        <v>0</v>
      </c>
      <c r="G311" s="3">
        <v>3938</v>
      </c>
      <c r="H311" s="3">
        <v>5</v>
      </c>
      <c r="I311" s="3">
        <v>87268</v>
      </c>
      <c r="J311" s="3">
        <f>IF(E311="Cold",1,0)</f>
        <v>0</v>
      </c>
      <c r="K311" s="3">
        <f>IF(E311="Hot",1,0)</f>
        <v>1</v>
      </c>
      <c r="L311" s="3">
        <v>1544</v>
      </c>
      <c r="M311" s="3">
        <v>27</v>
      </c>
      <c r="N311" s="4">
        <v>45213</v>
      </c>
      <c r="O311" s="10">
        <v>323583.81849999999</v>
      </c>
      <c r="P311" s="1">
        <f>$C$3+F311*$C$4+H311*$C$6+J311*$C$8+K311*$C$9+L311*$C$10+M311*$C$11</f>
        <v>301205.95558776945</v>
      </c>
      <c r="Q311" s="1">
        <f>(O311-P311)/O311</f>
        <v>6.9156310151616995E-2</v>
      </c>
      <c r="R311" s="1"/>
      <c r="S311" s="1"/>
    </row>
    <row r="312" spans="1:19" x14ac:dyDescent="0.3">
      <c r="A312" s="2">
        <v>425</v>
      </c>
      <c r="B312" s="3" t="s">
        <v>40</v>
      </c>
      <c r="C312" s="3" t="s">
        <v>121</v>
      </c>
      <c r="D312" s="3" t="s">
        <v>14</v>
      </c>
      <c r="E312" s="3" t="s">
        <v>15</v>
      </c>
      <c r="F312" s="3">
        <f>IF(D312="Urban",1,0)</f>
        <v>0</v>
      </c>
      <c r="G312" s="3">
        <v>3026</v>
      </c>
      <c r="H312" s="3">
        <v>5</v>
      </c>
      <c r="I312" s="3">
        <v>50971</v>
      </c>
      <c r="J312" s="3">
        <f>IF(E312="Cold",1,0)</f>
        <v>1</v>
      </c>
      <c r="K312" s="3">
        <f>IF(E312="Hot",1,0)</f>
        <v>0</v>
      </c>
      <c r="L312" s="3">
        <v>1519</v>
      </c>
      <c r="M312" s="3">
        <v>62</v>
      </c>
      <c r="N312" s="4">
        <v>43880</v>
      </c>
      <c r="O312" s="10">
        <v>312897.86910000001</v>
      </c>
      <c r="P312" s="1">
        <f>$C$3+F312*$C$4+H312*$C$6+J312*$C$8+K312*$C$9+L312*$C$10+M312*$C$11</f>
        <v>291273.25885747647</v>
      </c>
      <c r="Q312" s="1">
        <f>(O312-P312)/O312</f>
        <v>6.9110762258379158E-2</v>
      </c>
      <c r="R312" s="1"/>
      <c r="S312" s="1"/>
    </row>
    <row r="313" spans="1:19" x14ac:dyDescent="0.3">
      <c r="A313" s="2">
        <v>34</v>
      </c>
      <c r="B313" s="3" t="s">
        <v>31</v>
      </c>
      <c r="C313" s="3" t="s">
        <v>63</v>
      </c>
      <c r="D313" s="3" t="s">
        <v>18</v>
      </c>
      <c r="E313" s="3" t="s">
        <v>21</v>
      </c>
      <c r="F313" s="3">
        <f>IF(D313="Urban",1,0)</f>
        <v>1</v>
      </c>
      <c r="G313" s="3">
        <v>25433</v>
      </c>
      <c r="H313" s="3">
        <v>4</v>
      </c>
      <c r="I313" s="3">
        <v>66553</v>
      </c>
      <c r="J313" s="3">
        <f>IF(E313="Cold",1,0)</f>
        <v>0</v>
      </c>
      <c r="K313" s="3">
        <f>IF(E313="Hot",1,0)</f>
        <v>1</v>
      </c>
      <c r="L313" s="3">
        <v>2154</v>
      </c>
      <c r="M313" s="3">
        <v>26</v>
      </c>
      <c r="N313" s="4">
        <v>44122</v>
      </c>
      <c r="O313" s="10">
        <v>385352.4583</v>
      </c>
      <c r="P313" s="1">
        <f>$C$3+F313*$C$4+H313*$C$6+J313*$C$8+K313*$C$9+L313*$C$10+M313*$C$11</f>
        <v>358739.85396938515</v>
      </c>
      <c r="Q313" s="1">
        <f>(O313-P313)/O313</f>
        <v>6.9060424443683502E-2</v>
      </c>
      <c r="R313" s="1"/>
      <c r="S313" s="1"/>
    </row>
    <row r="314" spans="1:19" x14ac:dyDescent="0.3">
      <c r="A314" s="2">
        <v>529</v>
      </c>
      <c r="B314" s="3" t="s">
        <v>28</v>
      </c>
      <c r="C314" s="3" t="s">
        <v>181</v>
      </c>
      <c r="D314" s="3" t="s">
        <v>14</v>
      </c>
      <c r="E314" s="3" t="s">
        <v>21</v>
      </c>
      <c r="F314" s="3">
        <f>IF(D314="Urban",1,0)</f>
        <v>0</v>
      </c>
      <c r="G314" s="3">
        <v>17953</v>
      </c>
      <c r="H314" s="3">
        <v>4</v>
      </c>
      <c r="I314" s="3">
        <v>79795</v>
      </c>
      <c r="J314" s="3">
        <f>IF(E314="Cold",1,0)</f>
        <v>0</v>
      </c>
      <c r="K314" s="3">
        <f>IF(E314="Hot",1,0)</f>
        <v>1</v>
      </c>
      <c r="L314" s="3">
        <v>1418</v>
      </c>
      <c r="M314" s="3">
        <v>56</v>
      </c>
      <c r="N314" s="4">
        <v>43897</v>
      </c>
      <c r="O314" s="10">
        <v>331401.9559</v>
      </c>
      <c r="P314" s="1">
        <f>$C$3+F314*$C$4+H314*$C$6+J314*$C$8+K314*$C$9+L314*$C$10+M314*$C$11</f>
        <v>308580.13580559345</v>
      </c>
      <c r="Q314" s="1">
        <f>(O314-P314)/O314</f>
        <v>6.8864470133945116E-2</v>
      </c>
      <c r="R314" s="1"/>
      <c r="S314" s="1"/>
    </row>
    <row r="315" spans="1:19" x14ac:dyDescent="0.3">
      <c r="A315" s="2">
        <v>881</v>
      </c>
      <c r="B315" s="3" t="s">
        <v>122</v>
      </c>
      <c r="C315" s="3" t="s">
        <v>138</v>
      </c>
      <c r="D315" s="3" t="s">
        <v>14</v>
      </c>
      <c r="E315" s="3" t="s">
        <v>21</v>
      </c>
      <c r="F315" s="3">
        <f>IF(D315="Urban",1,0)</f>
        <v>0</v>
      </c>
      <c r="G315" s="3">
        <v>23127</v>
      </c>
      <c r="H315" s="3">
        <v>0</v>
      </c>
      <c r="I315" s="3">
        <v>86141</v>
      </c>
      <c r="J315" s="3">
        <f>IF(E315="Cold",1,0)</f>
        <v>0</v>
      </c>
      <c r="K315" s="3">
        <f>IF(E315="Hot",1,0)</f>
        <v>1</v>
      </c>
      <c r="L315" s="3">
        <v>2788</v>
      </c>
      <c r="M315" s="3">
        <v>33</v>
      </c>
      <c r="N315" s="4">
        <v>44394</v>
      </c>
      <c r="O315" s="10">
        <v>357221.79149999999</v>
      </c>
      <c r="P315" s="1">
        <f>$C$3+F315*$C$4+H315*$C$6+J315*$C$8+K315*$C$9+L315*$C$10+M315*$C$11</f>
        <v>332632.39510591596</v>
      </c>
      <c r="Q315" s="1">
        <f>(O315-P315)/O315</f>
        <v>6.8835096232039455E-2</v>
      </c>
      <c r="R315" s="1"/>
      <c r="S315" s="1"/>
    </row>
    <row r="316" spans="1:19" x14ac:dyDescent="0.3">
      <c r="A316" s="2">
        <v>925</v>
      </c>
      <c r="B316" s="3" t="s">
        <v>26</v>
      </c>
      <c r="C316" s="3" t="s">
        <v>27</v>
      </c>
      <c r="D316" s="3" t="s">
        <v>14</v>
      </c>
      <c r="E316" s="3" t="s">
        <v>15</v>
      </c>
      <c r="F316" s="3">
        <f>IF(D316="Urban",1,0)</f>
        <v>0</v>
      </c>
      <c r="G316" s="3">
        <v>16175</v>
      </c>
      <c r="H316" s="3">
        <v>7</v>
      </c>
      <c r="I316" s="3">
        <v>93326</v>
      </c>
      <c r="J316" s="3">
        <f>IF(E316="Cold",1,0)</f>
        <v>1</v>
      </c>
      <c r="K316" s="3">
        <f>IF(E316="Hot",1,0)</f>
        <v>0</v>
      </c>
      <c r="L316" s="3">
        <v>1489</v>
      </c>
      <c r="M316" s="3">
        <v>78</v>
      </c>
      <c r="N316" s="4">
        <v>45500</v>
      </c>
      <c r="O316" s="10">
        <v>315404.54119999998</v>
      </c>
      <c r="P316" s="1">
        <f>$C$3+F316*$C$4+H316*$C$6+J316*$C$8+K316*$C$9+L316*$C$10+M316*$C$11</f>
        <v>293706.03255217191</v>
      </c>
      <c r="Q316" s="1">
        <f>(O316-P316)/O316</f>
        <v>6.8795802892606145E-2</v>
      </c>
      <c r="R316" s="1"/>
      <c r="S316" s="1"/>
    </row>
    <row r="317" spans="1:19" x14ac:dyDescent="0.3">
      <c r="A317" s="2">
        <v>926</v>
      </c>
      <c r="B317" s="3" t="s">
        <v>122</v>
      </c>
      <c r="C317" s="3" t="s">
        <v>195</v>
      </c>
      <c r="D317" s="3" t="s">
        <v>18</v>
      </c>
      <c r="E317" s="3" t="s">
        <v>15</v>
      </c>
      <c r="F317" s="3">
        <f>IF(D317="Urban",1,0)</f>
        <v>1</v>
      </c>
      <c r="G317" s="3">
        <v>22941</v>
      </c>
      <c r="H317" s="3">
        <v>1</v>
      </c>
      <c r="I317" s="3">
        <v>93589</v>
      </c>
      <c r="J317" s="3">
        <f>IF(E317="Cold",1,0)</f>
        <v>1</v>
      </c>
      <c r="K317" s="3">
        <f>IF(E317="Hot",1,0)</f>
        <v>0</v>
      </c>
      <c r="L317" s="3">
        <v>2757</v>
      </c>
      <c r="M317" s="3">
        <v>64</v>
      </c>
      <c r="N317" s="4">
        <v>44973</v>
      </c>
      <c r="O317" s="10">
        <v>392033.87300000002</v>
      </c>
      <c r="P317" s="1">
        <f>$C$3+F317*$C$4+H317*$C$6+J317*$C$8+K317*$C$9+L317*$C$10+M317*$C$11</f>
        <v>365115.16812944034</v>
      </c>
      <c r="Q317" s="1">
        <f>(O317-P317)/O317</f>
        <v>6.8664232160774746E-2</v>
      </c>
      <c r="R317" s="1"/>
      <c r="S317" s="1"/>
    </row>
    <row r="318" spans="1:19" x14ac:dyDescent="0.3">
      <c r="A318" s="2">
        <v>409</v>
      </c>
      <c r="B318" s="3" t="s">
        <v>57</v>
      </c>
      <c r="C318" s="3" t="s">
        <v>168</v>
      </c>
      <c r="D318" s="3" t="s">
        <v>14</v>
      </c>
      <c r="E318" s="3" t="s">
        <v>21</v>
      </c>
      <c r="F318" s="3">
        <f>IF(D318="Urban",1,0)</f>
        <v>0</v>
      </c>
      <c r="G318" s="3">
        <v>15331</v>
      </c>
      <c r="H318" s="3">
        <v>5</v>
      </c>
      <c r="I318" s="3">
        <v>82392</v>
      </c>
      <c r="J318" s="3">
        <f>IF(E318="Cold",1,0)</f>
        <v>0</v>
      </c>
      <c r="K318" s="3">
        <f>IF(E318="Hot",1,0)</f>
        <v>1</v>
      </c>
      <c r="L318" s="3">
        <v>1672</v>
      </c>
      <c r="M318" s="3">
        <v>81</v>
      </c>
      <c r="N318" s="4">
        <v>44600</v>
      </c>
      <c r="O318" s="10">
        <v>343995.42</v>
      </c>
      <c r="P318" s="1">
        <f>$C$3+F318*$C$4+H318*$C$6+J318*$C$8+K318*$C$9+L318*$C$10+M318*$C$11</f>
        <v>320404.87984336633</v>
      </c>
      <c r="Q318" s="1">
        <f>(O318-P318)/O318</f>
        <v>6.8578064663284338E-2</v>
      </c>
      <c r="R318" s="1"/>
      <c r="S318" s="1"/>
    </row>
    <row r="319" spans="1:19" x14ac:dyDescent="0.3">
      <c r="A319" s="2">
        <v>114</v>
      </c>
      <c r="B319" s="3" t="s">
        <v>28</v>
      </c>
      <c r="C319" s="3" t="s">
        <v>115</v>
      </c>
      <c r="D319" s="3" t="s">
        <v>14</v>
      </c>
      <c r="E319" s="3" t="s">
        <v>23</v>
      </c>
      <c r="F319" s="3">
        <f>IF(D319="Urban",1,0)</f>
        <v>0</v>
      </c>
      <c r="G319" s="3">
        <v>25724</v>
      </c>
      <c r="H319" s="3">
        <v>2</v>
      </c>
      <c r="I319" s="3">
        <v>81188</v>
      </c>
      <c r="J319" s="3">
        <f>IF(E319="Cold",1,0)</f>
        <v>0</v>
      </c>
      <c r="K319" s="3">
        <f>IF(E319="Hot",1,0)</f>
        <v>0</v>
      </c>
      <c r="L319" s="3">
        <v>1903</v>
      </c>
      <c r="M319" s="3">
        <v>47</v>
      </c>
      <c r="N319" s="4">
        <v>44699</v>
      </c>
      <c r="O319" s="10">
        <v>339360.6581</v>
      </c>
      <c r="P319" s="1">
        <f>$C$3+F319*$C$4+H319*$C$6+J319*$C$8+K319*$C$9+L319*$C$10+M319*$C$11</f>
        <v>316101.11904623953</v>
      </c>
      <c r="Q319" s="1">
        <f>(O319-P319)/O319</f>
        <v>6.8539291454658063E-2</v>
      </c>
      <c r="R319" s="1"/>
      <c r="S319" s="1"/>
    </row>
    <row r="320" spans="1:19" x14ac:dyDescent="0.3">
      <c r="A320" s="2">
        <v>984</v>
      </c>
      <c r="B320" s="3" t="s">
        <v>53</v>
      </c>
      <c r="C320" s="3" t="s">
        <v>131</v>
      </c>
      <c r="D320" s="3" t="s">
        <v>18</v>
      </c>
      <c r="E320" s="3" t="s">
        <v>15</v>
      </c>
      <c r="F320" s="3">
        <f>IF(D320="Urban",1,0)</f>
        <v>1</v>
      </c>
      <c r="G320" s="3">
        <v>19935</v>
      </c>
      <c r="H320" s="3">
        <v>4</v>
      </c>
      <c r="I320" s="3">
        <v>73281</v>
      </c>
      <c r="J320" s="3">
        <f>IF(E320="Cold",1,0)</f>
        <v>1</v>
      </c>
      <c r="K320" s="3">
        <f>IF(E320="Hot",1,0)</f>
        <v>0</v>
      </c>
      <c r="L320" s="3">
        <v>2563</v>
      </c>
      <c r="M320" s="3">
        <v>91</v>
      </c>
      <c r="N320" s="4">
        <v>44872</v>
      </c>
      <c r="O320" s="10">
        <v>393692.24229999998</v>
      </c>
      <c r="P320" s="1">
        <f>$C$3+F320*$C$4+H320*$C$6+J320*$C$8+K320*$C$9+L320*$C$10+M320*$C$11</f>
        <v>366715.41821791354</v>
      </c>
      <c r="Q320" s="1">
        <f>(O320-P320)/O320</f>
        <v>6.8522620421688829E-2</v>
      </c>
      <c r="R320" s="1"/>
      <c r="S320" s="1"/>
    </row>
    <row r="321" spans="1:19" x14ac:dyDescent="0.3">
      <c r="A321" s="2">
        <v>989</v>
      </c>
      <c r="B321" s="3" t="s">
        <v>53</v>
      </c>
      <c r="C321" s="3" t="s">
        <v>141</v>
      </c>
      <c r="D321" s="3" t="s">
        <v>18</v>
      </c>
      <c r="E321" s="3" t="s">
        <v>23</v>
      </c>
      <c r="F321" s="3">
        <f>IF(D321="Urban",1,0)</f>
        <v>1</v>
      </c>
      <c r="G321" s="3">
        <v>28501</v>
      </c>
      <c r="H321" s="3">
        <v>4</v>
      </c>
      <c r="I321" s="3">
        <v>52061</v>
      </c>
      <c r="J321" s="3">
        <f>IF(E321="Cold",1,0)</f>
        <v>0</v>
      </c>
      <c r="K321" s="3">
        <f>IF(E321="Hot",1,0)</f>
        <v>0</v>
      </c>
      <c r="L321" s="3">
        <v>1041</v>
      </c>
      <c r="M321" s="3">
        <v>27</v>
      </c>
      <c r="N321" s="4">
        <v>44652</v>
      </c>
      <c r="O321" s="10">
        <v>360234.20039999997</v>
      </c>
      <c r="P321" s="1">
        <f>$C$3+F321*$C$4+H321*$C$6+J321*$C$8+K321*$C$9+L321*$C$10+M321*$C$11</f>
        <v>335551.57523697184</v>
      </c>
      <c r="Q321" s="1">
        <f>(O321-P321)/O321</f>
        <v>6.8518272656013304E-2</v>
      </c>
      <c r="R321" s="1"/>
      <c r="S321" s="1"/>
    </row>
    <row r="322" spans="1:19" x14ac:dyDescent="0.3">
      <c r="A322" s="2">
        <v>44</v>
      </c>
      <c r="B322" s="3" t="s">
        <v>40</v>
      </c>
      <c r="C322" s="3" t="s">
        <v>70</v>
      </c>
      <c r="D322" s="3" t="s">
        <v>18</v>
      </c>
      <c r="E322" s="3" t="s">
        <v>15</v>
      </c>
      <c r="F322" s="3">
        <f>IF(D322="Urban",1,0)</f>
        <v>1</v>
      </c>
      <c r="G322" s="3">
        <v>15792</v>
      </c>
      <c r="H322" s="3">
        <v>1</v>
      </c>
      <c r="I322" s="3">
        <v>95726</v>
      </c>
      <c r="J322" s="3">
        <f>IF(E322="Cold",1,0)</f>
        <v>1</v>
      </c>
      <c r="K322" s="3">
        <f>IF(E322="Hot",1,0)</f>
        <v>0</v>
      </c>
      <c r="L322" s="3">
        <v>2939</v>
      </c>
      <c r="M322" s="3">
        <v>24</v>
      </c>
      <c r="N322" s="4">
        <v>45455</v>
      </c>
      <c r="O322" s="10">
        <v>382561.77110000001</v>
      </c>
      <c r="P322" s="1">
        <f>$C$3+F322*$C$4+H322*$C$6+J322*$C$8+K322*$C$9+L322*$C$10+M322*$C$11</f>
        <v>356418.15004405053</v>
      </c>
      <c r="Q322" s="1">
        <f>(O322-P322)/O322</f>
        <v>6.8338299932001439E-2</v>
      </c>
      <c r="R322" s="1"/>
      <c r="S322" s="1"/>
    </row>
    <row r="323" spans="1:19" x14ac:dyDescent="0.3">
      <c r="A323" s="2">
        <v>685</v>
      </c>
      <c r="B323" s="3" t="s">
        <v>122</v>
      </c>
      <c r="C323" s="3" t="s">
        <v>133</v>
      </c>
      <c r="D323" s="3" t="s">
        <v>18</v>
      </c>
      <c r="E323" s="3" t="s">
        <v>15</v>
      </c>
      <c r="F323" s="3">
        <f>IF(D323="Urban",1,0)</f>
        <v>1</v>
      </c>
      <c r="G323" s="3">
        <v>20854</v>
      </c>
      <c r="H323" s="3">
        <v>3</v>
      </c>
      <c r="I323" s="3">
        <v>88414</v>
      </c>
      <c r="J323" s="3">
        <f>IF(E323="Cold",1,0)</f>
        <v>1</v>
      </c>
      <c r="K323" s="3">
        <f>IF(E323="Hot",1,0)</f>
        <v>0</v>
      </c>
      <c r="L323" s="3">
        <v>1677</v>
      </c>
      <c r="M323" s="3">
        <v>77</v>
      </c>
      <c r="N323" s="4">
        <v>45132</v>
      </c>
      <c r="O323" s="10">
        <v>371017.64299999998</v>
      </c>
      <c r="P323" s="1">
        <f>$C$3+F323*$C$4+H323*$C$6+J323*$C$8+K323*$C$9+L323*$C$10+M323*$C$11</f>
        <v>345668.34850852098</v>
      </c>
      <c r="Q323" s="1">
        <f>(O323-P323)/O323</f>
        <v>6.8323690179550298E-2</v>
      </c>
      <c r="R323" s="1"/>
      <c r="S323" s="1"/>
    </row>
    <row r="324" spans="1:19" x14ac:dyDescent="0.3">
      <c r="A324" s="2">
        <v>907</v>
      </c>
      <c r="B324" s="3" t="s">
        <v>12</v>
      </c>
      <c r="C324" s="3" t="s">
        <v>126</v>
      </c>
      <c r="D324" s="3" t="s">
        <v>14</v>
      </c>
      <c r="E324" s="3" t="s">
        <v>23</v>
      </c>
      <c r="F324" s="3">
        <f>IF(D324="Urban",1,0)</f>
        <v>0</v>
      </c>
      <c r="G324" s="3">
        <v>16694</v>
      </c>
      <c r="H324" s="3">
        <v>4</v>
      </c>
      <c r="I324" s="3">
        <v>94556</v>
      </c>
      <c r="J324" s="3">
        <f>IF(E324="Cold",1,0)</f>
        <v>0</v>
      </c>
      <c r="K324" s="3">
        <f>IF(E324="Hot",1,0)</f>
        <v>0</v>
      </c>
      <c r="L324" s="3">
        <v>2489</v>
      </c>
      <c r="M324" s="3">
        <v>31</v>
      </c>
      <c r="N324" s="4">
        <v>44454</v>
      </c>
      <c r="O324" s="10">
        <v>344457.11109999998</v>
      </c>
      <c r="P324" s="1">
        <f>$C$3+F324*$C$4+H324*$C$6+J324*$C$8+K324*$C$9+L324*$C$10+M324*$C$11</f>
        <v>320964.07491401141</v>
      </c>
      <c r="Q324" s="1">
        <f>(O324-P324)/O324</f>
        <v>6.820308081596918E-2</v>
      </c>
      <c r="R324" s="1"/>
      <c r="S324" s="1"/>
    </row>
    <row r="325" spans="1:19" x14ac:dyDescent="0.3">
      <c r="A325" s="2">
        <v>305</v>
      </c>
      <c r="B325" s="3" t="s">
        <v>35</v>
      </c>
      <c r="C325" s="3" t="s">
        <v>62</v>
      </c>
      <c r="D325" s="3" t="s">
        <v>18</v>
      </c>
      <c r="E325" s="3" t="s">
        <v>15</v>
      </c>
      <c r="F325" s="3">
        <f>IF(D325="Urban",1,0)</f>
        <v>1</v>
      </c>
      <c r="G325" s="3">
        <v>11246</v>
      </c>
      <c r="H325" s="3">
        <v>8</v>
      </c>
      <c r="I325" s="3">
        <v>59979</v>
      </c>
      <c r="J325" s="3">
        <f>IF(E325="Cold",1,0)</f>
        <v>1</v>
      </c>
      <c r="K325" s="3">
        <f>IF(E325="Hot",1,0)</f>
        <v>0</v>
      </c>
      <c r="L325" s="3">
        <v>1414</v>
      </c>
      <c r="M325" s="3">
        <v>57</v>
      </c>
      <c r="N325" s="4">
        <v>45083</v>
      </c>
      <c r="O325" s="10">
        <v>353612.89279999997</v>
      </c>
      <c r="P325" s="1">
        <f>$C$3+F325*$C$4+H325*$C$6+J325*$C$8+K325*$C$9+L325*$C$10+M325*$C$11</f>
        <v>329504.5552522089</v>
      </c>
      <c r="Q325" s="1">
        <f>(O325-P325)/O325</f>
        <v>6.8177201789490507E-2</v>
      </c>
      <c r="R325" s="1"/>
      <c r="S325" s="1"/>
    </row>
    <row r="326" spans="1:19" x14ac:dyDescent="0.3">
      <c r="A326" s="2">
        <v>140</v>
      </c>
      <c r="B326" s="3" t="s">
        <v>24</v>
      </c>
      <c r="C326" s="3" t="s">
        <v>124</v>
      </c>
      <c r="D326" s="3" t="s">
        <v>14</v>
      </c>
      <c r="E326" s="3" t="s">
        <v>21</v>
      </c>
      <c r="F326" s="3">
        <f>IF(D326="Urban",1,0)</f>
        <v>0</v>
      </c>
      <c r="G326" s="3">
        <v>19847</v>
      </c>
      <c r="H326" s="3">
        <v>1</v>
      </c>
      <c r="I326" s="3">
        <v>84264</v>
      </c>
      <c r="J326" s="3">
        <f>IF(E326="Cold",1,0)</f>
        <v>0</v>
      </c>
      <c r="K326" s="3">
        <f>IF(E326="Hot",1,0)</f>
        <v>1</v>
      </c>
      <c r="L326" s="3">
        <v>1243</v>
      </c>
      <c r="M326" s="3">
        <v>99</v>
      </c>
      <c r="N326" s="4">
        <v>44068</v>
      </c>
      <c r="O326" s="10">
        <v>344669.14880000002</v>
      </c>
      <c r="P326" s="1">
        <f>$C$3+F326*$C$4+H326*$C$6+J326*$C$8+K326*$C$9+L326*$C$10+M326*$C$11</f>
        <v>321191.83630704973</v>
      </c>
      <c r="Q326" s="1">
        <f>(O326-P326)/O326</f>
        <v>6.8115503156255489E-2</v>
      </c>
      <c r="R326" s="1"/>
      <c r="S326" s="1"/>
    </row>
    <row r="327" spans="1:19" x14ac:dyDescent="0.3">
      <c r="A327" s="2">
        <v>934</v>
      </c>
      <c r="B327" s="3" t="s">
        <v>37</v>
      </c>
      <c r="C327" s="3" t="s">
        <v>38</v>
      </c>
      <c r="D327" s="3" t="s">
        <v>14</v>
      </c>
      <c r="E327" s="3" t="s">
        <v>21</v>
      </c>
      <c r="F327" s="3">
        <f>IF(D327="Urban",1,0)</f>
        <v>0</v>
      </c>
      <c r="G327" s="3">
        <v>17669</v>
      </c>
      <c r="H327" s="3">
        <v>2</v>
      </c>
      <c r="I327" s="3">
        <v>91684</v>
      </c>
      <c r="J327" s="3">
        <f>IF(E327="Cold",1,0)</f>
        <v>0</v>
      </c>
      <c r="K327" s="3">
        <f>IF(E327="Hot",1,0)</f>
        <v>1</v>
      </c>
      <c r="L327" s="3">
        <v>1268</v>
      </c>
      <c r="M327" s="3">
        <v>44</v>
      </c>
      <c r="N327" s="4">
        <v>45360</v>
      </c>
      <c r="O327" s="10">
        <v>325976.83370000002</v>
      </c>
      <c r="P327" s="1">
        <f>$C$3+F327*$C$4+H327*$C$6+J327*$C$8+K327*$C$9+L327*$C$10+M327*$C$11</f>
        <v>303788.01311889139</v>
      </c>
      <c r="Q327" s="1">
        <f>(O327-P327)/O327</f>
        <v>6.8068703929829666E-2</v>
      </c>
      <c r="R327" s="1"/>
      <c r="S327" s="1"/>
    </row>
    <row r="328" spans="1:19" x14ac:dyDescent="0.3">
      <c r="A328" s="2">
        <v>79</v>
      </c>
      <c r="B328" s="3" t="s">
        <v>72</v>
      </c>
      <c r="C328" s="3" t="s">
        <v>96</v>
      </c>
      <c r="D328" s="3" t="s">
        <v>14</v>
      </c>
      <c r="E328" s="3" t="s">
        <v>21</v>
      </c>
      <c r="F328" s="3">
        <f>IF(D328="Urban",1,0)</f>
        <v>0</v>
      </c>
      <c r="G328" s="3">
        <v>22498</v>
      </c>
      <c r="H328" s="3">
        <v>3</v>
      </c>
      <c r="I328" s="3">
        <v>94289</v>
      </c>
      <c r="J328" s="3">
        <f>IF(E328="Cold",1,0)</f>
        <v>0</v>
      </c>
      <c r="K328" s="3">
        <f>IF(E328="Hot",1,0)</f>
        <v>1</v>
      </c>
      <c r="L328" s="3">
        <v>2624</v>
      </c>
      <c r="M328" s="3">
        <v>85</v>
      </c>
      <c r="N328" s="4">
        <v>43955</v>
      </c>
      <c r="O328" s="10">
        <v>367464.44919999997</v>
      </c>
      <c r="P328" s="1">
        <f>$C$3+F328*$C$4+H328*$C$6+J328*$C$8+K328*$C$9+L328*$C$10+M328*$C$11</f>
        <v>342537.10753347108</v>
      </c>
      <c r="Q328" s="1">
        <f>(O328-P328)/O328</f>
        <v>6.7836063381907424E-2</v>
      </c>
      <c r="R328" s="1"/>
      <c r="S328" s="1"/>
    </row>
    <row r="329" spans="1:19" x14ac:dyDescent="0.3">
      <c r="A329" s="2">
        <v>927</v>
      </c>
      <c r="B329" s="3" t="s">
        <v>74</v>
      </c>
      <c r="C329" s="3" t="s">
        <v>153</v>
      </c>
      <c r="D329" s="3" t="s">
        <v>18</v>
      </c>
      <c r="E329" s="3" t="s">
        <v>21</v>
      </c>
      <c r="F329" s="3">
        <f>IF(D329="Urban",1,0)</f>
        <v>1</v>
      </c>
      <c r="G329" s="3">
        <v>27615</v>
      </c>
      <c r="H329" s="3">
        <v>7</v>
      </c>
      <c r="I329" s="3">
        <v>83182</v>
      </c>
      <c r="J329" s="3">
        <f>IF(E329="Cold",1,0)</f>
        <v>0</v>
      </c>
      <c r="K329" s="3">
        <f>IF(E329="Hot",1,0)</f>
        <v>1</v>
      </c>
      <c r="L329" s="3">
        <v>2251</v>
      </c>
      <c r="M329" s="3">
        <v>31</v>
      </c>
      <c r="N329" s="4">
        <v>43968</v>
      </c>
      <c r="O329" s="10">
        <v>385487.45380000002</v>
      </c>
      <c r="P329" s="1">
        <f>$C$3+F329*$C$4+H329*$C$6+J329*$C$8+K329*$C$9+L329*$C$10+M329*$C$11</f>
        <v>359366.5450863213</v>
      </c>
      <c r="Q329" s="1">
        <f>(O329-P329)/O329</f>
        <v>6.7760723354775787E-2</v>
      </c>
      <c r="R329" s="1"/>
      <c r="S329" s="1"/>
    </row>
    <row r="330" spans="1:19" x14ac:dyDescent="0.3">
      <c r="A330" s="2">
        <v>918</v>
      </c>
      <c r="B330" s="3" t="s">
        <v>24</v>
      </c>
      <c r="C330" s="3" t="s">
        <v>25</v>
      </c>
      <c r="D330" s="3" t="s">
        <v>14</v>
      </c>
      <c r="E330" s="3" t="s">
        <v>15</v>
      </c>
      <c r="F330" s="3">
        <f>IF(D330="Urban",1,0)</f>
        <v>0</v>
      </c>
      <c r="G330" s="3">
        <v>6654</v>
      </c>
      <c r="H330" s="3">
        <v>5</v>
      </c>
      <c r="I330" s="3">
        <v>83001</v>
      </c>
      <c r="J330" s="3">
        <f>IF(E330="Cold",1,0)</f>
        <v>1</v>
      </c>
      <c r="K330" s="3">
        <f>IF(E330="Hot",1,0)</f>
        <v>0</v>
      </c>
      <c r="L330" s="3">
        <v>2817</v>
      </c>
      <c r="M330" s="3">
        <v>28</v>
      </c>
      <c r="N330" s="4">
        <v>45441</v>
      </c>
      <c r="O330" s="10">
        <v>328981.9828</v>
      </c>
      <c r="P330" s="1">
        <f>$C$3+F330*$C$4+H330*$C$6+J330*$C$8+K330*$C$9+L330*$C$10+M330*$C$11</f>
        <v>306697.68953102443</v>
      </c>
      <c r="Q330" s="1">
        <f>(O330-P330)/O330</f>
        <v>6.7737123715139722E-2</v>
      </c>
      <c r="R330" s="1"/>
      <c r="S330" s="1"/>
    </row>
    <row r="331" spans="1:19" x14ac:dyDescent="0.3">
      <c r="A331" s="2">
        <v>381</v>
      </c>
      <c r="B331" s="3" t="s">
        <v>37</v>
      </c>
      <c r="C331" s="3" t="s">
        <v>90</v>
      </c>
      <c r="D331" s="3" t="s">
        <v>18</v>
      </c>
      <c r="E331" s="3" t="s">
        <v>15</v>
      </c>
      <c r="F331" s="3">
        <f>IF(D331="Urban",1,0)</f>
        <v>1</v>
      </c>
      <c r="G331" s="3">
        <v>20587</v>
      </c>
      <c r="H331" s="3">
        <v>3</v>
      </c>
      <c r="I331" s="3">
        <v>76064</v>
      </c>
      <c r="J331" s="3">
        <f>IF(E331="Cold",1,0)</f>
        <v>1</v>
      </c>
      <c r="K331" s="3">
        <f>IF(E331="Hot",1,0)</f>
        <v>0</v>
      </c>
      <c r="L331" s="3">
        <v>2775</v>
      </c>
      <c r="M331" s="3">
        <v>20</v>
      </c>
      <c r="N331" s="4">
        <v>45404</v>
      </c>
      <c r="O331" s="10">
        <v>375356.8247</v>
      </c>
      <c r="P331" s="1">
        <f>$C$3+F331*$C$4+H331*$C$6+J331*$C$8+K331*$C$9+L331*$C$10+M331*$C$11</f>
        <v>350012.07829232578</v>
      </c>
      <c r="Q331" s="1">
        <f>(O331-P331)/O331</f>
        <v>6.752174128692276E-2</v>
      </c>
      <c r="R331" s="1"/>
      <c r="S331" s="1"/>
    </row>
    <row r="332" spans="1:19" x14ac:dyDescent="0.3">
      <c r="A332" s="2">
        <v>669</v>
      </c>
      <c r="B332" s="3" t="s">
        <v>35</v>
      </c>
      <c r="C332" s="3" t="s">
        <v>62</v>
      </c>
      <c r="D332" s="3" t="s">
        <v>18</v>
      </c>
      <c r="E332" s="3" t="s">
        <v>21</v>
      </c>
      <c r="F332" s="3">
        <f>IF(D332="Urban",1,0)</f>
        <v>1</v>
      </c>
      <c r="G332" s="3">
        <v>17034</v>
      </c>
      <c r="H332" s="3">
        <v>0</v>
      </c>
      <c r="I332" s="3">
        <v>58207</v>
      </c>
      <c r="J332" s="3">
        <f>IF(E332="Cold",1,0)</f>
        <v>0</v>
      </c>
      <c r="K332" s="3">
        <f>IF(E332="Hot",1,0)</f>
        <v>1</v>
      </c>
      <c r="L332" s="3">
        <v>2757</v>
      </c>
      <c r="M332" s="3">
        <v>29</v>
      </c>
      <c r="N332" s="4">
        <v>44181</v>
      </c>
      <c r="O332" s="10">
        <v>402559.03370000003</v>
      </c>
      <c r="P332" s="1">
        <f>$C$3+F332*$C$4+H332*$C$6+J332*$C$8+K332*$C$9+L332*$C$10+M332*$C$11</f>
        <v>375499.036247004</v>
      </c>
      <c r="Q332" s="1">
        <f>(O332-P332)/O332</f>
        <v>6.721994834964258E-2</v>
      </c>
      <c r="R332" s="1"/>
      <c r="S332" s="1"/>
    </row>
    <row r="333" spans="1:19" x14ac:dyDescent="0.3">
      <c r="A333" s="2">
        <v>938</v>
      </c>
      <c r="B333" s="3" t="s">
        <v>31</v>
      </c>
      <c r="C333" s="3" t="s">
        <v>186</v>
      </c>
      <c r="D333" s="3" t="s">
        <v>14</v>
      </c>
      <c r="E333" s="3" t="s">
        <v>23</v>
      </c>
      <c r="F333" s="3">
        <f>IF(D333="Urban",1,0)</f>
        <v>0</v>
      </c>
      <c r="G333" s="3">
        <v>23007</v>
      </c>
      <c r="H333" s="3">
        <v>9</v>
      </c>
      <c r="I333" s="3">
        <v>85570</v>
      </c>
      <c r="J333" s="3">
        <f>IF(E333="Cold",1,0)</f>
        <v>0</v>
      </c>
      <c r="K333" s="3">
        <f>IF(E333="Hot",1,0)</f>
        <v>0</v>
      </c>
      <c r="L333" s="3">
        <v>2027</v>
      </c>
      <c r="M333" s="3">
        <v>71</v>
      </c>
      <c r="N333" s="4">
        <v>44189</v>
      </c>
      <c r="O333" s="10">
        <v>342329.33179999999</v>
      </c>
      <c r="P333" s="1">
        <f>$C$3+F333*$C$4+H333*$C$6+J333*$C$8+K333*$C$9+L333*$C$10+M333*$C$11</f>
        <v>319322.63053634262</v>
      </c>
      <c r="Q333" s="1">
        <f>(O333-P333)/O333</f>
        <v>6.7206339412068355E-2</v>
      </c>
      <c r="R333" s="1"/>
      <c r="S333" s="1"/>
    </row>
    <row r="334" spans="1:19" x14ac:dyDescent="0.3">
      <c r="A334" s="2">
        <v>536</v>
      </c>
      <c r="B334" s="3" t="s">
        <v>74</v>
      </c>
      <c r="C334" s="3" t="s">
        <v>106</v>
      </c>
      <c r="D334" s="3" t="s">
        <v>18</v>
      </c>
      <c r="E334" s="3" t="s">
        <v>23</v>
      </c>
      <c r="F334" s="3">
        <f>IF(D334="Urban",1,0)</f>
        <v>1</v>
      </c>
      <c r="G334" s="3">
        <v>7032</v>
      </c>
      <c r="H334" s="3">
        <v>0</v>
      </c>
      <c r="I334" s="3">
        <v>85272</v>
      </c>
      <c r="J334" s="3">
        <f>IF(E334="Cold",1,0)</f>
        <v>0</v>
      </c>
      <c r="K334" s="3">
        <f>IF(E334="Hot",1,0)</f>
        <v>0</v>
      </c>
      <c r="L334" s="3">
        <v>2795</v>
      </c>
      <c r="M334" s="3">
        <v>46</v>
      </c>
      <c r="N334" s="4">
        <v>44472</v>
      </c>
      <c r="O334" s="10">
        <v>407596.4375</v>
      </c>
      <c r="P334" s="1">
        <f>$C$3+F334*$C$4+H334*$C$6+J334*$C$8+K334*$C$9+L334*$C$10+M334*$C$11</f>
        <v>380213.00337487546</v>
      </c>
      <c r="Q334" s="1">
        <f>(O334-P334)/O334</f>
        <v>6.71827121284016E-2</v>
      </c>
      <c r="R334" s="1"/>
      <c r="S334" s="1"/>
    </row>
    <row r="335" spans="1:19" x14ac:dyDescent="0.3">
      <c r="A335" s="2">
        <v>917</v>
      </c>
      <c r="B335" s="3" t="s">
        <v>40</v>
      </c>
      <c r="C335" s="3" t="s">
        <v>103</v>
      </c>
      <c r="D335" s="3" t="s">
        <v>14</v>
      </c>
      <c r="E335" s="3" t="s">
        <v>21</v>
      </c>
      <c r="F335" s="3">
        <f>IF(D335="Urban",1,0)</f>
        <v>0</v>
      </c>
      <c r="G335" s="3">
        <v>16412</v>
      </c>
      <c r="H335" s="3">
        <v>3</v>
      </c>
      <c r="I335" s="3">
        <v>50988</v>
      </c>
      <c r="J335" s="3">
        <f>IF(E335="Cold",1,0)</f>
        <v>0</v>
      </c>
      <c r="K335" s="3">
        <f>IF(E335="Hot",1,0)</f>
        <v>1</v>
      </c>
      <c r="L335" s="3">
        <v>2289</v>
      </c>
      <c r="M335" s="3">
        <v>33</v>
      </c>
      <c r="N335" s="4">
        <v>44107</v>
      </c>
      <c r="O335" s="10">
        <v>342847.72930000001</v>
      </c>
      <c r="P335" s="1">
        <f>$C$3+F335*$C$4+H335*$C$6+J335*$C$8+K335*$C$9+L335*$C$10+M335*$C$11</f>
        <v>319823.53385193384</v>
      </c>
      <c r="Q335" s="1">
        <f>(O335-P335)/O335</f>
        <v>6.715574723237977E-2</v>
      </c>
      <c r="R335" s="1"/>
      <c r="S335" s="1"/>
    </row>
    <row r="336" spans="1:19" x14ac:dyDescent="0.3">
      <c r="A336" s="2">
        <v>836</v>
      </c>
      <c r="B336" s="3" t="s">
        <v>33</v>
      </c>
      <c r="C336" s="3" t="s">
        <v>198</v>
      </c>
      <c r="D336" s="3" t="s">
        <v>18</v>
      </c>
      <c r="E336" s="3" t="s">
        <v>23</v>
      </c>
      <c r="F336" s="3">
        <f>IF(D336="Urban",1,0)</f>
        <v>1</v>
      </c>
      <c r="G336" s="3">
        <v>28992</v>
      </c>
      <c r="H336" s="3">
        <v>0</v>
      </c>
      <c r="I336" s="3">
        <v>59271</v>
      </c>
      <c r="J336" s="3">
        <f>IF(E336="Cold",1,0)</f>
        <v>0</v>
      </c>
      <c r="K336" s="3">
        <f>IF(E336="Hot",1,0)</f>
        <v>0</v>
      </c>
      <c r="L336" s="3">
        <v>2658</v>
      </c>
      <c r="M336" s="3">
        <v>29</v>
      </c>
      <c r="N336" s="4">
        <v>44533</v>
      </c>
      <c r="O336" s="10">
        <v>399023.75459999999</v>
      </c>
      <c r="P336" s="1">
        <f>$C$3+F336*$C$4+H336*$C$6+J336*$C$8+K336*$C$9+L336*$C$10+M336*$C$11</f>
        <v>372238.97687463579</v>
      </c>
      <c r="Q336" s="1">
        <f>(O336-P336)/O336</f>
        <v>6.7125772379678261E-2</v>
      </c>
      <c r="R336" s="1"/>
      <c r="S336" s="1"/>
    </row>
    <row r="337" spans="1:19" x14ac:dyDescent="0.3">
      <c r="A337" s="2">
        <v>563</v>
      </c>
      <c r="B337" s="3" t="s">
        <v>35</v>
      </c>
      <c r="C337" s="3" t="s">
        <v>200</v>
      </c>
      <c r="D337" s="3" t="s">
        <v>18</v>
      </c>
      <c r="E337" s="3" t="s">
        <v>21</v>
      </c>
      <c r="F337" s="3">
        <f>IF(D337="Urban",1,0)</f>
        <v>1</v>
      </c>
      <c r="G337" s="3">
        <v>23936</v>
      </c>
      <c r="H337" s="3">
        <v>2</v>
      </c>
      <c r="I337" s="3">
        <v>87630</v>
      </c>
      <c r="J337" s="3">
        <f>IF(E337="Cold",1,0)</f>
        <v>0</v>
      </c>
      <c r="K337" s="3">
        <f>IF(E337="Hot",1,0)</f>
        <v>1</v>
      </c>
      <c r="L337" s="3">
        <v>2796</v>
      </c>
      <c r="M337" s="3">
        <v>90</v>
      </c>
      <c r="N337" s="4">
        <v>44817</v>
      </c>
      <c r="O337" s="10">
        <v>421427.30229999998</v>
      </c>
      <c r="P337" s="1">
        <f>$C$3+F337*$C$4+H337*$C$6+J337*$C$8+K337*$C$9+L337*$C$10+M337*$C$11</f>
        <v>393179.19791229547</v>
      </c>
      <c r="Q337" s="1">
        <f>(O337-P337)/O337</f>
        <v>6.7029602101089394E-2</v>
      </c>
      <c r="R337" s="1"/>
      <c r="S337" s="1"/>
    </row>
    <row r="338" spans="1:19" x14ac:dyDescent="0.3">
      <c r="A338" s="2">
        <v>148</v>
      </c>
      <c r="B338" s="3" t="s">
        <v>12</v>
      </c>
      <c r="C338" s="3" t="s">
        <v>140</v>
      </c>
      <c r="D338" s="3" t="s">
        <v>18</v>
      </c>
      <c r="E338" s="3" t="s">
        <v>15</v>
      </c>
      <c r="F338" s="3">
        <f>IF(D338="Urban",1,0)</f>
        <v>1</v>
      </c>
      <c r="G338" s="3">
        <v>11977</v>
      </c>
      <c r="H338" s="3">
        <v>1</v>
      </c>
      <c r="I338" s="3">
        <v>96093</v>
      </c>
      <c r="J338" s="3">
        <f>IF(E338="Cold",1,0)</f>
        <v>1</v>
      </c>
      <c r="K338" s="3">
        <f>IF(E338="Hot",1,0)</f>
        <v>0</v>
      </c>
      <c r="L338" s="3">
        <v>1033</v>
      </c>
      <c r="M338" s="3">
        <v>66</v>
      </c>
      <c r="N338" s="4">
        <v>45045</v>
      </c>
      <c r="O338" s="10">
        <v>355100.962</v>
      </c>
      <c r="P338" s="1">
        <f>$C$3+F338*$C$4+H338*$C$6+J338*$C$8+K338*$C$9+L338*$C$10+M338*$C$11</f>
        <v>331325.67281704996</v>
      </c>
      <c r="Q338" s="1">
        <f>(O338-P338)/O338</f>
        <v>6.6953603980802634E-2</v>
      </c>
      <c r="R338" s="1"/>
      <c r="S338" s="1"/>
    </row>
    <row r="339" spans="1:19" x14ac:dyDescent="0.3">
      <c r="A339" s="2">
        <v>88</v>
      </c>
      <c r="B339" s="3" t="s">
        <v>40</v>
      </c>
      <c r="C339" s="3" t="s">
        <v>103</v>
      </c>
      <c r="D339" s="3" t="s">
        <v>14</v>
      </c>
      <c r="E339" s="3" t="s">
        <v>15</v>
      </c>
      <c r="F339" s="3">
        <f>IF(D339="Urban",1,0)</f>
        <v>0</v>
      </c>
      <c r="G339" s="3">
        <v>4642</v>
      </c>
      <c r="H339" s="3">
        <v>0</v>
      </c>
      <c r="I339" s="3">
        <v>83033</v>
      </c>
      <c r="J339" s="3">
        <f>IF(E339="Cold",1,0)</f>
        <v>1</v>
      </c>
      <c r="K339" s="3">
        <f>IF(E339="Hot",1,0)</f>
        <v>0</v>
      </c>
      <c r="L339" s="3">
        <v>2392</v>
      </c>
      <c r="M339" s="3">
        <v>75</v>
      </c>
      <c r="N339" s="4">
        <v>44309</v>
      </c>
      <c r="O339" s="10">
        <v>340230.97220000002</v>
      </c>
      <c r="P339" s="1">
        <f>$C$3+F339*$C$4+H339*$C$6+J339*$C$8+K339*$C$9+L339*$C$10+M339*$C$11</f>
        <v>317453.24280135089</v>
      </c>
      <c r="Q339" s="1">
        <f>(O339-P339)/O339</f>
        <v>6.6947842083170367E-2</v>
      </c>
      <c r="R339" s="1"/>
      <c r="S339" s="1"/>
    </row>
    <row r="340" spans="1:19" x14ac:dyDescent="0.3">
      <c r="A340" s="2">
        <v>398</v>
      </c>
      <c r="B340" s="3" t="s">
        <v>55</v>
      </c>
      <c r="C340" s="3" t="s">
        <v>98</v>
      </c>
      <c r="D340" s="3" t="s">
        <v>14</v>
      </c>
      <c r="E340" s="3" t="s">
        <v>21</v>
      </c>
      <c r="F340" s="3">
        <f>IF(D340="Urban",1,0)</f>
        <v>0</v>
      </c>
      <c r="G340" s="3">
        <v>22877</v>
      </c>
      <c r="H340" s="3">
        <v>0</v>
      </c>
      <c r="I340" s="3">
        <v>54126</v>
      </c>
      <c r="J340" s="3">
        <f>IF(E340="Cold",1,0)</f>
        <v>0</v>
      </c>
      <c r="K340" s="3">
        <f>IF(E340="Hot",1,0)</f>
        <v>1</v>
      </c>
      <c r="L340" s="3">
        <v>2320</v>
      </c>
      <c r="M340" s="3">
        <v>34</v>
      </c>
      <c r="N340" s="4">
        <v>44763</v>
      </c>
      <c r="O340" s="10">
        <v>346809.62050000002</v>
      </c>
      <c r="P340" s="1">
        <f>$C$3+F340*$C$4+H340*$C$6+J340*$C$8+K340*$C$9+L340*$C$10+M340*$C$11</f>
        <v>323600.72541891073</v>
      </c>
      <c r="Q340" s="1">
        <f>(O340-P340)/O340</f>
        <v>6.6921139752780551E-2</v>
      </c>
      <c r="R340" s="1"/>
      <c r="S340" s="1"/>
    </row>
    <row r="341" spans="1:19" x14ac:dyDescent="0.3">
      <c r="A341" s="2">
        <v>166</v>
      </c>
      <c r="B341" s="3" t="s">
        <v>31</v>
      </c>
      <c r="C341" s="3" t="s">
        <v>81</v>
      </c>
      <c r="D341" s="3" t="s">
        <v>18</v>
      </c>
      <c r="E341" s="3" t="s">
        <v>23</v>
      </c>
      <c r="F341" s="3">
        <f>IF(D341="Urban",1,0)</f>
        <v>1</v>
      </c>
      <c r="G341" s="3">
        <v>17044</v>
      </c>
      <c r="H341" s="3">
        <v>0</v>
      </c>
      <c r="I341" s="3">
        <v>96740</v>
      </c>
      <c r="J341" s="3">
        <f>IF(E341="Cold",1,0)</f>
        <v>0</v>
      </c>
      <c r="K341" s="3">
        <f>IF(E341="Hot",1,0)</f>
        <v>0</v>
      </c>
      <c r="L341" s="3">
        <v>2870</v>
      </c>
      <c r="M341" s="3">
        <v>26</v>
      </c>
      <c r="N341" s="4">
        <v>44839</v>
      </c>
      <c r="O341" s="10">
        <v>402468.12410000002</v>
      </c>
      <c r="P341" s="1">
        <f>$C$3+F341*$C$4+H341*$C$6+J341*$C$8+K341*$C$9+L341*$C$10+M341*$C$11</f>
        <v>375545.18152124895</v>
      </c>
      <c r="Q341" s="1">
        <f>(O341-P341)/O341</f>
        <v>6.6894596035291506E-2</v>
      </c>
      <c r="R341" s="1"/>
      <c r="S341" s="1"/>
    </row>
    <row r="342" spans="1:19" x14ac:dyDescent="0.3">
      <c r="A342" s="2">
        <v>810</v>
      </c>
      <c r="B342" s="3" t="s">
        <v>72</v>
      </c>
      <c r="C342" s="3" t="s">
        <v>158</v>
      </c>
      <c r="D342" s="3" t="s">
        <v>18</v>
      </c>
      <c r="E342" s="3" t="s">
        <v>23</v>
      </c>
      <c r="F342" s="3">
        <f>IF(D342="Urban",1,0)</f>
        <v>1</v>
      </c>
      <c r="G342" s="3">
        <v>29872</v>
      </c>
      <c r="H342" s="3">
        <v>7</v>
      </c>
      <c r="I342" s="3">
        <v>56246</v>
      </c>
      <c r="J342" s="3">
        <f>IF(E342="Cold",1,0)</f>
        <v>0</v>
      </c>
      <c r="K342" s="3">
        <f>IF(E342="Hot",1,0)</f>
        <v>0</v>
      </c>
      <c r="L342" s="3">
        <v>2462</v>
      </c>
      <c r="M342" s="3">
        <v>63</v>
      </c>
      <c r="N342" s="4">
        <v>45458</v>
      </c>
      <c r="O342" s="10">
        <v>398834.24729999999</v>
      </c>
      <c r="P342" s="1">
        <f>$C$3+F342*$C$4+H342*$C$6+J342*$C$8+K342*$C$9+L342*$C$10+M342*$C$11</f>
        <v>372156.53247354156</v>
      </c>
      <c r="Q342" s="1">
        <f>(O342-P342)/O342</f>
        <v>6.6889227810949886E-2</v>
      </c>
      <c r="R342" s="1"/>
      <c r="S342" s="1"/>
    </row>
    <row r="343" spans="1:19" x14ac:dyDescent="0.3">
      <c r="A343" s="2">
        <v>386</v>
      </c>
      <c r="B343" s="3" t="s">
        <v>40</v>
      </c>
      <c r="C343" s="3" t="s">
        <v>121</v>
      </c>
      <c r="D343" s="3" t="s">
        <v>14</v>
      </c>
      <c r="E343" s="3" t="s">
        <v>15</v>
      </c>
      <c r="F343" s="3">
        <f>IF(D343="Urban",1,0)</f>
        <v>0</v>
      </c>
      <c r="G343" s="3">
        <v>25807</v>
      </c>
      <c r="H343" s="3">
        <v>8</v>
      </c>
      <c r="I343" s="3">
        <v>83878</v>
      </c>
      <c r="J343" s="3">
        <f>IF(E343="Cold",1,0)</f>
        <v>1</v>
      </c>
      <c r="K343" s="3">
        <f>IF(E343="Hot",1,0)</f>
        <v>0</v>
      </c>
      <c r="L343" s="3">
        <v>2503</v>
      </c>
      <c r="M343" s="3">
        <v>96</v>
      </c>
      <c r="N343" s="4">
        <v>45196</v>
      </c>
      <c r="O343" s="10">
        <v>341355.47830000002</v>
      </c>
      <c r="P343" s="1">
        <f>$C$3+F343*$C$4+H343*$C$6+J343*$C$8+K343*$C$9+L343*$C$10+M343*$C$11</f>
        <v>318540.52487999073</v>
      </c>
      <c r="Q343" s="1">
        <f>(O343-P343)/O343</f>
        <v>6.6836347650347017E-2</v>
      </c>
      <c r="R343" s="1"/>
      <c r="S343" s="1"/>
    </row>
    <row r="344" spans="1:19" x14ac:dyDescent="0.3">
      <c r="A344" s="2">
        <v>105</v>
      </c>
      <c r="B344" s="3" t="s">
        <v>29</v>
      </c>
      <c r="C344" s="3" t="s">
        <v>107</v>
      </c>
      <c r="D344" s="3" t="s">
        <v>18</v>
      </c>
      <c r="E344" s="3" t="s">
        <v>15</v>
      </c>
      <c r="F344" s="3">
        <f>IF(D344="Urban",1,0)</f>
        <v>1</v>
      </c>
      <c r="G344" s="3">
        <v>2809</v>
      </c>
      <c r="H344" s="3">
        <v>9</v>
      </c>
      <c r="I344" s="3">
        <v>92892</v>
      </c>
      <c r="J344" s="3">
        <f>IF(E344="Cold",1,0)</f>
        <v>1</v>
      </c>
      <c r="K344" s="3">
        <f>IF(E344="Hot",1,0)</f>
        <v>0</v>
      </c>
      <c r="L344" s="3">
        <v>1909</v>
      </c>
      <c r="M344" s="3">
        <v>49</v>
      </c>
      <c r="N344" s="4">
        <v>44954</v>
      </c>
      <c r="O344" s="10">
        <v>359850.77069999999</v>
      </c>
      <c r="P344" s="1">
        <f>$C$3+F344*$C$4+H344*$C$6+J344*$C$8+K344*$C$9+L344*$C$10+M344*$C$11</f>
        <v>335967.35742410598</v>
      </c>
      <c r="Q344" s="1">
        <f>(O344-P344)/O344</f>
        <v>6.637032687031566E-2</v>
      </c>
      <c r="R344" s="1"/>
      <c r="S344" s="1"/>
    </row>
    <row r="345" spans="1:19" x14ac:dyDescent="0.3">
      <c r="A345" s="2">
        <v>521</v>
      </c>
      <c r="B345" s="3" t="s">
        <v>12</v>
      </c>
      <c r="C345" s="3" t="s">
        <v>76</v>
      </c>
      <c r="D345" s="3" t="s">
        <v>14</v>
      </c>
      <c r="E345" s="3" t="s">
        <v>15</v>
      </c>
      <c r="F345" s="3">
        <f>IF(D345="Urban",1,0)</f>
        <v>0</v>
      </c>
      <c r="G345" s="3">
        <v>24122</v>
      </c>
      <c r="H345" s="3">
        <v>1</v>
      </c>
      <c r="I345" s="3">
        <v>79180</v>
      </c>
      <c r="J345" s="3">
        <f>IF(E345="Cold",1,0)</f>
        <v>1</v>
      </c>
      <c r="K345" s="3">
        <f>IF(E345="Hot",1,0)</f>
        <v>0</v>
      </c>
      <c r="L345" s="3">
        <v>1868</v>
      </c>
      <c r="M345" s="3">
        <v>98</v>
      </c>
      <c r="N345" s="4">
        <v>44629</v>
      </c>
      <c r="O345" s="10">
        <v>335352.63179999997</v>
      </c>
      <c r="P345" s="1">
        <f>$C$3+F345*$C$4+H345*$C$6+J345*$C$8+K345*$C$9+L345*$C$10+M345*$C$11</f>
        <v>313134.94134208909</v>
      </c>
      <c r="Q345" s="1">
        <f>(O345-P345)/O345</f>
        <v>6.6251725351483826E-2</v>
      </c>
      <c r="R345" s="1"/>
      <c r="S345" s="1"/>
    </row>
    <row r="346" spans="1:19" x14ac:dyDescent="0.3">
      <c r="A346" s="2">
        <v>751</v>
      </c>
      <c r="B346" s="3" t="s">
        <v>19</v>
      </c>
      <c r="C346" s="3" t="s">
        <v>60</v>
      </c>
      <c r="D346" s="3" t="s">
        <v>14</v>
      </c>
      <c r="E346" s="3" t="s">
        <v>15</v>
      </c>
      <c r="F346" s="3">
        <f>IF(D346="Urban",1,0)</f>
        <v>0</v>
      </c>
      <c r="G346" s="3">
        <v>27511</v>
      </c>
      <c r="H346" s="3">
        <v>0</v>
      </c>
      <c r="I346" s="3">
        <v>83766</v>
      </c>
      <c r="J346" s="3">
        <f>IF(E346="Cold",1,0)</f>
        <v>1</v>
      </c>
      <c r="K346" s="3">
        <f>IF(E346="Hot",1,0)</f>
        <v>0</v>
      </c>
      <c r="L346" s="3">
        <v>1586</v>
      </c>
      <c r="M346" s="3">
        <v>90</v>
      </c>
      <c r="N346" s="4">
        <v>44576</v>
      </c>
      <c r="O346" s="10">
        <v>327645.16100000002</v>
      </c>
      <c r="P346" s="1">
        <f>$C$3+F346*$C$4+H346*$C$6+J346*$C$8+K346*$C$9+L346*$C$10+M346*$C$11</f>
        <v>305991.31044182403</v>
      </c>
      <c r="Q346" s="1">
        <f>(O346-P346)/O346</f>
        <v>6.6089334242223088E-2</v>
      </c>
      <c r="R346" s="1"/>
      <c r="S346" s="1"/>
    </row>
    <row r="347" spans="1:19" x14ac:dyDescent="0.3">
      <c r="A347" s="2">
        <v>392</v>
      </c>
      <c r="B347" s="3" t="s">
        <v>74</v>
      </c>
      <c r="C347" s="3" t="s">
        <v>120</v>
      </c>
      <c r="D347" s="3" t="s">
        <v>14</v>
      </c>
      <c r="E347" s="3" t="s">
        <v>21</v>
      </c>
      <c r="F347" s="3">
        <f>IF(D347="Urban",1,0)</f>
        <v>0</v>
      </c>
      <c r="G347" s="3">
        <v>13679</v>
      </c>
      <c r="H347" s="3">
        <v>9</v>
      </c>
      <c r="I347" s="3">
        <v>50252</v>
      </c>
      <c r="J347" s="3">
        <f>IF(E347="Cold",1,0)</f>
        <v>0</v>
      </c>
      <c r="K347" s="3">
        <f>IF(E347="Hot",1,0)</f>
        <v>1</v>
      </c>
      <c r="L347" s="3">
        <v>2206</v>
      </c>
      <c r="M347" s="3">
        <v>49</v>
      </c>
      <c r="N347" s="4">
        <v>44410</v>
      </c>
      <c r="O347" s="10">
        <v>339817.68109999999</v>
      </c>
      <c r="P347" s="1">
        <f>$C$3+F347*$C$4+H347*$C$6+J347*$C$8+K347*$C$9+L347*$C$10+M347*$C$11</f>
        <v>317398.19324301358</v>
      </c>
      <c r="Q347" s="1">
        <f>(O347-P347)/O347</f>
        <v>6.5975048103482592E-2</v>
      </c>
      <c r="R347" s="1"/>
      <c r="S347" s="1"/>
    </row>
    <row r="348" spans="1:19" x14ac:dyDescent="0.3">
      <c r="A348" s="2">
        <v>309</v>
      </c>
      <c r="B348" s="3" t="s">
        <v>72</v>
      </c>
      <c r="C348" s="3" t="s">
        <v>167</v>
      </c>
      <c r="D348" s="3" t="s">
        <v>18</v>
      </c>
      <c r="E348" s="3" t="s">
        <v>21</v>
      </c>
      <c r="F348" s="3">
        <f>IF(D348="Urban",1,0)</f>
        <v>1</v>
      </c>
      <c r="G348" s="3">
        <v>7934</v>
      </c>
      <c r="H348" s="3">
        <v>9</v>
      </c>
      <c r="I348" s="3">
        <v>89135</v>
      </c>
      <c r="J348" s="3">
        <f>IF(E348="Cold",1,0)</f>
        <v>0</v>
      </c>
      <c r="K348" s="3">
        <f>IF(E348="Hot",1,0)</f>
        <v>1</v>
      </c>
      <c r="L348" s="3">
        <v>2900</v>
      </c>
      <c r="M348" s="3">
        <v>54</v>
      </c>
      <c r="N348" s="4">
        <v>45072</v>
      </c>
      <c r="O348" s="10">
        <v>404040.7072</v>
      </c>
      <c r="P348" s="1">
        <f>$C$3+F348*$C$4+H348*$C$6+J348*$C$8+K348*$C$9+L348*$C$10+M348*$C$11</f>
        <v>377507.76642412943</v>
      </c>
      <c r="Q348" s="1">
        <f>(O348-P348)/O348</f>
        <v>6.5668979147531253E-2</v>
      </c>
      <c r="R348" s="1"/>
      <c r="S348" s="1"/>
    </row>
    <row r="349" spans="1:19" x14ac:dyDescent="0.3">
      <c r="A349" s="2">
        <v>667</v>
      </c>
      <c r="B349" s="3" t="s">
        <v>16</v>
      </c>
      <c r="C349" s="3" t="s">
        <v>207</v>
      </c>
      <c r="D349" s="3" t="s">
        <v>18</v>
      </c>
      <c r="E349" s="3" t="s">
        <v>23</v>
      </c>
      <c r="F349" s="3">
        <f>IF(D349="Urban",1,0)</f>
        <v>1</v>
      </c>
      <c r="G349" s="3">
        <v>20976</v>
      </c>
      <c r="H349" s="3">
        <v>6</v>
      </c>
      <c r="I349" s="3">
        <v>78707</v>
      </c>
      <c r="J349" s="3">
        <f>IF(E349="Cold",1,0)</f>
        <v>0</v>
      </c>
      <c r="K349" s="3">
        <f>IF(E349="Hot",1,0)</f>
        <v>0</v>
      </c>
      <c r="L349" s="3">
        <v>2821</v>
      </c>
      <c r="M349" s="3">
        <v>32</v>
      </c>
      <c r="N349" s="4">
        <v>45397</v>
      </c>
      <c r="O349" s="10">
        <v>396696.54100000003</v>
      </c>
      <c r="P349" s="1">
        <f>$C$3+F349*$C$4+H349*$C$6+J349*$C$8+K349*$C$9+L349*$C$10+M349*$C$11</f>
        <v>370716.08030812425</v>
      </c>
      <c r="Q349" s="1">
        <f>(O349-P349)/O349</f>
        <v>6.5492027297197372E-2</v>
      </c>
      <c r="R349" s="1"/>
      <c r="S349" s="1"/>
    </row>
    <row r="350" spans="1:19" x14ac:dyDescent="0.3">
      <c r="A350" s="2">
        <v>388</v>
      </c>
      <c r="B350" s="3" t="s">
        <v>12</v>
      </c>
      <c r="C350" s="3" t="s">
        <v>95</v>
      </c>
      <c r="D350" s="3" t="s">
        <v>14</v>
      </c>
      <c r="E350" s="3" t="s">
        <v>23</v>
      </c>
      <c r="F350" s="3">
        <f>IF(D350="Urban",1,0)</f>
        <v>0</v>
      </c>
      <c r="G350" s="3">
        <v>19862</v>
      </c>
      <c r="H350" s="3">
        <v>8</v>
      </c>
      <c r="I350" s="3">
        <v>58402</v>
      </c>
      <c r="J350" s="3">
        <f>IF(E350="Cold",1,0)</f>
        <v>0</v>
      </c>
      <c r="K350" s="3">
        <f>IF(E350="Hot",1,0)</f>
        <v>0</v>
      </c>
      <c r="L350" s="3">
        <v>1296</v>
      </c>
      <c r="M350" s="3">
        <v>54</v>
      </c>
      <c r="N350" s="4">
        <v>44555</v>
      </c>
      <c r="O350" s="10">
        <v>321499.12400000001</v>
      </c>
      <c r="P350" s="1">
        <f>$C$3+F350*$C$4+H350*$C$6+J350*$C$8+K350*$C$9+L350*$C$10+M350*$C$11</f>
        <v>300444.21358461952</v>
      </c>
      <c r="Q350" s="1">
        <f>(O350-P350)/O350</f>
        <v>6.5489790931375899E-2</v>
      </c>
      <c r="R350" s="1"/>
      <c r="S350" s="1"/>
    </row>
    <row r="351" spans="1:19" x14ac:dyDescent="0.3">
      <c r="A351" s="2">
        <v>724</v>
      </c>
      <c r="B351" s="3" t="s">
        <v>55</v>
      </c>
      <c r="C351" s="3" t="s">
        <v>175</v>
      </c>
      <c r="D351" s="3" t="s">
        <v>14</v>
      </c>
      <c r="E351" s="3" t="s">
        <v>21</v>
      </c>
      <c r="F351" s="3">
        <f>IF(D351="Urban",1,0)</f>
        <v>0</v>
      </c>
      <c r="G351" s="3">
        <v>3001</v>
      </c>
      <c r="H351" s="3">
        <v>2</v>
      </c>
      <c r="I351" s="3">
        <v>75127</v>
      </c>
      <c r="J351" s="3">
        <f>IF(E351="Cold",1,0)</f>
        <v>0</v>
      </c>
      <c r="K351" s="3">
        <f>IF(E351="Hot",1,0)</f>
        <v>1</v>
      </c>
      <c r="L351" s="3">
        <v>2015</v>
      </c>
      <c r="M351" s="3">
        <v>94</v>
      </c>
      <c r="N351" s="4">
        <v>44252</v>
      </c>
      <c r="O351" s="10">
        <v>357462.64319999999</v>
      </c>
      <c r="P351" s="1">
        <f>$C$3+F351*$C$4+H351*$C$6+J351*$C$8+K351*$C$9+L351*$C$10+M351*$C$11</f>
        <v>334107.43161642994</v>
      </c>
      <c r="Q351" s="1">
        <f>(O351-P351)/O351</f>
        <v>6.5336090435897207E-2</v>
      </c>
      <c r="R351" s="1"/>
      <c r="S351" s="1"/>
    </row>
    <row r="352" spans="1:19" x14ac:dyDescent="0.3">
      <c r="A352" s="2">
        <v>555</v>
      </c>
      <c r="B352" s="3" t="s">
        <v>40</v>
      </c>
      <c r="C352" s="3" t="s">
        <v>103</v>
      </c>
      <c r="D352" s="3" t="s">
        <v>14</v>
      </c>
      <c r="E352" s="3" t="s">
        <v>21</v>
      </c>
      <c r="F352" s="3">
        <f>IF(D352="Urban",1,0)</f>
        <v>0</v>
      </c>
      <c r="G352" s="3">
        <v>18256</v>
      </c>
      <c r="H352" s="3">
        <v>6</v>
      </c>
      <c r="I352" s="3">
        <v>98459</v>
      </c>
      <c r="J352" s="3">
        <f>IF(E352="Cold",1,0)</f>
        <v>0</v>
      </c>
      <c r="K352" s="3">
        <f>IF(E352="Hot",1,0)</f>
        <v>1</v>
      </c>
      <c r="L352" s="3">
        <v>2696</v>
      </c>
      <c r="M352" s="3">
        <v>83</v>
      </c>
      <c r="N352" s="4">
        <v>45171</v>
      </c>
      <c r="O352" s="10">
        <v>364265.04710000003</v>
      </c>
      <c r="P352" s="1">
        <f>$C$3+F352*$C$4+H352*$C$6+J352*$C$8+K352*$C$9+L352*$C$10+M352*$C$11</f>
        <v>340507.26215412276</v>
      </c>
      <c r="Q352" s="1">
        <f>(O352-P352)/O352</f>
        <v>6.5221149091900521E-2</v>
      </c>
      <c r="R352" s="1"/>
      <c r="S352" s="1"/>
    </row>
    <row r="353" spans="1:19" x14ac:dyDescent="0.3">
      <c r="A353" s="2">
        <v>464</v>
      </c>
      <c r="B353" s="3" t="s">
        <v>37</v>
      </c>
      <c r="C353" s="3" t="s">
        <v>204</v>
      </c>
      <c r="D353" s="3" t="s">
        <v>18</v>
      </c>
      <c r="E353" s="3" t="s">
        <v>21</v>
      </c>
      <c r="F353" s="3">
        <f>IF(D353="Urban",1,0)</f>
        <v>1</v>
      </c>
      <c r="G353" s="3">
        <v>938</v>
      </c>
      <c r="H353" s="3">
        <v>6</v>
      </c>
      <c r="I353" s="3">
        <v>92686</v>
      </c>
      <c r="J353" s="3">
        <f>IF(E353="Cold",1,0)</f>
        <v>0</v>
      </c>
      <c r="K353" s="3">
        <f>IF(E353="Hot",1,0)</f>
        <v>1</v>
      </c>
      <c r="L353" s="3">
        <v>2817</v>
      </c>
      <c r="M353" s="3">
        <v>67</v>
      </c>
      <c r="N353" s="4">
        <v>44794</v>
      </c>
      <c r="O353" s="10">
        <v>409371.64150000003</v>
      </c>
      <c r="P353" s="1">
        <f>$C$3+F353*$C$4+H353*$C$6+J353*$C$8+K353*$C$9+L353*$C$10+M353*$C$11</f>
        <v>382708.61460613983</v>
      </c>
      <c r="Q353" s="1">
        <f>(O353-P353)/O353</f>
        <v>6.5131592398933166E-2</v>
      </c>
      <c r="R353" s="1"/>
      <c r="S353" s="1"/>
    </row>
    <row r="354" spans="1:19" x14ac:dyDescent="0.3">
      <c r="A354" s="2">
        <v>28</v>
      </c>
      <c r="B354" s="3" t="s">
        <v>29</v>
      </c>
      <c r="C354" s="3" t="s">
        <v>59</v>
      </c>
      <c r="D354" s="3" t="s">
        <v>14</v>
      </c>
      <c r="E354" s="3" t="s">
        <v>15</v>
      </c>
      <c r="F354" s="3">
        <f>IF(D354="Urban",1,0)</f>
        <v>0</v>
      </c>
      <c r="G354" s="3">
        <v>20677</v>
      </c>
      <c r="H354" s="3">
        <v>7</v>
      </c>
      <c r="I354" s="3">
        <v>72853</v>
      </c>
      <c r="J354" s="3">
        <f>IF(E354="Cold",1,0)</f>
        <v>1</v>
      </c>
      <c r="K354" s="3">
        <f>IF(E354="Hot",1,0)</f>
        <v>0</v>
      </c>
      <c r="L354" s="3">
        <v>2350</v>
      </c>
      <c r="M354" s="3">
        <v>68</v>
      </c>
      <c r="N354" s="4">
        <v>44766</v>
      </c>
      <c r="O354" s="10">
        <v>329192.9866</v>
      </c>
      <c r="P354" s="1">
        <f>$C$3+F354*$C$4+H354*$C$6+J354*$C$8+K354*$C$9+L354*$C$10+M354*$C$11</f>
        <v>307806.75286299322</v>
      </c>
      <c r="Q354" s="1">
        <f>(O354-P354)/O354</f>
        <v>6.496564206269996E-2</v>
      </c>
      <c r="R354" s="1"/>
      <c r="S354" s="1"/>
    </row>
    <row r="355" spans="1:19" x14ac:dyDescent="0.3">
      <c r="A355" s="2">
        <v>54</v>
      </c>
      <c r="B355" s="3" t="s">
        <v>33</v>
      </c>
      <c r="C355" s="3" t="s">
        <v>79</v>
      </c>
      <c r="D355" s="3" t="s">
        <v>18</v>
      </c>
      <c r="E355" s="3" t="s">
        <v>15</v>
      </c>
      <c r="F355" s="3">
        <f>IF(D355="Urban",1,0)</f>
        <v>1</v>
      </c>
      <c r="G355" s="3">
        <v>3379</v>
      </c>
      <c r="H355" s="3">
        <v>4</v>
      </c>
      <c r="I355" s="3">
        <v>91371</v>
      </c>
      <c r="J355" s="3">
        <f>IF(E355="Cold",1,0)</f>
        <v>1</v>
      </c>
      <c r="K355" s="3">
        <f>IF(E355="Hot",1,0)</f>
        <v>0</v>
      </c>
      <c r="L355" s="3">
        <v>1851</v>
      </c>
      <c r="M355" s="3">
        <v>23</v>
      </c>
      <c r="N355" s="4">
        <v>43846</v>
      </c>
      <c r="O355" s="10">
        <v>354567.71710000001</v>
      </c>
      <c r="P355" s="1">
        <f>$C$3+F355*$C$4+H355*$C$6+J355*$C$8+K355*$C$9+L355*$C$10+M355*$C$11</f>
        <v>331546.35590490635</v>
      </c>
      <c r="Q355" s="1">
        <f>(O355-P355)/O355</f>
        <v>6.4927967451139559E-2</v>
      </c>
      <c r="R355" s="1"/>
      <c r="S355" s="1"/>
    </row>
    <row r="356" spans="1:19" x14ac:dyDescent="0.3">
      <c r="A356" s="2">
        <v>462</v>
      </c>
      <c r="B356" s="3" t="s">
        <v>29</v>
      </c>
      <c r="C356" s="3" t="s">
        <v>59</v>
      </c>
      <c r="D356" s="3" t="s">
        <v>14</v>
      </c>
      <c r="E356" s="3" t="s">
        <v>21</v>
      </c>
      <c r="F356" s="3">
        <f>IF(D356="Urban",1,0)</f>
        <v>0</v>
      </c>
      <c r="G356" s="3">
        <v>14099</v>
      </c>
      <c r="H356" s="3">
        <v>8</v>
      </c>
      <c r="I356" s="3">
        <v>57482</v>
      </c>
      <c r="J356" s="3">
        <f>IF(E356="Cold",1,0)</f>
        <v>0</v>
      </c>
      <c r="K356" s="3">
        <f>IF(E356="Hot",1,0)</f>
        <v>1</v>
      </c>
      <c r="L356" s="3">
        <v>2466</v>
      </c>
      <c r="M356" s="3">
        <v>67</v>
      </c>
      <c r="N356" s="4">
        <v>44779</v>
      </c>
      <c r="O356" s="10">
        <v>351931.68089999998</v>
      </c>
      <c r="P356" s="1">
        <f>$C$3+F356*$C$4+H356*$C$6+J356*$C$8+K356*$C$9+L356*$C$10+M356*$C$11</f>
        <v>329085.26466438436</v>
      </c>
      <c r="Q356" s="1">
        <f>(O356-P356)/O356</f>
        <v>6.4917191249137182E-2</v>
      </c>
      <c r="R356" s="1"/>
      <c r="S356" s="1"/>
    </row>
    <row r="357" spans="1:19" x14ac:dyDescent="0.3">
      <c r="A357" s="2">
        <v>153</v>
      </c>
      <c r="B357" s="3" t="s">
        <v>33</v>
      </c>
      <c r="C357" s="3" t="s">
        <v>80</v>
      </c>
      <c r="D357" s="3" t="s">
        <v>18</v>
      </c>
      <c r="E357" s="3" t="s">
        <v>23</v>
      </c>
      <c r="F357" s="3">
        <f>IF(D357="Urban",1,0)</f>
        <v>1</v>
      </c>
      <c r="G357" s="3">
        <v>14458</v>
      </c>
      <c r="H357" s="3">
        <v>7</v>
      </c>
      <c r="I357" s="3">
        <v>54076</v>
      </c>
      <c r="J357" s="3">
        <f>IF(E357="Cold",1,0)</f>
        <v>0</v>
      </c>
      <c r="K357" s="3">
        <f>IF(E357="Hot",1,0)</f>
        <v>0</v>
      </c>
      <c r="L357" s="3">
        <v>2382</v>
      </c>
      <c r="M357" s="3">
        <v>61</v>
      </c>
      <c r="N357" s="4">
        <v>45121</v>
      </c>
      <c r="O357" s="10">
        <v>395492.77630000003</v>
      </c>
      <c r="P357" s="1">
        <f>$C$3+F357*$C$4+H357*$C$6+J357*$C$8+K357*$C$9+L357*$C$10+M357*$C$11</f>
        <v>369943.5083533969</v>
      </c>
      <c r="Q357" s="1">
        <f>(O357-P357)/O357</f>
        <v>6.4601098876260629E-2</v>
      </c>
      <c r="R357" s="1"/>
      <c r="S357" s="1"/>
    </row>
    <row r="358" spans="1:19" x14ac:dyDescent="0.3">
      <c r="A358" s="2">
        <v>65</v>
      </c>
      <c r="B358" s="3" t="s">
        <v>16</v>
      </c>
      <c r="C358" s="3" t="s">
        <v>87</v>
      </c>
      <c r="D358" s="3" t="s">
        <v>18</v>
      </c>
      <c r="E358" s="3" t="s">
        <v>23</v>
      </c>
      <c r="F358" s="3">
        <f>IF(D358="Urban",1,0)</f>
        <v>1</v>
      </c>
      <c r="G358" s="3">
        <v>14357</v>
      </c>
      <c r="H358" s="3">
        <v>5</v>
      </c>
      <c r="I358" s="3">
        <v>73943</v>
      </c>
      <c r="J358" s="3">
        <f>IF(E358="Cold",1,0)</f>
        <v>0</v>
      </c>
      <c r="K358" s="3">
        <f>IF(E358="Hot",1,0)</f>
        <v>0</v>
      </c>
      <c r="L358" s="3">
        <v>1390</v>
      </c>
      <c r="M358" s="3">
        <v>48</v>
      </c>
      <c r="N358" s="4">
        <v>44676</v>
      </c>
      <c r="O358" s="10">
        <v>372074.94540000003</v>
      </c>
      <c r="P358" s="1">
        <f>$C$3+F358*$C$4+H358*$C$6+J358*$C$8+K358*$C$9+L358*$C$10+M358*$C$11</f>
        <v>348039.31895867724</v>
      </c>
      <c r="Q358" s="1">
        <f>(O358-P358)/O358</f>
        <v>6.4598884548604144E-2</v>
      </c>
      <c r="R358" s="1"/>
      <c r="S358" s="1"/>
    </row>
    <row r="359" spans="1:19" x14ac:dyDescent="0.3">
      <c r="A359" s="2">
        <v>123</v>
      </c>
      <c r="B359" s="3" t="s">
        <v>24</v>
      </c>
      <c r="C359" s="3" t="s">
        <v>124</v>
      </c>
      <c r="D359" s="3" t="s">
        <v>14</v>
      </c>
      <c r="E359" s="3" t="s">
        <v>15</v>
      </c>
      <c r="F359" s="3">
        <f>IF(D359="Urban",1,0)</f>
        <v>0</v>
      </c>
      <c r="G359" s="3">
        <v>15664</v>
      </c>
      <c r="H359" s="3">
        <v>0</v>
      </c>
      <c r="I359" s="3">
        <v>96987</v>
      </c>
      <c r="J359" s="3">
        <f>IF(E359="Cold",1,0)</f>
        <v>1</v>
      </c>
      <c r="K359" s="3">
        <f>IF(E359="Hot",1,0)</f>
        <v>0</v>
      </c>
      <c r="L359" s="3">
        <v>2812</v>
      </c>
      <c r="M359" s="3">
        <v>61</v>
      </c>
      <c r="N359" s="4">
        <v>44839</v>
      </c>
      <c r="O359" s="10">
        <v>343702.45750000002</v>
      </c>
      <c r="P359" s="1">
        <f>$C$3+F359*$C$4+H359*$C$6+J359*$C$8+K359*$C$9+L359*$C$10+M359*$C$11</f>
        <v>321519.983629897</v>
      </c>
      <c r="Q359" s="1">
        <f>(O359-P359)/O359</f>
        <v>6.4539759277406433E-2</v>
      </c>
      <c r="R359" s="1"/>
      <c r="S359" s="1"/>
    </row>
    <row r="360" spans="1:19" x14ac:dyDescent="0.3">
      <c r="A360" s="2">
        <v>693</v>
      </c>
      <c r="B360" s="3" t="s">
        <v>19</v>
      </c>
      <c r="C360" s="3" t="s">
        <v>179</v>
      </c>
      <c r="D360" s="3" t="s">
        <v>14</v>
      </c>
      <c r="E360" s="3" t="s">
        <v>15</v>
      </c>
      <c r="F360" s="3">
        <f>IF(D360="Urban",1,0)</f>
        <v>0</v>
      </c>
      <c r="G360" s="3">
        <v>24928</v>
      </c>
      <c r="H360" s="3">
        <v>6</v>
      </c>
      <c r="I360" s="3">
        <v>83968</v>
      </c>
      <c r="J360" s="3">
        <f>IF(E360="Cold",1,0)</f>
        <v>1</v>
      </c>
      <c r="K360" s="3">
        <f>IF(E360="Hot",1,0)</f>
        <v>0</v>
      </c>
      <c r="L360" s="3">
        <v>1108</v>
      </c>
      <c r="M360" s="3">
        <v>57</v>
      </c>
      <c r="N360" s="4">
        <v>44472</v>
      </c>
      <c r="O360" s="10">
        <v>299885.66519999999</v>
      </c>
      <c r="P360" s="1">
        <f>$C$3+F360*$C$4+H360*$C$6+J360*$C$8+K360*$C$9+L360*$C$10+M360*$C$11</f>
        <v>280579.66320860328</v>
      </c>
      <c r="Q360" s="1">
        <f>(O360-P360)/O360</f>
        <v>6.4377875409687008E-2</v>
      </c>
      <c r="R360" s="1"/>
      <c r="S360" s="1"/>
    </row>
    <row r="361" spans="1:19" x14ac:dyDescent="0.3">
      <c r="A361" s="2">
        <v>286</v>
      </c>
      <c r="B361" s="3" t="s">
        <v>16</v>
      </c>
      <c r="C361" s="3" t="s">
        <v>84</v>
      </c>
      <c r="D361" s="3" t="s">
        <v>14</v>
      </c>
      <c r="E361" s="3" t="s">
        <v>15</v>
      </c>
      <c r="F361" s="3">
        <f>IF(D361="Urban",1,0)</f>
        <v>0</v>
      </c>
      <c r="G361" s="3">
        <v>6474</v>
      </c>
      <c r="H361" s="3">
        <v>6</v>
      </c>
      <c r="I361" s="3">
        <v>75721</v>
      </c>
      <c r="J361" s="3">
        <f>IF(E361="Cold",1,0)</f>
        <v>1</v>
      </c>
      <c r="K361" s="3">
        <f>IF(E361="Hot",1,0)</f>
        <v>0</v>
      </c>
      <c r="L361" s="3">
        <v>1289</v>
      </c>
      <c r="M361" s="3">
        <v>42</v>
      </c>
      <c r="N361" s="4">
        <v>44302</v>
      </c>
      <c r="O361" s="10">
        <v>298786.52679999999</v>
      </c>
      <c r="P361" s="1">
        <f>$C$3+F361*$C$4+H361*$C$6+J361*$C$8+K361*$C$9+L361*$C$10+M361*$C$11</f>
        <v>279568.43889111554</v>
      </c>
      <c r="Q361" s="1">
        <f>(O361-P361)/O361</f>
        <v>6.432046355874857E-2</v>
      </c>
      <c r="R361" s="1"/>
      <c r="S361" s="1"/>
    </row>
    <row r="362" spans="1:19" x14ac:dyDescent="0.3">
      <c r="A362" s="2">
        <v>590</v>
      </c>
      <c r="B362" s="3" t="s">
        <v>57</v>
      </c>
      <c r="C362" s="3" t="s">
        <v>58</v>
      </c>
      <c r="D362" s="3" t="s">
        <v>18</v>
      </c>
      <c r="E362" s="3" t="s">
        <v>21</v>
      </c>
      <c r="F362" s="3">
        <f>IF(D362="Urban",1,0)</f>
        <v>1</v>
      </c>
      <c r="G362" s="3">
        <v>3889</v>
      </c>
      <c r="H362" s="3">
        <v>5</v>
      </c>
      <c r="I362" s="3">
        <v>97970</v>
      </c>
      <c r="J362" s="3">
        <f>IF(E362="Cold",1,0)</f>
        <v>0</v>
      </c>
      <c r="K362" s="3">
        <f>IF(E362="Hot",1,0)</f>
        <v>1</v>
      </c>
      <c r="L362" s="3">
        <v>1989</v>
      </c>
      <c r="M362" s="3">
        <v>42</v>
      </c>
      <c r="N362" s="4">
        <v>45294</v>
      </c>
      <c r="O362" s="10">
        <v>384101.56459999998</v>
      </c>
      <c r="P362" s="1">
        <f>$C$3+F362*$C$4+H362*$C$6+J362*$C$8+K362*$C$9+L362*$C$10+M362*$C$11</f>
        <v>359428.52347619669</v>
      </c>
      <c r="Q362" s="1">
        <f>(O362-P362)/O362</f>
        <v>6.4235721480326663E-2</v>
      </c>
      <c r="R362" s="1"/>
      <c r="S362" s="1"/>
    </row>
    <row r="363" spans="1:19" x14ac:dyDescent="0.3">
      <c r="A363" s="2">
        <v>806</v>
      </c>
      <c r="B363" s="3" t="s">
        <v>122</v>
      </c>
      <c r="C363" s="3" t="s">
        <v>137</v>
      </c>
      <c r="D363" s="3" t="s">
        <v>14</v>
      </c>
      <c r="E363" s="3" t="s">
        <v>23</v>
      </c>
      <c r="F363" s="3">
        <f>IF(D363="Urban",1,0)</f>
        <v>0</v>
      </c>
      <c r="G363" s="3">
        <v>23776</v>
      </c>
      <c r="H363" s="3">
        <v>6</v>
      </c>
      <c r="I363" s="3">
        <v>93549</v>
      </c>
      <c r="J363" s="3">
        <f>IF(E363="Cold",1,0)</f>
        <v>0</v>
      </c>
      <c r="K363" s="3">
        <f>IF(E363="Hot",1,0)</f>
        <v>0</v>
      </c>
      <c r="L363" s="3">
        <v>1353</v>
      </c>
      <c r="M363" s="3">
        <v>25</v>
      </c>
      <c r="N363" s="4">
        <v>45009</v>
      </c>
      <c r="O363" s="10">
        <v>314700.92139999999</v>
      </c>
      <c r="P363" s="1">
        <f>$C$3+F363*$C$4+H363*$C$6+J363*$C$8+K363*$C$9+L363*$C$10+M363*$C$11</f>
        <v>294543.28983270668</v>
      </c>
      <c r="Q363" s="1">
        <f>(O363-P363)/O363</f>
        <v>6.4053296944980964E-2</v>
      </c>
      <c r="R363" s="1"/>
      <c r="S363" s="1"/>
    </row>
    <row r="364" spans="1:19" x14ac:dyDescent="0.3">
      <c r="A364" s="2">
        <v>657</v>
      </c>
      <c r="B364" s="3" t="s">
        <v>74</v>
      </c>
      <c r="C364" s="3" t="s">
        <v>120</v>
      </c>
      <c r="D364" s="3" t="s">
        <v>14</v>
      </c>
      <c r="E364" s="3" t="s">
        <v>21</v>
      </c>
      <c r="F364" s="3">
        <f>IF(D364="Urban",1,0)</f>
        <v>0</v>
      </c>
      <c r="G364" s="3">
        <v>19756</v>
      </c>
      <c r="H364" s="3">
        <v>0</v>
      </c>
      <c r="I364" s="3">
        <v>84028</v>
      </c>
      <c r="J364" s="3">
        <f>IF(E364="Cold",1,0)</f>
        <v>0</v>
      </c>
      <c r="K364" s="3">
        <f>IF(E364="Hot",1,0)</f>
        <v>1</v>
      </c>
      <c r="L364" s="3">
        <v>2681</v>
      </c>
      <c r="M364" s="3">
        <v>51</v>
      </c>
      <c r="N364" s="4">
        <v>44095</v>
      </c>
      <c r="O364" s="10">
        <v>359006.97560000001</v>
      </c>
      <c r="P364" s="1">
        <f>$C$3+F364*$C$4+H364*$C$6+J364*$C$8+K364*$C$9+L364*$C$10+M364*$C$11</f>
        <v>336045.13127219246</v>
      </c>
      <c r="Q364" s="1">
        <f>(O364-P364)/O364</f>
        <v>6.3959326387549836E-2</v>
      </c>
      <c r="R364" s="1"/>
      <c r="S364" s="1"/>
    </row>
    <row r="365" spans="1:19" x14ac:dyDescent="0.3">
      <c r="A365" s="2">
        <v>470</v>
      </c>
      <c r="B365" s="3" t="s">
        <v>12</v>
      </c>
      <c r="C365" s="3" t="s">
        <v>13</v>
      </c>
      <c r="D365" s="3" t="s">
        <v>18</v>
      </c>
      <c r="E365" s="3" t="s">
        <v>23</v>
      </c>
      <c r="F365" s="3">
        <f>IF(D365="Urban",1,0)</f>
        <v>1</v>
      </c>
      <c r="G365" s="3">
        <v>13921</v>
      </c>
      <c r="H365" s="3">
        <v>9</v>
      </c>
      <c r="I365" s="3">
        <v>52664</v>
      </c>
      <c r="J365" s="3">
        <f>IF(E365="Cold",1,0)</f>
        <v>0</v>
      </c>
      <c r="K365" s="3">
        <f>IF(E365="Hot",1,0)</f>
        <v>0</v>
      </c>
      <c r="L365" s="3">
        <v>1254</v>
      </c>
      <c r="M365" s="3">
        <v>73</v>
      </c>
      <c r="N365" s="4">
        <v>44345</v>
      </c>
      <c r="O365" s="10">
        <v>373011.05719999998</v>
      </c>
      <c r="P365" s="1">
        <f>$C$3+F365*$C$4+H365*$C$6+J365*$C$8+K365*$C$9+L365*$C$10+M365*$C$11</f>
        <v>349230.52026693936</v>
      </c>
      <c r="Q365" s="1">
        <f>(O365-P365)/O365</f>
        <v>6.3752900816315586E-2</v>
      </c>
      <c r="R365" s="1"/>
      <c r="S365" s="1"/>
    </row>
    <row r="366" spans="1:19" x14ac:dyDescent="0.3">
      <c r="A366" s="2">
        <v>659</v>
      </c>
      <c r="B366" s="3" t="s">
        <v>33</v>
      </c>
      <c r="C366" s="3" t="s">
        <v>34</v>
      </c>
      <c r="D366" s="3" t="s">
        <v>14</v>
      </c>
      <c r="E366" s="3" t="s">
        <v>15</v>
      </c>
      <c r="F366" s="3">
        <f>IF(D366="Urban",1,0)</f>
        <v>0</v>
      </c>
      <c r="G366" s="3">
        <v>14795</v>
      </c>
      <c r="H366" s="3">
        <v>6</v>
      </c>
      <c r="I366" s="3">
        <v>50537</v>
      </c>
      <c r="J366" s="3">
        <f>IF(E366="Cold",1,0)</f>
        <v>1</v>
      </c>
      <c r="K366" s="3">
        <f>IF(E366="Hot",1,0)</f>
        <v>0</v>
      </c>
      <c r="L366" s="3">
        <v>1684</v>
      </c>
      <c r="M366" s="3">
        <v>81</v>
      </c>
      <c r="N366" s="4">
        <v>44313</v>
      </c>
      <c r="O366" s="10">
        <v>319851.00699999998</v>
      </c>
      <c r="P366" s="1">
        <f>$C$3+F366*$C$4+H366*$C$6+J366*$C$8+K366*$C$9+L366*$C$10+M366*$C$11</f>
        <v>299472.44518798194</v>
      </c>
      <c r="Q366" s="1">
        <f>(O366-P366)/O366</f>
        <v>6.3712670481034461E-2</v>
      </c>
      <c r="R366" s="1"/>
      <c r="S366" s="1"/>
    </row>
    <row r="367" spans="1:19" x14ac:dyDescent="0.3">
      <c r="A367" s="2">
        <v>537</v>
      </c>
      <c r="B367" s="3" t="s">
        <v>35</v>
      </c>
      <c r="C367" s="3" t="s">
        <v>139</v>
      </c>
      <c r="D367" s="3" t="s">
        <v>18</v>
      </c>
      <c r="E367" s="3" t="s">
        <v>15</v>
      </c>
      <c r="F367" s="3">
        <f>IF(D367="Urban",1,0)</f>
        <v>1</v>
      </c>
      <c r="G367" s="3">
        <v>14937</v>
      </c>
      <c r="H367" s="3">
        <v>0</v>
      </c>
      <c r="I367" s="3">
        <v>69228</v>
      </c>
      <c r="J367" s="3">
        <f>IF(E367="Cold",1,0)</f>
        <v>1</v>
      </c>
      <c r="K367" s="3">
        <f>IF(E367="Hot",1,0)</f>
        <v>0</v>
      </c>
      <c r="L367" s="3">
        <v>1662</v>
      </c>
      <c r="M367" s="3">
        <v>40</v>
      </c>
      <c r="N367" s="4">
        <v>45016</v>
      </c>
      <c r="O367" s="10">
        <v>359593.04810000001</v>
      </c>
      <c r="P367" s="1">
        <f>$C$3+F367*$C$4+H367*$C$6+J367*$C$8+K367*$C$9+L367*$C$10+M367*$C$11</f>
        <v>336814.77449982002</v>
      </c>
      <c r="Q367" s="1">
        <f>(O367-P367)/O367</f>
        <v>6.3344588335438379E-2</v>
      </c>
      <c r="R367" s="1"/>
      <c r="S367" s="1"/>
    </row>
    <row r="368" spans="1:19" x14ac:dyDescent="0.3">
      <c r="A368" s="2">
        <v>683</v>
      </c>
      <c r="B368" s="3" t="s">
        <v>74</v>
      </c>
      <c r="C368" s="3" t="s">
        <v>89</v>
      </c>
      <c r="D368" s="3" t="s">
        <v>18</v>
      </c>
      <c r="E368" s="3" t="s">
        <v>23</v>
      </c>
      <c r="F368" s="3">
        <f>IF(D368="Urban",1,0)</f>
        <v>1</v>
      </c>
      <c r="G368" s="3">
        <v>24543</v>
      </c>
      <c r="H368" s="3">
        <v>2</v>
      </c>
      <c r="I368" s="3">
        <v>82625</v>
      </c>
      <c r="J368" s="3">
        <f>IF(E368="Cold",1,0)</f>
        <v>0</v>
      </c>
      <c r="K368" s="3">
        <f>IF(E368="Hot",1,0)</f>
        <v>0</v>
      </c>
      <c r="L368" s="3">
        <v>2135</v>
      </c>
      <c r="M368" s="3">
        <v>84</v>
      </c>
      <c r="N368" s="4">
        <v>44562</v>
      </c>
      <c r="O368" s="10">
        <v>402287.29609999998</v>
      </c>
      <c r="P368" s="1">
        <f>$C$3+F368*$C$4+H368*$C$6+J368*$C$8+K368*$C$9+L368*$C$10+M368*$C$11</f>
        <v>376853.89585949527</v>
      </c>
      <c r="Q368" s="1">
        <f>(O368-P368)/O368</f>
        <v>6.3221982118427403E-2</v>
      </c>
      <c r="R368" s="1"/>
      <c r="S368" s="1"/>
    </row>
    <row r="369" spans="1:19" x14ac:dyDescent="0.3">
      <c r="A369" s="2">
        <v>620</v>
      </c>
      <c r="B369" s="3" t="s">
        <v>122</v>
      </c>
      <c r="C369" s="3" t="s">
        <v>138</v>
      </c>
      <c r="D369" s="3" t="s">
        <v>14</v>
      </c>
      <c r="E369" s="3" t="s">
        <v>23</v>
      </c>
      <c r="F369" s="3">
        <f>IF(D369="Urban",1,0)</f>
        <v>0</v>
      </c>
      <c r="G369" s="3">
        <v>20241</v>
      </c>
      <c r="H369" s="3">
        <v>6</v>
      </c>
      <c r="I369" s="3">
        <v>99072</v>
      </c>
      <c r="J369" s="3">
        <f>IF(E369="Cold",1,0)</f>
        <v>0</v>
      </c>
      <c r="K369" s="3">
        <f>IF(E369="Hot",1,0)</f>
        <v>0</v>
      </c>
      <c r="L369" s="3">
        <v>2069</v>
      </c>
      <c r="M369" s="3">
        <v>49</v>
      </c>
      <c r="N369" s="4">
        <v>44743</v>
      </c>
      <c r="O369" s="10">
        <v>337505.6765</v>
      </c>
      <c r="P369" s="1">
        <f>$C$3+F369*$C$4+H369*$C$6+J369*$C$8+K369*$C$9+L369*$C$10+M369*$C$11</f>
        <v>316230.05890773656</v>
      </c>
      <c r="Q369" s="1">
        <f>(O369-P369)/O369</f>
        <v>6.3037806690825968E-2</v>
      </c>
      <c r="R369" s="1"/>
      <c r="S369" s="1"/>
    </row>
    <row r="370" spans="1:19" x14ac:dyDescent="0.3">
      <c r="A370" s="2">
        <v>837</v>
      </c>
      <c r="B370" s="3" t="s">
        <v>57</v>
      </c>
      <c r="C370" s="3" t="s">
        <v>116</v>
      </c>
      <c r="D370" s="3" t="s">
        <v>18</v>
      </c>
      <c r="E370" s="3" t="s">
        <v>15</v>
      </c>
      <c r="F370" s="3">
        <f>IF(D370="Urban",1,0)</f>
        <v>1</v>
      </c>
      <c r="G370" s="3">
        <v>16098</v>
      </c>
      <c r="H370" s="3">
        <v>9</v>
      </c>
      <c r="I370" s="3">
        <v>95790</v>
      </c>
      <c r="J370" s="3">
        <f>IF(E370="Cold",1,0)</f>
        <v>1</v>
      </c>
      <c r="K370" s="3">
        <f>IF(E370="Hot",1,0)</f>
        <v>0</v>
      </c>
      <c r="L370" s="3">
        <v>2813</v>
      </c>
      <c r="M370" s="3">
        <v>77</v>
      </c>
      <c r="N370" s="4">
        <v>45430</v>
      </c>
      <c r="O370" s="10">
        <v>387028.04979999998</v>
      </c>
      <c r="P370" s="1">
        <f>$C$3+F370*$C$4+H370*$C$6+J370*$C$8+K370*$C$9+L370*$C$10+M370*$C$11</f>
        <v>362638.97215855558</v>
      </c>
      <c r="Q370" s="1">
        <f>(O370-P370)/O370</f>
        <v>6.3016305030210759E-2</v>
      </c>
      <c r="R370" s="1"/>
      <c r="S370" s="1"/>
    </row>
    <row r="371" spans="1:19" x14ac:dyDescent="0.3">
      <c r="A371" s="2">
        <v>843</v>
      </c>
      <c r="B371" s="3" t="s">
        <v>44</v>
      </c>
      <c r="C371" s="3" t="s">
        <v>65</v>
      </c>
      <c r="D371" s="3" t="s">
        <v>14</v>
      </c>
      <c r="E371" s="3" t="s">
        <v>23</v>
      </c>
      <c r="F371" s="3">
        <f>IF(D371="Urban",1,0)</f>
        <v>0</v>
      </c>
      <c r="G371" s="3">
        <v>29207</v>
      </c>
      <c r="H371" s="3">
        <v>4</v>
      </c>
      <c r="I371" s="3">
        <v>86545</v>
      </c>
      <c r="J371" s="3">
        <f>IF(E371="Cold",1,0)</f>
        <v>0</v>
      </c>
      <c r="K371" s="3">
        <f>IF(E371="Hot",1,0)</f>
        <v>0</v>
      </c>
      <c r="L371" s="3">
        <v>2448</v>
      </c>
      <c r="M371" s="3">
        <v>35</v>
      </c>
      <c r="N371" s="4">
        <v>44968</v>
      </c>
      <c r="O371" s="10">
        <v>342854.36060000001</v>
      </c>
      <c r="P371" s="1">
        <f>$C$3+F371*$C$4+H371*$C$6+J371*$C$8+K371*$C$9+L371*$C$10+M371*$C$11</f>
        <v>321378.75596697291</v>
      </c>
      <c r="Q371" s="1">
        <f>(O371-P371)/O371</f>
        <v>6.2637688479284595E-2</v>
      </c>
      <c r="R371" s="1"/>
      <c r="S371" s="1"/>
    </row>
    <row r="372" spans="1:19" x14ac:dyDescent="0.3">
      <c r="A372" s="2">
        <v>699</v>
      </c>
      <c r="B372" s="3" t="s">
        <v>12</v>
      </c>
      <c r="C372" s="3" t="s">
        <v>95</v>
      </c>
      <c r="D372" s="3" t="s">
        <v>14</v>
      </c>
      <c r="E372" s="3" t="s">
        <v>23</v>
      </c>
      <c r="F372" s="3">
        <f>IF(D372="Urban",1,0)</f>
        <v>0</v>
      </c>
      <c r="G372" s="3">
        <v>16741</v>
      </c>
      <c r="H372" s="3">
        <v>1</v>
      </c>
      <c r="I372" s="3">
        <v>97378</v>
      </c>
      <c r="J372" s="3">
        <f>IF(E372="Cold",1,0)</f>
        <v>0</v>
      </c>
      <c r="K372" s="3">
        <f>IF(E372="Hot",1,0)</f>
        <v>0</v>
      </c>
      <c r="L372" s="3">
        <v>2354</v>
      </c>
      <c r="M372" s="3">
        <v>98</v>
      </c>
      <c r="N372" s="4">
        <v>45265</v>
      </c>
      <c r="O372" s="10">
        <v>364547.27250000002</v>
      </c>
      <c r="P372" s="1">
        <f>$C$3+F372*$C$4+H372*$C$6+J372*$C$8+K372*$C$9+L372*$C$10+M372*$C$11</f>
        <v>341771.57822863857</v>
      </c>
      <c r="Q372" s="1">
        <f>(O372-P372)/O372</f>
        <v>6.247665526385595E-2</v>
      </c>
      <c r="R372" s="1"/>
      <c r="S372" s="1"/>
    </row>
    <row r="373" spans="1:19" x14ac:dyDescent="0.3">
      <c r="A373" s="2">
        <v>225</v>
      </c>
      <c r="B373" s="3" t="s">
        <v>74</v>
      </c>
      <c r="C373" s="3" t="s">
        <v>113</v>
      </c>
      <c r="D373" s="3" t="s">
        <v>14</v>
      </c>
      <c r="E373" s="3" t="s">
        <v>21</v>
      </c>
      <c r="F373" s="3">
        <f>IF(D373="Urban",1,0)</f>
        <v>0</v>
      </c>
      <c r="G373" s="3">
        <v>3670</v>
      </c>
      <c r="H373" s="3">
        <v>1</v>
      </c>
      <c r="I373" s="3">
        <v>96581</v>
      </c>
      <c r="J373" s="3">
        <f>IF(E373="Cold",1,0)</f>
        <v>0</v>
      </c>
      <c r="K373" s="3">
        <f>IF(E373="Hot",1,0)</f>
        <v>1</v>
      </c>
      <c r="L373" s="3">
        <v>2969</v>
      </c>
      <c r="M373" s="3">
        <v>92</v>
      </c>
      <c r="N373" s="4">
        <v>45543</v>
      </c>
      <c r="O373" s="10">
        <v>376969.51040000003</v>
      </c>
      <c r="P373" s="1">
        <f>$C$3+F373*$C$4+H373*$C$6+J373*$C$8+K373*$C$9+L373*$C$10+M373*$C$11</f>
        <v>353480.09555708955</v>
      </c>
      <c r="Q373" s="1">
        <f>(O373-P373)/O373</f>
        <v>6.231117953806399E-2</v>
      </c>
      <c r="R373" s="1"/>
      <c r="S373" s="1"/>
    </row>
    <row r="374" spans="1:19" x14ac:dyDescent="0.3">
      <c r="A374" s="2">
        <v>259</v>
      </c>
      <c r="B374" s="3" t="s">
        <v>37</v>
      </c>
      <c r="C374" s="3" t="s">
        <v>118</v>
      </c>
      <c r="D374" s="3" t="s">
        <v>18</v>
      </c>
      <c r="E374" s="3" t="s">
        <v>23</v>
      </c>
      <c r="F374" s="3">
        <f>IF(D374="Urban",1,0)</f>
        <v>1</v>
      </c>
      <c r="G374" s="3">
        <v>2454</v>
      </c>
      <c r="H374" s="3">
        <v>5</v>
      </c>
      <c r="I374" s="3">
        <v>71503</v>
      </c>
      <c r="J374" s="3">
        <f>IF(E374="Cold",1,0)</f>
        <v>0</v>
      </c>
      <c r="K374" s="3">
        <f>IF(E374="Hot",1,0)</f>
        <v>0</v>
      </c>
      <c r="L374" s="3">
        <v>2510</v>
      </c>
      <c r="M374" s="3">
        <v>24</v>
      </c>
      <c r="N374" s="4">
        <v>45109</v>
      </c>
      <c r="O374" s="10">
        <v>387101.78169999999</v>
      </c>
      <c r="P374" s="1">
        <f>$C$3+F374*$C$4+H374*$C$6+J374*$C$8+K374*$C$9+L374*$C$10+M374*$C$11</f>
        <v>362993.69493804564</v>
      </c>
      <c r="Q374" s="1">
        <f>(O374-P374)/O374</f>
        <v>6.2278418497794162E-2</v>
      </c>
      <c r="R374" s="1"/>
      <c r="S374" s="1"/>
    </row>
    <row r="375" spans="1:19" x14ac:dyDescent="0.3">
      <c r="A375" s="2">
        <v>38</v>
      </c>
      <c r="B375" s="3" t="s">
        <v>44</v>
      </c>
      <c r="C375" s="3" t="s">
        <v>65</v>
      </c>
      <c r="D375" s="3" t="s">
        <v>14</v>
      </c>
      <c r="E375" s="3" t="s">
        <v>15</v>
      </c>
      <c r="F375" s="3">
        <f>IF(D375="Urban",1,0)</f>
        <v>0</v>
      </c>
      <c r="G375" s="3">
        <v>12808</v>
      </c>
      <c r="H375" s="3">
        <v>3</v>
      </c>
      <c r="I375" s="3">
        <v>69099</v>
      </c>
      <c r="J375" s="3">
        <f>IF(E375="Cold",1,0)</f>
        <v>1</v>
      </c>
      <c r="K375" s="3">
        <f>IF(E375="Hot",1,0)</f>
        <v>0</v>
      </c>
      <c r="L375" s="3">
        <v>2913</v>
      </c>
      <c r="M375" s="3">
        <v>71</v>
      </c>
      <c r="N375" s="4">
        <v>44940</v>
      </c>
      <c r="O375" s="10">
        <v>345219.97859999997</v>
      </c>
      <c r="P375" s="1">
        <f>$C$3+F375*$C$4+H375*$C$6+J375*$C$8+K375*$C$9+L375*$C$10+M375*$C$11</f>
        <v>323767.65311328304</v>
      </c>
      <c r="Q375" s="1">
        <f>(O375-P375)/O375</f>
        <v>6.2141031274361283E-2</v>
      </c>
      <c r="R375" s="1"/>
      <c r="S375" s="1"/>
    </row>
    <row r="376" spans="1:19" x14ac:dyDescent="0.3">
      <c r="A376" s="2">
        <v>923</v>
      </c>
      <c r="B376" s="3" t="s">
        <v>122</v>
      </c>
      <c r="C376" s="3" t="s">
        <v>222</v>
      </c>
      <c r="D376" s="3" t="s">
        <v>18</v>
      </c>
      <c r="E376" s="3" t="s">
        <v>23</v>
      </c>
      <c r="F376" s="3">
        <f>IF(D376="Urban",1,0)</f>
        <v>1</v>
      </c>
      <c r="G376" s="3">
        <v>17278</v>
      </c>
      <c r="H376" s="3">
        <v>9</v>
      </c>
      <c r="I376" s="3">
        <v>95676</v>
      </c>
      <c r="J376" s="3">
        <f>IF(E376="Cold",1,0)</f>
        <v>0</v>
      </c>
      <c r="K376" s="3">
        <f>IF(E376="Hot",1,0)</f>
        <v>0</v>
      </c>
      <c r="L376" s="3">
        <v>1239</v>
      </c>
      <c r="M376" s="3">
        <v>81</v>
      </c>
      <c r="N376" s="4">
        <v>44388</v>
      </c>
      <c r="O376" s="10">
        <v>374655.89620000002</v>
      </c>
      <c r="P376" s="1">
        <f>$C$3+F376*$C$4+H376*$C$6+J376*$C$8+K376*$C$9+L376*$C$10+M376*$C$11</f>
        <v>351397.00476863829</v>
      </c>
      <c r="Q376" s="1">
        <f>(O376-P376)/O376</f>
        <v>6.208067634132626E-2</v>
      </c>
      <c r="R376" s="1"/>
      <c r="S376" s="1"/>
    </row>
    <row r="377" spans="1:19" x14ac:dyDescent="0.3">
      <c r="A377" s="2">
        <v>937</v>
      </c>
      <c r="B377" s="3" t="s">
        <v>35</v>
      </c>
      <c r="C377" s="3" t="s">
        <v>36</v>
      </c>
      <c r="D377" s="3" t="s">
        <v>14</v>
      </c>
      <c r="E377" s="3" t="s">
        <v>21</v>
      </c>
      <c r="F377" s="3">
        <f>IF(D377="Urban",1,0)</f>
        <v>0</v>
      </c>
      <c r="G377" s="3">
        <v>19537</v>
      </c>
      <c r="H377" s="3">
        <v>6</v>
      </c>
      <c r="I377" s="3">
        <v>55176</v>
      </c>
      <c r="J377" s="3">
        <f>IF(E377="Cold",1,0)</f>
        <v>0</v>
      </c>
      <c r="K377" s="3">
        <f>IF(E377="Hot",1,0)</f>
        <v>1</v>
      </c>
      <c r="L377" s="3">
        <v>2467</v>
      </c>
      <c r="M377" s="3">
        <v>43</v>
      </c>
      <c r="N377" s="4">
        <v>44136</v>
      </c>
      <c r="O377" s="10">
        <v>345003.57520000002</v>
      </c>
      <c r="P377" s="1">
        <f>$C$3+F377*$C$4+H377*$C$6+J377*$C$8+K377*$C$9+L377*$C$10+M377*$C$11</f>
        <v>323607.89623792807</v>
      </c>
      <c r="Q377" s="1">
        <f>(O377-P377)/O377</f>
        <v>6.201581809599737E-2</v>
      </c>
      <c r="R377" s="1"/>
      <c r="S377" s="1"/>
    </row>
    <row r="378" spans="1:19" x14ac:dyDescent="0.3">
      <c r="A378" s="2">
        <v>790</v>
      </c>
      <c r="B378" s="3" t="s">
        <v>19</v>
      </c>
      <c r="C378" s="3" t="s">
        <v>155</v>
      </c>
      <c r="D378" s="3" t="s">
        <v>18</v>
      </c>
      <c r="E378" s="3" t="s">
        <v>15</v>
      </c>
      <c r="F378" s="3">
        <f>IF(D378="Urban",1,0)</f>
        <v>1</v>
      </c>
      <c r="G378" s="3">
        <v>6819</v>
      </c>
      <c r="H378" s="3">
        <v>7</v>
      </c>
      <c r="I378" s="3">
        <v>89654</v>
      </c>
      <c r="J378" s="3">
        <f>IF(E378="Cold",1,0)</f>
        <v>1</v>
      </c>
      <c r="K378" s="3">
        <f>IF(E378="Hot",1,0)</f>
        <v>0</v>
      </c>
      <c r="L378" s="3">
        <v>1794</v>
      </c>
      <c r="M378" s="3">
        <v>39</v>
      </c>
      <c r="N378" s="4">
        <v>44328</v>
      </c>
      <c r="O378" s="10">
        <v>354442.4215</v>
      </c>
      <c r="P378" s="1">
        <f>$C$3+F378*$C$4+H378*$C$6+J378*$C$8+K378*$C$9+L378*$C$10+M378*$C$11</f>
        <v>332490.19157680363</v>
      </c>
      <c r="Q378" s="1">
        <f>(O378-P378)/O378</f>
        <v>6.1934544489044382E-2</v>
      </c>
      <c r="R378" s="1"/>
      <c r="S378" s="1"/>
    </row>
    <row r="379" spans="1:19" x14ac:dyDescent="0.3">
      <c r="A379" s="2">
        <v>870</v>
      </c>
      <c r="B379" s="3" t="s">
        <v>28</v>
      </c>
      <c r="C379" s="3" t="s">
        <v>49</v>
      </c>
      <c r="D379" s="3" t="s">
        <v>18</v>
      </c>
      <c r="E379" s="3" t="s">
        <v>21</v>
      </c>
      <c r="F379" s="3">
        <f>IF(D379="Urban",1,0)</f>
        <v>1</v>
      </c>
      <c r="G379" s="3">
        <v>12146</v>
      </c>
      <c r="H379" s="3">
        <v>5</v>
      </c>
      <c r="I379" s="3">
        <v>99318</v>
      </c>
      <c r="J379" s="3">
        <f>IF(E379="Cold",1,0)</f>
        <v>0</v>
      </c>
      <c r="K379" s="3">
        <f>IF(E379="Hot",1,0)</f>
        <v>1</v>
      </c>
      <c r="L379" s="3">
        <v>1255</v>
      </c>
      <c r="M379" s="3">
        <v>20</v>
      </c>
      <c r="N379" s="4">
        <v>45180</v>
      </c>
      <c r="O379" s="10">
        <v>360310.21970000002</v>
      </c>
      <c r="P379" s="1">
        <f>$C$3+F379*$C$4+H379*$C$6+J379*$C$8+K379*$C$9+L379*$C$10+M379*$C$11</f>
        <v>337998.98755435558</v>
      </c>
      <c r="Q379" s="1">
        <f>(O379-P379)/O379</f>
        <v>6.1922285091500093E-2</v>
      </c>
      <c r="R379" s="1"/>
      <c r="S379" s="1"/>
    </row>
    <row r="380" spans="1:19" x14ac:dyDescent="0.3">
      <c r="A380" s="2">
        <v>229</v>
      </c>
      <c r="B380" s="3" t="s">
        <v>33</v>
      </c>
      <c r="C380" s="3" t="s">
        <v>80</v>
      </c>
      <c r="D380" s="3" t="s">
        <v>18</v>
      </c>
      <c r="E380" s="3" t="s">
        <v>21</v>
      </c>
      <c r="F380" s="3">
        <f>IF(D380="Urban",1,0)</f>
        <v>1</v>
      </c>
      <c r="G380" s="3">
        <v>4920</v>
      </c>
      <c r="H380" s="3">
        <v>7</v>
      </c>
      <c r="I380" s="3">
        <v>74050</v>
      </c>
      <c r="J380" s="3">
        <f>IF(E380="Cold",1,0)</f>
        <v>0</v>
      </c>
      <c r="K380" s="3">
        <f>IF(E380="Hot",1,0)</f>
        <v>1</v>
      </c>
      <c r="L380" s="3">
        <v>2119</v>
      </c>
      <c r="M380" s="3">
        <v>68</v>
      </c>
      <c r="N380" s="4">
        <v>44727</v>
      </c>
      <c r="O380" s="10">
        <v>392393.93589999998</v>
      </c>
      <c r="P380" s="1">
        <f>$C$3+F380*$C$4+H380*$C$6+J380*$C$8+K380*$C$9+L380*$C$10+M380*$C$11</f>
        <v>368136.72560764209</v>
      </c>
      <c r="Q380" s="1">
        <f>(O380-P380)/O380</f>
        <v>6.1818514694222351E-2</v>
      </c>
      <c r="R380" s="1"/>
      <c r="S380" s="1"/>
    </row>
    <row r="381" spans="1:19" x14ac:dyDescent="0.3">
      <c r="A381" s="2">
        <v>526</v>
      </c>
      <c r="B381" s="3" t="s">
        <v>74</v>
      </c>
      <c r="C381" s="3" t="s">
        <v>113</v>
      </c>
      <c r="D381" s="3" t="s">
        <v>14</v>
      </c>
      <c r="E381" s="3" t="s">
        <v>15</v>
      </c>
      <c r="F381" s="3">
        <f>IF(D381="Urban",1,0)</f>
        <v>0</v>
      </c>
      <c r="G381" s="3">
        <v>12250</v>
      </c>
      <c r="H381" s="3">
        <v>3</v>
      </c>
      <c r="I381" s="3">
        <v>83255</v>
      </c>
      <c r="J381" s="3">
        <f>IF(E381="Cold",1,0)</f>
        <v>1</v>
      </c>
      <c r="K381" s="3">
        <f>IF(E381="Hot",1,0)</f>
        <v>0</v>
      </c>
      <c r="L381" s="3">
        <v>2179</v>
      </c>
      <c r="M381" s="3">
        <v>79</v>
      </c>
      <c r="N381" s="4">
        <v>45407</v>
      </c>
      <c r="O381" s="10">
        <v>332096.28850000002</v>
      </c>
      <c r="P381" s="1">
        <f>$C$3+F381*$C$4+H381*$C$6+J381*$C$8+K381*$C$9+L381*$C$10+M381*$C$11</f>
        <v>311585.01817374432</v>
      </c>
      <c r="Q381" s="1">
        <f>(O381-P381)/O381</f>
        <v>6.1763021860016067E-2</v>
      </c>
      <c r="R381" s="1"/>
      <c r="S381" s="1"/>
    </row>
    <row r="382" spans="1:19" x14ac:dyDescent="0.3">
      <c r="A382" s="2">
        <v>282</v>
      </c>
      <c r="B382" s="3" t="s">
        <v>37</v>
      </c>
      <c r="C382" s="3" t="s">
        <v>90</v>
      </c>
      <c r="D382" s="3" t="s">
        <v>14</v>
      </c>
      <c r="E382" s="3" t="s">
        <v>23</v>
      </c>
      <c r="F382" s="3">
        <f>IF(D382="Urban",1,0)</f>
        <v>0</v>
      </c>
      <c r="G382" s="3">
        <v>23666</v>
      </c>
      <c r="H382" s="3">
        <v>8</v>
      </c>
      <c r="I382" s="3">
        <v>90265</v>
      </c>
      <c r="J382" s="3">
        <f>IF(E382="Cold",1,0)</f>
        <v>0</v>
      </c>
      <c r="K382" s="3">
        <f>IF(E382="Hot",1,0)</f>
        <v>0</v>
      </c>
      <c r="L382" s="3">
        <v>1414</v>
      </c>
      <c r="M382" s="3">
        <v>97</v>
      </c>
      <c r="N382" s="4">
        <v>44382</v>
      </c>
      <c r="O382" s="10">
        <v>336805.32659999997</v>
      </c>
      <c r="P382" s="1">
        <f>$C$3+F382*$C$4+H382*$C$6+J382*$C$8+K382*$C$9+L382*$C$10+M382*$C$11</f>
        <v>316053.03697320662</v>
      </c>
      <c r="Q382" s="1">
        <f>(O382-P382)/O382</f>
        <v>6.1615087374907791E-2</v>
      </c>
      <c r="R382" s="1"/>
      <c r="S382" s="1"/>
    </row>
    <row r="383" spans="1:19" x14ac:dyDescent="0.3">
      <c r="A383" s="2">
        <v>58</v>
      </c>
      <c r="B383" s="3" t="s">
        <v>44</v>
      </c>
      <c r="C383" s="3" t="s">
        <v>82</v>
      </c>
      <c r="D383" s="3" t="s">
        <v>14</v>
      </c>
      <c r="E383" s="3" t="s">
        <v>21</v>
      </c>
      <c r="F383" s="3">
        <f>IF(D383="Urban",1,0)</f>
        <v>0</v>
      </c>
      <c r="G383" s="3">
        <v>1278</v>
      </c>
      <c r="H383" s="3">
        <v>7</v>
      </c>
      <c r="I383" s="3">
        <v>79249</v>
      </c>
      <c r="J383" s="3">
        <f>IF(E383="Cold",1,0)</f>
        <v>0</v>
      </c>
      <c r="K383" s="3">
        <f>IF(E383="Hot",1,0)</f>
        <v>1</v>
      </c>
      <c r="L383" s="3">
        <v>2529</v>
      </c>
      <c r="M383" s="3">
        <v>27</v>
      </c>
      <c r="N383" s="4">
        <v>44840</v>
      </c>
      <c r="O383" s="10">
        <v>339891.71289999998</v>
      </c>
      <c r="P383" s="1">
        <f>$C$3+F383*$C$4+H383*$C$6+J383*$C$8+K383*$C$9+L383*$C$10+M383*$C$11</f>
        <v>318963.45520204213</v>
      </c>
      <c r="Q383" s="1">
        <f>(O383-P383)/O383</f>
        <v>6.1573309685591514E-2</v>
      </c>
      <c r="R383" s="1"/>
      <c r="S383" s="1"/>
    </row>
    <row r="384" spans="1:19" x14ac:dyDescent="0.3">
      <c r="A384" s="2">
        <v>617</v>
      </c>
      <c r="B384" s="3" t="s">
        <v>40</v>
      </c>
      <c r="C384" s="3" t="s">
        <v>182</v>
      </c>
      <c r="D384" s="3" t="s">
        <v>14</v>
      </c>
      <c r="E384" s="3" t="s">
        <v>21</v>
      </c>
      <c r="F384" s="3">
        <f>IF(D384="Urban",1,0)</f>
        <v>0</v>
      </c>
      <c r="G384" s="3">
        <v>27533</v>
      </c>
      <c r="H384" s="3">
        <v>0</v>
      </c>
      <c r="I384" s="3">
        <v>85259</v>
      </c>
      <c r="J384" s="3">
        <f>IF(E384="Cold",1,0)</f>
        <v>0</v>
      </c>
      <c r="K384" s="3">
        <f>IF(E384="Hot",1,0)</f>
        <v>1</v>
      </c>
      <c r="L384" s="3">
        <v>1362</v>
      </c>
      <c r="M384" s="3">
        <v>69</v>
      </c>
      <c r="N384" s="4">
        <v>45531</v>
      </c>
      <c r="O384" s="10">
        <v>335942.56060000003</v>
      </c>
      <c r="P384" s="1">
        <f>$C$3+F384*$C$4+H384*$C$6+J384*$C$8+K384*$C$9+L384*$C$10+M384*$C$11</f>
        <v>315269.9220104022</v>
      </c>
      <c r="Q384" s="1">
        <f>(O384-P384)/O384</f>
        <v>6.1536229743192082E-2</v>
      </c>
      <c r="R384" s="1"/>
      <c r="S384" s="1"/>
    </row>
    <row r="385" spans="1:19" x14ac:dyDescent="0.3">
      <c r="A385" s="2">
        <v>193</v>
      </c>
      <c r="B385" s="3" t="s">
        <v>31</v>
      </c>
      <c r="C385" s="3" t="s">
        <v>63</v>
      </c>
      <c r="D385" s="3" t="s">
        <v>14</v>
      </c>
      <c r="E385" s="3" t="s">
        <v>23</v>
      </c>
      <c r="F385" s="3">
        <f>IF(D385="Urban",1,0)</f>
        <v>0</v>
      </c>
      <c r="G385" s="3">
        <v>11868</v>
      </c>
      <c r="H385" s="3">
        <v>2</v>
      </c>
      <c r="I385" s="3">
        <v>79629</v>
      </c>
      <c r="J385" s="3">
        <f>IF(E385="Cold",1,0)</f>
        <v>0</v>
      </c>
      <c r="K385" s="3">
        <f>IF(E385="Hot",1,0)</f>
        <v>0</v>
      </c>
      <c r="L385" s="3">
        <v>2267</v>
      </c>
      <c r="M385" s="3">
        <v>31</v>
      </c>
      <c r="N385" s="4">
        <v>44352</v>
      </c>
      <c r="O385" s="10">
        <v>339266.8222</v>
      </c>
      <c r="P385" s="1">
        <f>$C$3+F385*$C$4+H385*$C$6+J385*$C$8+K385*$C$9+L385*$C$10+M385*$C$11</f>
        <v>318433.80497103825</v>
      </c>
      <c r="Q385" s="1">
        <f>(O385-P385)/O385</f>
        <v>6.1405996300695001E-2</v>
      </c>
      <c r="R385" s="1"/>
      <c r="S385" s="1"/>
    </row>
    <row r="386" spans="1:19" x14ac:dyDescent="0.3">
      <c r="A386" s="2">
        <v>107</v>
      </c>
      <c r="B386" s="3" t="s">
        <v>53</v>
      </c>
      <c r="C386" s="3" t="s">
        <v>54</v>
      </c>
      <c r="D386" s="3" t="s">
        <v>18</v>
      </c>
      <c r="E386" s="3" t="s">
        <v>15</v>
      </c>
      <c r="F386" s="3">
        <f>IF(D386="Urban",1,0)</f>
        <v>1</v>
      </c>
      <c r="G386" s="3">
        <v>15707</v>
      </c>
      <c r="H386" s="3">
        <v>8</v>
      </c>
      <c r="I386" s="3">
        <v>95545</v>
      </c>
      <c r="J386" s="3">
        <f>IF(E386="Cold",1,0)</f>
        <v>1</v>
      </c>
      <c r="K386" s="3">
        <f>IF(E386="Hot",1,0)</f>
        <v>0</v>
      </c>
      <c r="L386" s="3">
        <v>2828</v>
      </c>
      <c r="M386" s="3">
        <v>31</v>
      </c>
      <c r="N386" s="4">
        <v>44599</v>
      </c>
      <c r="O386" s="10">
        <v>372586.28200000001</v>
      </c>
      <c r="P386" s="1">
        <f>$C$3+F386*$C$4+H386*$C$6+J386*$C$8+K386*$C$9+L386*$C$10+M386*$C$11</f>
        <v>349709.84406695818</v>
      </c>
      <c r="Q386" s="1">
        <f>(O386-P386)/O386</f>
        <v>6.1399034366600297E-2</v>
      </c>
      <c r="R386" s="1"/>
      <c r="S386" s="1"/>
    </row>
    <row r="387" spans="1:19" x14ac:dyDescent="0.3">
      <c r="A387" s="2">
        <v>765</v>
      </c>
      <c r="B387" s="3" t="s">
        <v>31</v>
      </c>
      <c r="C387" s="3" t="s">
        <v>172</v>
      </c>
      <c r="D387" s="3" t="s">
        <v>14</v>
      </c>
      <c r="E387" s="3" t="s">
        <v>21</v>
      </c>
      <c r="F387" s="3">
        <f>IF(D387="Urban",1,0)</f>
        <v>0</v>
      </c>
      <c r="G387" s="3">
        <v>11410</v>
      </c>
      <c r="H387" s="3">
        <v>7</v>
      </c>
      <c r="I387" s="3">
        <v>84637</v>
      </c>
      <c r="J387" s="3">
        <f>IF(E387="Cold",1,0)</f>
        <v>0</v>
      </c>
      <c r="K387" s="3">
        <f>IF(E387="Hot",1,0)</f>
        <v>1</v>
      </c>
      <c r="L387" s="3">
        <v>1384</v>
      </c>
      <c r="M387" s="3">
        <v>67</v>
      </c>
      <c r="N387" s="4">
        <v>44856</v>
      </c>
      <c r="O387" s="10">
        <v>328610.84039999999</v>
      </c>
      <c r="P387" s="1">
        <f>$C$3+F387*$C$4+H387*$C$6+J387*$C$8+K387*$C$9+L387*$C$10+M387*$C$11</f>
        <v>308441.8334794878</v>
      </c>
      <c r="Q387" s="1">
        <f>(O387-P387)/O387</f>
        <v>6.1376572044797899E-2</v>
      </c>
      <c r="R387" s="1"/>
      <c r="S387" s="1"/>
    </row>
    <row r="388" spans="1:19" x14ac:dyDescent="0.3">
      <c r="A388" s="2">
        <v>147</v>
      </c>
      <c r="B388" s="3" t="s">
        <v>35</v>
      </c>
      <c r="C388" s="3" t="s">
        <v>139</v>
      </c>
      <c r="D388" s="3" t="s">
        <v>14</v>
      </c>
      <c r="E388" s="3" t="s">
        <v>21</v>
      </c>
      <c r="F388" s="3">
        <f>IF(D388="Urban",1,0)</f>
        <v>0</v>
      </c>
      <c r="G388" s="3">
        <v>20027</v>
      </c>
      <c r="H388" s="3">
        <v>1</v>
      </c>
      <c r="I388" s="3">
        <v>60091</v>
      </c>
      <c r="J388" s="3">
        <f>IF(E388="Cold",1,0)</f>
        <v>0</v>
      </c>
      <c r="K388" s="3">
        <f>IF(E388="Hot",1,0)</f>
        <v>1</v>
      </c>
      <c r="L388" s="3">
        <v>1836</v>
      </c>
      <c r="M388" s="3">
        <v>33</v>
      </c>
      <c r="N388" s="4">
        <v>45128</v>
      </c>
      <c r="O388" s="10">
        <v>333113.0845</v>
      </c>
      <c r="P388" s="1">
        <f>$C$3+F388*$C$4+H388*$C$6+J388*$C$8+K388*$C$9+L388*$C$10+M388*$C$11</f>
        <v>312683.18520113605</v>
      </c>
      <c r="Q388" s="1">
        <f>(O388-P388)/O388</f>
        <v>6.1330221625875377E-2</v>
      </c>
      <c r="R388" s="1"/>
      <c r="S388" s="1"/>
    </row>
    <row r="389" spans="1:19" x14ac:dyDescent="0.3">
      <c r="A389" s="2">
        <v>539</v>
      </c>
      <c r="B389" s="3" t="s">
        <v>33</v>
      </c>
      <c r="C389" s="3" t="s">
        <v>184</v>
      </c>
      <c r="D389" s="3" t="s">
        <v>14</v>
      </c>
      <c r="E389" s="3" t="s">
        <v>15</v>
      </c>
      <c r="F389" s="3">
        <f>IF(D389="Urban",1,0)</f>
        <v>0</v>
      </c>
      <c r="G389" s="3">
        <v>16390</v>
      </c>
      <c r="H389" s="3">
        <v>9</v>
      </c>
      <c r="I389" s="3">
        <v>74594</v>
      </c>
      <c r="J389" s="3">
        <f>IF(E389="Cold",1,0)</f>
        <v>1</v>
      </c>
      <c r="K389" s="3">
        <f>IF(E389="Hot",1,0)</f>
        <v>0</v>
      </c>
      <c r="L389" s="3">
        <v>2554</v>
      </c>
      <c r="M389" s="3">
        <v>99</v>
      </c>
      <c r="N389" s="4">
        <v>44107</v>
      </c>
      <c r="O389" s="10">
        <v>340403.27169999998</v>
      </c>
      <c r="P389" s="1">
        <f>$C$3+F389*$C$4+H389*$C$6+J389*$C$8+K389*$C$9+L389*$C$10+M389*$C$11</f>
        <v>319532.92690871417</v>
      </c>
      <c r="Q389" s="1">
        <f>(O389-P389)/O389</f>
        <v>6.1310646889666226E-2</v>
      </c>
      <c r="R389" s="1"/>
      <c r="S389" s="1"/>
    </row>
    <row r="390" spans="1:19" x14ac:dyDescent="0.3">
      <c r="A390" s="2">
        <v>855</v>
      </c>
      <c r="B390" s="3" t="s">
        <v>37</v>
      </c>
      <c r="C390" s="3" t="s">
        <v>118</v>
      </c>
      <c r="D390" s="3" t="s">
        <v>18</v>
      </c>
      <c r="E390" s="3" t="s">
        <v>23</v>
      </c>
      <c r="F390" s="3">
        <f>IF(D390="Urban",1,0)</f>
        <v>1</v>
      </c>
      <c r="G390" s="3">
        <v>743</v>
      </c>
      <c r="H390" s="3">
        <v>3</v>
      </c>
      <c r="I390" s="3">
        <v>71034</v>
      </c>
      <c r="J390" s="3">
        <f>IF(E390="Cold",1,0)</f>
        <v>0</v>
      </c>
      <c r="K390" s="3">
        <f>IF(E390="Hot",1,0)</f>
        <v>0</v>
      </c>
      <c r="L390" s="3">
        <v>2552</v>
      </c>
      <c r="M390" s="3">
        <v>76</v>
      </c>
      <c r="N390" s="4">
        <v>44023</v>
      </c>
      <c r="O390" s="10">
        <v>406683.45110000001</v>
      </c>
      <c r="P390" s="1">
        <f>$C$3+F390*$C$4+H390*$C$6+J390*$C$8+K390*$C$9+L390*$C$10+M390*$C$11</f>
        <v>381760.0480781009</v>
      </c>
      <c r="Q390" s="1">
        <f>(O390-P390)/O390</f>
        <v>6.12845272028801E-2</v>
      </c>
      <c r="R390" s="1"/>
      <c r="S390" s="1"/>
    </row>
    <row r="391" spans="1:19" x14ac:dyDescent="0.3">
      <c r="A391" s="2">
        <v>905</v>
      </c>
      <c r="B391" s="3" t="s">
        <v>57</v>
      </c>
      <c r="C391" s="3" t="s">
        <v>86</v>
      </c>
      <c r="D391" s="3" t="s">
        <v>14</v>
      </c>
      <c r="E391" s="3" t="s">
        <v>23</v>
      </c>
      <c r="F391" s="3">
        <f>IF(D391="Urban",1,0)</f>
        <v>0</v>
      </c>
      <c r="G391" s="3">
        <v>17037</v>
      </c>
      <c r="H391" s="3">
        <v>6</v>
      </c>
      <c r="I391" s="3">
        <v>92378</v>
      </c>
      <c r="J391" s="3">
        <f>IF(E391="Cold",1,0)</f>
        <v>0</v>
      </c>
      <c r="K391" s="3">
        <f>IF(E391="Hot",1,0)</f>
        <v>0</v>
      </c>
      <c r="L391" s="3">
        <v>1782</v>
      </c>
      <c r="M391" s="3">
        <v>29</v>
      </c>
      <c r="N391" s="4">
        <v>44503</v>
      </c>
      <c r="O391" s="10">
        <v>324180.24540000001</v>
      </c>
      <c r="P391" s="1">
        <f>$C$3+F391*$C$4+H391*$C$6+J391*$C$8+K391*$C$9+L391*$C$10+M391*$C$11</f>
        <v>304337.78470678319</v>
      </c>
      <c r="Q391" s="1">
        <f>(O391-P391)/O391</f>
        <v>6.1208111767370586E-2</v>
      </c>
      <c r="R391" s="1"/>
      <c r="S391" s="1"/>
    </row>
    <row r="392" spans="1:19" x14ac:dyDescent="0.3">
      <c r="A392" s="2">
        <v>785</v>
      </c>
      <c r="B392" s="3" t="s">
        <v>72</v>
      </c>
      <c r="C392" s="3" t="s">
        <v>151</v>
      </c>
      <c r="D392" s="3" t="s">
        <v>14</v>
      </c>
      <c r="E392" s="3" t="s">
        <v>21</v>
      </c>
      <c r="F392" s="3">
        <f>IF(D392="Urban",1,0)</f>
        <v>0</v>
      </c>
      <c r="G392" s="3">
        <v>16258</v>
      </c>
      <c r="H392" s="3">
        <v>8</v>
      </c>
      <c r="I392" s="3">
        <v>82873</v>
      </c>
      <c r="J392" s="3">
        <f>IF(E392="Cold",1,0)</f>
        <v>0</v>
      </c>
      <c r="K392" s="3">
        <f>IF(E392="Hot",1,0)</f>
        <v>1</v>
      </c>
      <c r="L392" s="3">
        <v>2462</v>
      </c>
      <c r="M392" s="3">
        <v>59</v>
      </c>
      <c r="N392" s="4">
        <v>44727</v>
      </c>
      <c r="O392" s="10">
        <v>347808.91310000001</v>
      </c>
      <c r="P392" s="1">
        <f>$C$3+F392*$C$4+H392*$C$6+J392*$C$8+K392*$C$9+L392*$C$10+M392*$C$11</f>
        <v>326539.59619970416</v>
      </c>
      <c r="Q392" s="1">
        <f>(O392-P392)/O392</f>
        <v>6.1152305473496059E-2</v>
      </c>
      <c r="R392" s="1"/>
      <c r="S392" s="1"/>
    </row>
    <row r="393" spans="1:19" x14ac:dyDescent="0.3">
      <c r="A393" s="2">
        <v>845</v>
      </c>
      <c r="B393" s="3" t="s">
        <v>35</v>
      </c>
      <c r="C393" s="3" t="s">
        <v>119</v>
      </c>
      <c r="D393" s="3" t="s">
        <v>18</v>
      </c>
      <c r="E393" s="3" t="s">
        <v>15</v>
      </c>
      <c r="F393" s="3">
        <f>IF(D393="Urban",1,0)</f>
        <v>1</v>
      </c>
      <c r="G393" s="3">
        <v>1423</v>
      </c>
      <c r="H393" s="3">
        <v>4</v>
      </c>
      <c r="I393" s="3">
        <v>63612</v>
      </c>
      <c r="J393" s="3">
        <f>IF(E393="Cold",1,0)</f>
        <v>1</v>
      </c>
      <c r="K393" s="3">
        <f>IF(E393="Hot",1,0)</f>
        <v>0</v>
      </c>
      <c r="L393" s="3">
        <v>2983</v>
      </c>
      <c r="M393" s="3">
        <v>37</v>
      </c>
      <c r="N393" s="4">
        <v>44987</v>
      </c>
      <c r="O393" s="10">
        <v>381775.42009999999</v>
      </c>
      <c r="P393" s="1">
        <f>$C$3+F393*$C$4+H393*$C$6+J393*$C$8+K393*$C$9+L393*$C$10+M393*$C$11</f>
        <v>358452.95773672307</v>
      </c>
      <c r="Q393" s="1">
        <f>(O393-P393)/O393</f>
        <v>6.1089481237864854E-2</v>
      </c>
      <c r="R393" s="1"/>
      <c r="S393" s="1"/>
    </row>
    <row r="394" spans="1:19" x14ac:dyDescent="0.3">
      <c r="A394" s="2">
        <v>662</v>
      </c>
      <c r="B394" s="3" t="s">
        <v>16</v>
      </c>
      <c r="C394" s="3" t="s">
        <v>22</v>
      </c>
      <c r="D394" s="3" t="s">
        <v>14</v>
      </c>
      <c r="E394" s="3" t="s">
        <v>15</v>
      </c>
      <c r="F394" s="3">
        <f>IF(D394="Urban",1,0)</f>
        <v>0</v>
      </c>
      <c r="G394" s="3">
        <v>26885</v>
      </c>
      <c r="H394" s="3">
        <v>0</v>
      </c>
      <c r="I394" s="3">
        <v>56518</v>
      </c>
      <c r="J394" s="3">
        <f>IF(E394="Cold",1,0)</f>
        <v>1</v>
      </c>
      <c r="K394" s="3">
        <f>IF(E394="Hot",1,0)</f>
        <v>0</v>
      </c>
      <c r="L394" s="3">
        <v>2391</v>
      </c>
      <c r="M394" s="3">
        <v>76</v>
      </c>
      <c r="N394" s="4">
        <v>44103</v>
      </c>
      <c r="O394" s="10">
        <v>338384.29369999998</v>
      </c>
      <c r="P394" s="1">
        <f>$C$3+F394*$C$4+H394*$C$6+J394*$C$8+K394*$C$9+L394*$C$10+M394*$C$11</f>
        <v>317741.5157834111</v>
      </c>
      <c r="Q394" s="1">
        <f>(O394-P394)/O394</f>
        <v>6.1003948176418805E-2</v>
      </c>
      <c r="R394" s="1"/>
      <c r="S394" s="1"/>
    </row>
    <row r="395" spans="1:19" x14ac:dyDescent="0.3">
      <c r="A395" s="2">
        <v>789</v>
      </c>
      <c r="B395" s="3" t="s">
        <v>122</v>
      </c>
      <c r="C395" s="3" t="s">
        <v>123</v>
      </c>
      <c r="D395" s="3" t="s">
        <v>18</v>
      </c>
      <c r="E395" s="3" t="s">
        <v>23</v>
      </c>
      <c r="F395" s="3">
        <f>IF(D395="Urban",1,0)</f>
        <v>1</v>
      </c>
      <c r="G395" s="3">
        <v>18117</v>
      </c>
      <c r="H395" s="3">
        <v>8</v>
      </c>
      <c r="I395" s="3">
        <v>83725</v>
      </c>
      <c r="J395" s="3">
        <f>IF(E395="Cold",1,0)</f>
        <v>0</v>
      </c>
      <c r="K395" s="3">
        <f>IF(E395="Hot",1,0)</f>
        <v>0</v>
      </c>
      <c r="L395" s="3">
        <v>2128</v>
      </c>
      <c r="M395" s="3">
        <v>99</v>
      </c>
      <c r="N395" s="4">
        <v>45446</v>
      </c>
      <c r="O395" s="10">
        <v>400028.47440000001</v>
      </c>
      <c r="P395" s="1">
        <f>$C$3+F395*$C$4+H395*$C$6+J395*$C$8+K395*$C$9+L395*$C$10+M395*$C$11</f>
        <v>375637.06106975663</v>
      </c>
      <c r="Q395" s="1">
        <f>(O395-P395)/O395</f>
        <v>6.0974192816718592E-2</v>
      </c>
      <c r="R395" s="1"/>
      <c r="S395" s="1"/>
    </row>
    <row r="396" spans="1:19" x14ac:dyDescent="0.3">
      <c r="A396" s="2">
        <v>874</v>
      </c>
      <c r="B396" s="3" t="s">
        <v>35</v>
      </c>
      <c r="C396" s="3" t="s">
        <v>177</v>
      </c>
      <c r="D396" s="3" t="s">
        <v>14</v>
      </c>
      <c r="E396" s="3" t="s">
        <v>21</v>
      </c>
      <c r="F396" s="3">
        <f>IF(D396="Urban",1,0)</f>
        <v>0</v>
      </c>
      <c r="G396" s="3">
        <v>12648</v>
      </c>
      <c r="H396" s="3">
        <v>5</v>
      </c>
      <c r="I396" s="3">
        <v>87542</v>
      </c>
      <c r="J396" s="3">
        <f>IF(E396="Cold",1,0)</f>
        <v>0</v>
      </c>
      <c r="K396" s="3">
        <f>IF(E396="Hot",1,0)</f>
        <v>1</v>
      </c>
      <c r="L396" s="3">
        <v>2424</v>
      </c>
      <c r="M396" s="3">
        <v>38</v>
      </c>
      <c r="N396" s="4">
        <v>44287</v>
      </c>
      <c r="O396" s="10">
        <v>342966.8175</v>
      </c>
      <c r="P396" s="1">
        <f>$C$3+F396*$C$4+H396*$C$6+J396*$C$8+K396*$C$9+L396*$C$10+M396*$C$11</f>
        <v>322158.69054918364</v>
      </c>
      <c r="Q396" s="1">
        <f>(O396-P396)/O396</f>
        <v>6.0670962580268765E-2</v>
      </c>
      <c r="R396" s="1"/>
      <c r="S396" s="1"/>
    </row>
    <row r="397" spans="1:19" x14ac:dyDescent="0.3">
      <c r="A397" s="2">
        <v>637</v>
      </c>
      <c r="B397" s="3" t="s">
        <v>74</v>
      </c>
      <c r="C397" s="3" t="s">
        <v>120</v>
      </c>
      <c r="D397" s="3" t="s">
        <v>18</v>
      </c>
      <c r="E397" s="3" t="s">
        <v>21</v>
      </c>
      <c r="F397" s="3">
        <f>IF(D397="Urban",1,0)</f>
        <v>1</v>
      </c>
      <c r="G397" s="3">
        <v>18192</v>
      </c>
      <c r="H397" s="3">
        <v>7</v>
      </c>
      <c r="I397" s="3">
        <v>80675</v>
      </c>
      <c r="J397" s="3">
        <f>IF(E397="Cold",1,0)</f>
        <v>0</v>
      </c>
      <c r="K397" s="3">
        <f>IF(E397="Hot",1,0)</f>
        <v>1</v>
      </c>
      <c r="L397" s="3">
        <v>1761</v>
      </c>
      <c r="M397" s="3">
        <v>29</v>
      </c>
      <c r="N397" s="4">
        <v>45502</v>
      </c>
      <c r="O397" s="10">
        <v>371502.9227</v>
      </c>
      <c r="P397" s="1">
        <f>$C$3+F397*$C$4+H397*$C$6+J397*$C$8+K397*$C$9+L397*$C$10+M397*$C$11</f>
        <v>348971.13018605497</v>
      </c>
      <c r="Q397" s="1">
        <f>(O397-P397)/O397</f>
        <v>6.0650377526478137E-2</v>
      </c>
      <c r="R397" s="1"/>
      <c r="S397" s="1"/>
    </row>
    <row r="398" spans="1:19" x14ac:dyDescent="0.3">
      <c r="A398" s="2">
        <v>11</v>
      </c>
      <c r="B398" s="3" t="s">
        <v>37</v>
      </c>
      <c r="C398" s="3" t="s">
        <v>38</v>
      </c>
      <c r="D398" s="3" t="s">
        <v>18</v>
      </c>
      <c r="E398" s="3" t="s">
        <v>21</v>
      </c>
      <c r="F398" s="3">
        <f>IF(D398="Urban",1,0)</f>
        <v>1</v>
      </c>
      <c r="G398" s="3">
        <v>17305</v>
      </c>
      <c r="H398" s="3">
        <v>5</v>
      </c>
      <c r="I398" s="3">
        <v>99501</v>
      </c>
      <c r="J398" s="3">
        <f>IF(E398="Cold",1,0)</f>
        <v>0</v>
      </c>
      <c r="K398" s="3">
        <f>IF(E398="Hot",1,0)</f>
        <v>1</v>
      </c>
      <c r="L398" s="3">
        <v>1901</v>
      </c>
      <c r="M398" s="3">
        <v>58</v>
      </c>
      <c r="N398" s="4">
        <v>44242</v>
      </c>
      <c r="O398" s="10">
        <v>385884.98629999999</v>
      </c>
      <c r="P398" s="1">
        <f>$C$3+F398*$C$4+H398*$C$6+J398*$C$8+K398*$C$9+L398*$C$10+M398*$C$11</f>
        <v>362603.98353996762</v>
      </c>
      <c r="Q398" s="1">
        <f>(O398-P398)/O398</f>
        <v>6.0331455191503437E-2</v>
      </c>
      <c r="R398" s="1"/>
      <c r="S398" s="1"/>
    </row>
    <row r="399" spans="1:19" x14ac:dyDescent="0.3">
      <c r="A399" s="2">
        <v>747</v>
      </c>
      <c r="B399" s="3" t="s">
        <v>72</v>
      </c>
      <c r="C399" s="3" t="s">
        <v>160</v>
      </c>
      <c r="D399" s="3" t="s">
        <v>18</v>
      </c>
      <c r="E399" s="3" t="s">
        <v>21</v>
      </c>
      <c r="F399" s="3">
        <f>IF(D399="Urban",1,0)</f>
        <v>1</v>
      </c>
      <c r="G399" s="3">
        <v>8133</v>
      </c>
      <c r="H399" s="3">
        <v>7</v>
      </c>
      <c r="I399" s="3">
        <v>81625</v>
      </c>
      <c r="J399" s="3">
        <f>IF(E399="Cold",1,0)</f>
        <v>0</v>
      </c>
      <c r="K399" s="3">
        <f>IF(E399="Hot",1,0)</f>
        <v>1</v>
      </c>
      <c r="L399" s="3">
        <v>2498</v>
      </c>
      <c r="M399" s="3">
        <v>65</v>
      </c>
      <c r="N399" s="4">
        <v>45334</v>
      </c>
      <c r="O399" s="10">
        <v>398689.91499999998</v>
      </c>
      <c r="P399" s="1">
        <f>$C$3+F399*$C$4+H399*$C$6+J399*$C$8+K399*$C$9+L399*$C$10+M399*$C$11</f>
        <v>374775.75771835353</v>
      </c>
      <c r="Q399" s="1">
        <f>(O399-P399)/O399</f>
        <v>5.998184649753794E-2</v>
      </c>
      <c r="R399" s="1"/>
      <c r="S399" s="1"/>
    </row>
    <row r="400" spans="1:19" x14ac:dyDescent="0.3">
      <c r="A400" s="2">
        <v>647</v>
      </c>
      <c r="B400" s="3" t="s">
        <v>26</v>
      </c>
      <c r="C400" s="3" t="s">
        <v>99</v>
      </c>
      <c r="D400" s="3" t="s">
        <v>18</v>
      </c>
      <c r="E400" s="3" t="s">
        <v>23</v>
      </c>
      <c r="F400" s="3">
        <f>IF(D400="Urban",1,0)</f>
        <v>1</v>
      </c>
      <c r="G400" s="3">
        <v>28573</v>
      </c>
      <c r="H400" s="3">
        <v>9</v>
      </c>
      <c r="I400" s="3">
        <v>70913</v>
      </c>
      <c r="J400" s="3">
        <f>IF(E400="Cold",1,0)</f>
        <v>0</v>
      </c>
      <c r="K400" s="3">
        <f>IF(E400="Hot",1,0)</f>
        <v>0</v>
      </c>
      <c r="L400" s="3">
        <v>1588</v>
      </c>
      <c r="M400" s="3">
        <v>54</v>
      </c>
      <c r="N400" s="4">
        <v>44435</v>
      </c>
      <c r="O400" s="10">
        <v>372345.67700000003</v>
      </c>
      <c r="P400" s="1">
        <f>$C$3+F400*$C$4+H400*$C$6+J400*$C$8+K400*$C$9+L400*$C$10+M400*$C$11</f>
        <v>350039.80457301118</v>
      </c>
      <c r="Q400" s="1">
        <f>(O400-P400)/O400</f>
        <v>5.9906355316672162E-2</v>
      </c>
      <c r="R400" s="1"/>
      <c r="S400" s="1"/>
    </row>
    <row r="401" spans="1:19" x14ac:dyDescent="0.3">
      <c r="A401" s="2">
        <v>587</v>
      </c>
      <c r="B401" s="3" t="s">
        <v>19</v>
      </c>
      <c r="C401" s="3" t="s">
        <v>20</v>
      </c>
      <c r="D401" s="3" t="s">
        <v>14</v>
      </c>
      <c r="E401" s="3" t="s">
        <v>21</v>
      </c>
      <c r="F401" s="3">
        <f>IF(D401="Urban",1,0)</f>
        <v>0</v>
      </c>
      <c r="G401" s="3">
        <v>6779</v>
      </c>
      <c r="H401" s="3">
        <v>8</v>
      </c>
      <c r="I401" s="3">
        <v>95280</v>
      </c>
      <c r="J401" s="3">
        <f>IF(E401="Cold",1,0)</f>
        <v>0</v>
      </c>
      <c r="K401" s="3">
        <f>IF(E401="Hot",1,0)</f>
        <v>1</v>
      </c>
      <c r="L401" s="3">
        <v>1454</v>
      </c>
      <c r="M401" s="3">
        <v>64</v>
      </c>
      <c r="N401" s="4">
        <v>43918</v>
      </c>
      <c r="O401" s="10">
        <v>327567.52669999999</v>
      </c>
      <c r="P401" s="1">
        <f>$C$3+F401*$C$4+H401*$C$6+J401*$C$8+K401*$C$9+L401*$C$10+M401*$C$11</f>
        <v>307964.03927473194</v>
      </c>
      <c r="Q401" s="1">
        <f>(O401-P401)/O401</f>
        <v>5.9845637395008748E-2</v>
      </c>
      <c r="R401" s="1"/>
      <c r="S401" s="1"/>
    </row>
    <row r="402" spans="1:19" x14ac:dyDescent="0.3">
      <c r="A402" s="2">
        <v>770</v>
      </c>
      <c r="B402" s="3" t="s">
        <v>55</v>
      </c>
      <c r="C402" s="3" t="s">
        <v>66</v>
      </c>
      <c r="D402" s="3" t="s">
        <v>18</v>
      </c>
      <c r="E402" s="3" t="s">
        <v>23</v>
      </c>
      <c r="F402" s="3">
        <f>IF(D402="Urban",1,0)</f>
        <v>1</v>
      </c>
      <c r="G402" s="3">
        <v>16331</v>
      </c>
      <c r="H402" s="3">
        <v>7</v>
      </c>
      <c r="I402" s="3">
        <v>97209</v>
      </c>
      <c r="J402" s="3">
        <f>IF(E402="Cold",1,0)</f>
        <v>0</v>
      </c>
      <c r="K402" s="3">
        <f>IF(E402="Hot",1,0)</f>
        <v>0</v>
      </c>
      <c r="L402" s="3">
        <v>2807</v>
      </c>
      <c r="M402" s="3">
        <v>20</v>
      </c>
      <c r="N402" s="4">
        <v>44672</v>
      </c>
      <c r="O402" s="10">
        <v>389036.96149999998</v>
      </c>
      <c r="P402" s="1">
        <f>$C$3+F402*$C$4+H402*$C$6+J402*$C$8+K402*$C$9+L402*$C$10+M402*$C$11</f>
        <v>365787.82355128694</v>
      </c>
      <c r="Q402" s="1">
        <f>(O402-P402)/O402</f>
        <v>5.9760743192811085E-2</v>
      </c>
      <c r="R402" s="1"/>
      <c r="S402" s="1"/>
    </row>
    <row r="403" spans="1:19" x14ac:dyDescent="0.3">
      <c r="A403" s="2">
        <v>988</v>
      </c>
      <c r="B403" s="3" t="s">
        <v>74</v>
      </c>
      <c r="C403" s="3" t="s">
        <v>89</v>
      </c>
      <c r="D403" s="3" t="s">
        <v>18</v>
      </c>
      <c r="E403" s="3" t="s">
        <v>15</v>
      </c>
      <c r="F403" s="3">
        <f>IF(D403="Urban",1,0)</f>
        <v>1</v>
      </c>
      <c r="G403" s="3">
        <v>26470</v>
      </c>
      <c r="H403" s="3">
        <v>3</v>
      </c>
      <c r="I403" s="3">
        <v>76073</v>
      </c>
      <c r="J403" s="3">
        <f>IF(E403="Cold",1,0)</f>
        <v>1</v>
      </c>
      <c r="K403" s="3">
        <f>IF(E403="Hot",1,0)</f>
        <v>0</v>
      </c>
      <c r="L403" s="3">
        <v>1955</v>
      </c>
      <c r="M403" s="3">
        <v>57</v>
      </c>
      <c r="N403" s="4">
        <v>44930</v>
      </c>
      <c r="O403" s="10">
        <v>366963.5858</v>
      </c>
      <c r="P403" s="1">
        <f>$C$3+F403*$C$4+H403*$C$6+J403*$C$8+K403*$C$9+L403*$C$10+M403*$C$11</f>
        <v>345051.80794358882</v>
      </c>
      <c r="Q403" s="1">
        <f>(O403-P403)/O403</f>
        <v>5.9711041379330178E-2</v>
      </c>
      <c r="R403" s="1"/>
      <c r="S403" s="1"/>
    </row>
    <row r="404" spans="1:19" x14ac:dyDescent="0.3">
      <c r="A404" s="2">
        <v>371</v>
      </c>
      <c r="B404" s="3" t="s">
        <v>122</v>
      </c>
      <c r="C404" s="3" t="s">
        <v>133</v>
      </c>
      <c r="D404" s="3" t="s">
        <v>18</v>
      </c>
      <c r="E404" s="3" t="s">
        <v>23</v>
      </c>
      <c r="F404" s="3">
        <f>IF(D404="Urban",1,0)</f>
        <v>1</v>
      </c>
      <c r="G404" s="3">
        <v>19156</v>
      </c>
      <c r="H404" s="3">
        <v>8</v>
      </c>
      <c r="I404" s="3">
        <v>96231</v>
      </c>
      <c r="J404" s="3">
        <f>IF(E404="Cold",1,0)</f>
        <v>0</v>
      </c>
      <c r="K404" s="3">
        <f>IF(E404="Hot",1,0)</f>
        <v>0</v>
      </c>
      <c r="L404" s="3">
        <v>1316</v>
      </c>
      <c r="M404" s="3">
        <v>78</v>
      </c>
      <c r="N404" s="4">
        <v>44846</v>
      </c>
      <c r="O404" s="10">
        <v>375347.29519999999</v>
      </c>
      <c r="P404" s="1">
        <f>$C$3+F404*$C$4+H404*$C$6+J404*$C$8+K404*$C$9+L404*$C$10+M404*$C$11</f>
        <v>352959.10522736749</v>
      </c>
      <c r="Q404" s="1">
        <f>(O404-P404)/O404</f>
        <v>5.9646599986029433E-2</v>
      </c>
      <c r="R404" s="1"/>
      <c r="S404" s="1"/>
    </row>
    <row r="405" spans="1:19" x14ac:dyDescent="0.3">
      <c r="A405" s="2">
        <v>737</v>
      </c>
      <c r="B405" s="3" t="s">
        <v>72</v>
      </c>
      <c r="C405" s="3" t="s">
        <v>145</v>
      </c>
      <c r="D405" s="3" t="s">
        <v>18</v>
      </c>
      <c r="E405" s="3" t="s">
        <v>21</v>
      </c>
      <c r="F405" s="3">
        <f>IF(D405="Urban",1,0)</f>
        <v>1</v>
      </c>
      <c r="G405" s="3">
        <v>7394</v>
      </c>
      <c r="H405" s="3">
        <v>2</v>
      </c>
      <c r="I405" s="3">
        <v>71600</v>
      </c>
      <c r="J405" s="3">
        <f>IF(E405="Cold",1,0)</f>
        <v>0</v>
      </c>
      <c r="K405" s="3">
        <f>IF(E405="Hot",1,0)</f>
        <v>1</v>
      </c>
      <c r="L405" s="3">
        <v>1070</v>
      </c>
      <c r="M405" s="3">
        <v>88</v>
      </c>
      <c r="N405" s="4">
        <v>45119</v>
      </c>
      <c r="O405" s="10">
        <v>380827.42930000002</v>
      </c>
      <c r="P405" s="1">
        <f>$C$3+F405*$C$4+H405*$C$6+J405*$C$8+K405*$C$9+L405*$C$10+M405*$C$11</f>
        <v>358116.86836756492</v>
      </c>
      <c r="Q405" s="1">
        <f>(O405-P405)/O405</f>
        <v>5.9634782542264467E-2</v>
      </c>
      <c r="R405" s="1"/>
      <c r="S405" s="1"/>
    </row>
    <row r="406" spans="1:19" x14ac:dyDescent="0.3">
      <c r="A406" s="2">
        <v>838</v>
      </c>
      <c r="B406" s="3" t="s">
        <v>16</v>
      </c>
      <c r="C406" s="3" t="s">
        <v>171</v>
      </c>
      <c r="D406" s="3" t="s">
        <v>18</v>
      </c>
      <c r="E406" s="3" t="s">
        <v>15</v>
      </c>
      <c r="F406" s="3">
        <f>IF(D406="Urban",1,0)</f>
        <v>1</v>
      </c>
      <c r="G406" s="3">
        <v>11107</v>
      </c>
      <c r="H406" s="3">
        <v>7</v>
      </c>
      <c r="I406" s="3">
        <v>63379</v>
      </c>
      <c r="J406" s="3">
        <f>IF(E406="Cold",1,0)</f>
        <v>1</v>
      </c>
      <c r="K406" s="3">
        <f>IF(E406="Hot",1,0)</f>
        <v>0</v>
      </c>
      <c r="L406" s="3">
        <v>2746</v>
      </c>
      <c r="M406" s="3">
        <v>22</v>
      </c>
      <c r="N406" s="4">
        <v>44590</v>
      </c>
      <c r="O406" s="10">
        <v>368180.75270000001</v>
      </c>
      <c r="P406" s="1">
        <f>$C$3+F406*$C$4+H406*$C$6+J406*$C$8+K406*$C$9+L406*$C$10+M406*$C$11</f>
        <v>346249.3932705943</v>
      </c>
      <c r="Q406" s="1">
        <f>(O406-P406)/O406</f>
        <v>5.9566827620877179E-2</v>
      </c>
      <c r="R406" s="1"/>
      <c r="S406" s="1"/>
    </row>
    <row r="407" spans="1:19" x14ac:dyDescent="0.3">
      <c r="A407" s="2">
        <v>525</v>
      </c>
      <c r="B407" s="3" t="s">
        <v>26</v>
      </c>
      <c r="C407" s="3" t="s">
        <v>69</v>
      </c>
      <c r="D407" s="3" t="s">
        <v>14</v>
      </c>
      <c r="E407" s="3" t="s">
        <v>21</v>
      </c>
      <c r="F407" s="3">
        <f>IF(D407="Urban",1,0)</f>
        <v>0</v>
      </c>
      <c r="G407" s="3">
        <v>13425</v>
      </c>
      <c r="H407" s="3">
        <v>3</v>
      </c>
      <c r="I407" s="3">
        <v>91907</v>
      </c>
      <c r="J407" s="3">
        <f>IF(E407="Cold",1,0)</f>
        <v>0</v>
      </c>
      <c r="K407" s="3">
        <f>IF(E407="Hot",1,0)</f>
        <v>1</v>
      </c>
      <c r="L407" s="3">
        <v>2759</v>
      </c>
      <c r="M407" s="3">
        <v>33</v>
      </c>
      <c r="N407" s="4">
        <v>44379</v>
      </c>
      <c r="O407" s="10">
        <v>350049.7782</v>
      </c>
      <c r="P407" s="1">
        <f>$C$3+F407*$C$4+H407*$C$6+J407*$C$8+K407*$C$9+L407*$C$10+M407*$C$11</f>
        <v>329203.34767304885</v>
      </c>
      <c r="Q407" s="1">
        <f>(O407-P407)/O407</f>
        <v>5.955276027925549E-2</v>
      </c>
      <c r="R407" s="1"/>
      <c r="S407" s="1"/>
    </row>
    <row r="408" spans="1:19" x14ac:dyDescent="0.3">
      <c r="A408" s="2">
        <v>606</v>
      </c>
      <c r="B408" s="3" t="s">
        <v>29</v>
      </c>
      <c r="C408" s="3" t="s">
        <v>164</v>
      </c>
      <c r="D408" s="3" t="s">
        <v>14</v>
      </c>
      <c r="E408" s="3" t="s">
        <v>23</v>
      </c>
      <c r="F408" s="3">
        <f>IF(D408="Urban",1,0)</f>
        <v>0</v>
      </c>
      <c r="G408" s="3">
        <v>7787</v>
      </c>
      <c r="H408" s="3">
        <v>4</v>
      </c>
      <c r="I408" s="3">
        <v>68095</v>
      </c>
      <c r="J408" s="3">
        <f>IF(E408="Cold",1,0)</f>
        <v>0</v>
      </c>
      <c r="K408" s="3">
        <f>IF(E408="Hot",1,0)</f>
        <v>0</v>
      </c>
      <c r="L408" s="3">
        <v>2110</v>
      </c>
      <c r="M408" s="3">
        <v>38</v>
      </c>
      <c r="N408" s="4">
        <v>44827</v>
      </c>
      <c r="O408" s="10">
        <v>335521.45990000002</v>
      </c>
      <c r="P408" s="1">
        <f>$C$3+F408*$C$4+H408*$C$6+J408*$C$8+K408*$C$9+L408*$C$10+M408*$C$11</f>
        <v>315557.96293427364</v>
      </c>
      <c r="Q408" s="1">
        <f>(O408-P408)/O408</f>
        <v>5.9499910889981113E-2</v>
      </c>
      <c r="R408" s="1"/>
      <c r="S408" s="1"/>
    </row>
    <row r="409" spans="1:19" x14ac:dyDescent="0.3">
      <c r="A409" s="2">
        <v>171</v>
      </c>
      <c r="B409" s="3" t="s">
        <v>122</v>
      </c>
      <c r="C409" s="3" t="s">
        <v>138</v>
      </c>
      <c r="D409" s="3" t="s">
        <v>18</v>
      </c>
      <c r="E409" s="3" t="s">
        <v>15</v>
      </c>
      <c r="F409" s="3">
        <f>IF(D409="Urban",1,0)</f>
        <v>1</v>
      </c>
      <c r="G409" s="3">
        <v>26548</v>
      </c>
      <c r="H409" s="3">
        <v>6</v>
      </c>
      <c r="I409" s="3">
        <v>88167</v>
      </c>
      <c r="J409" s="3">
        <f>IF(E409="Cold",1,0)</f>
        <v>1</v>
      </c>
      <c r="K409" s="3">
        <f>IF(E409="Hot",1,0)</f>
        <v>0</v>
      </c>
      <c r="L409" s="3">
        <v>2594</v>
      </c>
      <c r="M409" s="3">
        <v>51</v>
      </c>
      <c r="N409" s="4">
        <v>44803</v>
      </c>
      <c r="O409" s="10">
        <v>375425.69750000001</v>
      </c>
      <c r="P409" s="1">
        <f>$C$3+F409*$C$4+H409*$C$6+J409*$C$8+K409*$C$9+L409*$C$10+M409*$C$11</f>
        <v>353104.6901706545</v>
      </c>
      <c r="Q409" s="1">
        <f>(O409-P409)/O409</f>
        <v>5.9455193072779751E-2</v>
      </c>
      <c r="R409" s="1"/>
      <c r="S409" s="1"/>
    </row>
    <row r="410" spans="1:19" x14ac:dyDescent="0.3">
      <c r="A410" s="2">
        <v>727</v>
      </c>
      <c r="B410" s="3" t="s">
        <v>122</v>
      </c>
      <c r="C410" s="3" t="s">
        <v>222</v>
      </c>
      <c r="D410" s="3" t="s">
        <v>18</v>
      </c>
      <c r="E410" s="3" t="s">
        <v>21</v>
      </c>
      <c r="F410" s="3">
        <f>IF(D410="Urban",1,0)</f>
        <v>1</v>
      </c>
      <c r="G410" s="3">
        <v>2096</v>
      </c>
      <c r="H410" s="3">
        <v>3</v>
      </c>
      <c r="I410" s="3">
        <v>89884</v>
      </c>
      <c r="J410" s="3">
        <f>IF(E410="Cold",1,0)</f>
        <v>0</v>
      </c>
      <c r="K410" s="3">
        <f>IF(E410="Hot",1,0)</f>
        <v>1</v>
      </c>
      <c r="L410" s="3">
        <v>1827</v>
      </c>
      <c r="M410" s="3">
        <v>48</v>
      </c>
      <c r="N410" s="4">
        <v>44384</v>
      </c>
      <c r="O410" s="10">
        <v>382652.0405</v>
      </c>
      <c r="P410" s="1">
        <f>$C$3+F410*$C$4+H410*$C$6+J410*$C$8+K410*$C$9+L410*$C$10+M410*$C$11</f>
        <v>359945.05677067745</v>
      </c>
      <c r="Q410" s="1">
        <f>(O410-P410)/O410</f>
        <v>5.9341075771220296E-2</v>
      </c>
      <c r="R410" s="1"/>
      <c r="S410" s="1"/>
    </row>
    <row r="411" spans="1:19" x14ac:dyDescent="0.3">
      <c r="A411" s="2">
        <v>779</v>
      </c>
      <c r="B411" s="3" t="s">
        <v>57</v>
      </c>
      <c r="C411" s="3" t="s">
        <v>215</v>
      </c>
      <c r="D411" s="3" t="s">
        <v>18</v>
      </c>
      <c r="E411" s="3" t="s">
        <v>21</v>
      </c>
      <c r="F411" s="3">
        <f>IF(D411="Urban",1,0)</f>
        <v>1</v>
      </c>
      <c r="G411" s="3">
        <v>14855</v>
      </c>
      <c r="H411" s="3">
        <v>1</v>
      </c>
      <c r="I411" s="3">
        <v>92118</v>
      </c>
      <c r="J411" s="3">
        <f>IF(E411="Cold",1,0)</f>
        <v>0</v>
      </c>
      <c r="K411" s="3">
        <f>IF(E411="Hot",1,0)</f>
        <v>1</v>
      </c>
      <c r="L411" s="3">
        <v>2999</v>
      </c>
      <c r="M411" s="3">
        <v>92</v>
      </c>
      <c r="N411" s="4">
        <v>44757</v>
      </c>
      <c r="O411" s="10">
        <v>423943.13750000001</v>
      </c>
      <c r="P411" s="1">
        <f>$C$3+F411*$C$4+H411*$C$6+J411*$C$8+K411*$C$9+L411*$C$10+M411*$C$11</f>
        <v>398797.03692082781</v>
      </c>
      <c r="Q411" s="1">
        <f>(O411-P411)/O411</f>
        <v>5.9314795676276746E-2</v>
      </c>
      <c r="R411" s="1"/>
      <c r="S411" s="1"/>
    </row>
    <row r="412" spans="1:19" x14ac:dyDescent="0.3">
      <c r="A412" s="2">
        <v>205</v>
      </c>
      <c r="B412" s="3" t="s">
        <v>108</v>
      </c>
      <c r="C412" s="3" t="s">
        <v>161</v>
      </c>
      <c r="D412" s="3" t="s">
        <v>14</v>
      </c>
      <c r="E412" s="3" t="s">
        <v>21</v>
      </c>
      <c r="F412" s="3">
        <f>IF(D412="Urban",1,0)</f>
        <v>0</v>
      </c>
      <c r="G412" s="3">
        <v>24974</v>
      </c>
      <c r="H412" s="3">
        <v>7</v>
      </c>
      <c r="I412" s="3">
        <v>98522</v>
      </c>
      <c r="J412" s="3">
        <f>IF(E412="Cold",1,0)</f>
        <v>0</v>
      </c>
      <c r="K412" s="3">
        <f>IF(E412="Hot",1,0)</f>
        <v>1</v>
      </c>
      <c r="L412" s="3">
        <v>2709</v>
      </c>
      <c r="M412" s="3">
        <v>76</v>
      </c>
      <c r="N412" s="4">
        <v>45156</v>
      </c>
      <c r="O412" s="10">
        <v>358947.62670000002</v>
      </c>
      <c r="P412" s="1">
        <f>$C$3+F412*$C$4+H412*$C$6+J412*$C$8+K412*$C$9+L412*$C$10+M412*$C$11</f>
        <v>337658.99592944956</v>
      </c>
      <c r="Q412" s="1">
        <f>(O412-P412)/O412</f>
        <v>5.9308459471562394E-2</v>
      </c>
      <c r="R412" s="1"/>
      <c r="S412" s="1"/>
    </row>
    <row r="413" spans="1:19" x14ac:dyDescent="0.3">
      <c r="A413" s="2">
        <v>182</v>
      </c>
      <c r="B413" s="3" t="s">
        <v>40</v>
      </c>
      <c r="C413" s="3" t="s">
        <v>121</v>
      </c>
      <c r="D413" s="3" t="s">
        <v>18</v>
      </c>
      <c r="E413" s="3" t="s">
        <v>15</v>
      </c>
      <c r="F413" s="3">
        <f>IF(D413="Urban",1,0)</f>
        <v>1</v>
      </c>
      <c r="G413" s="3">
        <v>12347</v>
      </c>
      <c r="H413" s="3">
        <v>2</v>
      </c>
      <c r="I413" s="3">
        <v>61948</v>
      </c>
      <c r="J413" s="3">
        <f>IF(E413="Cold",1,0)</f>
        <v>1</v>
      </c>
      <c r="K413" s="3">
        <f>IF(E413="Hot",1,0)</f>
        <v>0</v>
      </c>
      <c r="L413" s="3">
        <v>1158</v>
      </c>
      <c r="M413" s="3">
        <v>96</v>
      </c>
      <c r="N413" s="4">
        <v>44724</v>
      </c>
      <c r="O413" s="10">
        <v>363671.30570000003</v>
      </c>
      <c r="P413" s="1">
        <f>$C$3+F413*$C$4+H413*$C$6+J413*$C$8+K413*$C$9+L413*$C$10+M413*$C$11</f>
        <v>342117.10748040403</v>
      </c>
      <c r="Q413" s="1">
        <f>(O413-P413)/O413</f>
        <v>5.9268349968134425E-2</v>
      </c>
      <c r="R413" s="1"/>
      <c r="S413" s="1"/>
    </row>
    <row r="414" spans="1:19" x14ac:dyDescent="0.3">
      <c r="A414" s="2">
        <v>624</v>
      </c>
      <c r="B414" s="3" t="s">
        <v>55</v>
      </c>
      <c r="C414" s="3" t="s">
        <v>169</v>
      </c>
      <c r="D414" s="3" t="s">
        <v>18</v>
      </c>
      <c r="E414" s="3" t="s">
        <v>21</v>
      </c>
      <c r="F414" s="3">
        <f>IF(D414="Urban",1,0)</f>
        <v>1</v>
      </c>
      <c r="G414" s="3">
        <v>22930</v>
      </c>
      <c r="H414" s="3">
        <v>1</v>
      </c>
      <c r="I414" s="3">
        <v>96458</v>
      </c>
      <c r="J414" s="3">
        <f>IF(E414="Cold",1,0)</f>
        <v>0</v>
      </c>
      <c r="K414" s="3">
        <f>IF(E414="Hot",1,0)</f>
        <v>1</v>
      </c>
      <c r="L414" s="3">
        <v>1620</v>
      </c>
      <c r="M414" s="3">
        <v>65</v>
      </c>
      <c r="N414" s="4">
        <v>44202</v>
      </c>
      <c r="O414" s="10">
        <v>385737.78629999998</v>
      </c>
      <c r="P414" s="1">
        <f>$C$3+F414*$C$4+H414*$C$6+J414*$C$8+K414*$C$9+L414*$C$10+M414*$C$11</f>
        <v>362954.05314459058</v>
      </c>
      <c r="Q414" s="1">
        <f>(O414-P414)/O414</f>
        <v>5.9065339110153436E-2</v>
      </c>
      <c r="R414" s="1"/>
      <c r="S414" s="1"/>
    </row>
    <row r="415" spans="1:19" x14ac:dyDescent="0.3">
      <c r="A415" s="2">
        <v>605</v>
      </c>
      <c r="B415" s="3" t="s">
        <v>12</v>
      </c>
      <c r="C415" s="3" t="s">
        <v>95</v>
      </c>
      <c r="D415" s="3" t="s">
        <v>14</v>
      </c>
      <c r="E415" s="3" t="s">
        <v>15</v>
      </c>
      <c r="F415" s="3">
        <f>IF(D415="Urban",1,0)</f>
        <v>0</v>
      </c>
      <c r="G415" s="3">
        <v>6296</v>
      </c>
      <c r="H415" s="3">
        <v>9</v>
      </c>
      <c r="I415" s="3">
        <v>70383</v>
      </c>
      <c r="J415" s="3">
        <f>IF(E415="Cold",1,0)</f>
        <v>1</v>
      </c>
      <c r="K415" s="3">
        <f>IF(E415="Hot",1,0)</f>
        <v>0</v>
      </c>
      <c r="L415" s="3">
        <v>2998</v>
      </c>
      <c r="M415" s="3">
        <v>91</v>
      </c>
      <c r="N415" s="4">
        <v>44277</v>
      </c>
      <c r="O415" s="10">
        <v>346377.58880000003</v>
      </c>
      <c r="P415" s="1">
        <f>$C$3+F415*$C$4+H415*$C$6+J415*$C$8+K415*$C$9+L415*$C$10+M415*$C$11</f>
        <v>325928.01715011807</v>
      </c>
      <c r="Q415" s="1">
        <f>(O415-P415)/O415</f>
        <v>5.9038379823382933E-2</v>
      </c>
      <c r="R415" s="1"/>
      <c r="S415" s="1"/>
    </row>
    <row r="416" spans="1:19" x14ac:dyDescent="0.3">
      <c r="A416" s="2">
        <v>404</v>
      </c>
      <c r="B416" s="3" t="s">
        <v>37</v>
      </c>
      <c r="C416" s="3" t="s">
        <v>118</v>
      </c>
      <c r="D416" s="3" t="s">
        <v>14</v>
      </c>
      <c r="E416" s="3" t="s">
        <v>21</v>
      </c>
      <c r="F416" s="3">
        <f>IF(D416="Urban",1,0)</f>
        <v>0</v>
      </c>
      <c r="G416" s="3">
        <v>1701</v>
      </c>
      <c r="H416" s="3">
        <v>9</v>
      </c>
      <c r="I416" s="3">
        <v>72510</v>
      </c>
      <c r="J416" s="3">
        <f>IF(E416="Cold",1,0)</f>
        <v>0</v>
      </c>
      <c r="K416" s="3">
        <f>IF(E416="Hot",1,0)</f>
        <v>1</v>
      </c>
      <c r="L416" s="3">
        <v>2856</v>
      </c>
      <c r="M416" s="3">
        <v>52</v>
      </c>
      <c r="N416" s="4">
        <v>44065</v>
      </c>
      <c r="O416" s="10">
        <v>351988.42979999998</v>
      </c>
      <c r="P416" s="1">
        <f>$C$3+F416*$C$4+H416*$C$6+J416*$C$8+K416*$C$9+L416*$C$10+M416*$C$11</f>
        <v>331294.96628533909</v>
      </c>
      <c r="Q416" s="1">
        <f>(O416-P416)/O416</f>
        <v>5.8790181047766059E-2</v>
      </c>
      <c r="R416" s="1"/>
      <c r="S416" s="1"/>
    </row>
    <row r="417" spans="1:19" x14ac:dyDescent="0.3">
      <c r="A417" s="2">
        <v>449</v>
      </c>
      <c r="B417" s="3" t="s">
        <v>16</v>
      </c>
      <c r="C417" s="3" t="s">
        <v>22</v>
      </c>
      <c r="D417" s="3" t="s">
        <v>18</v>
      </c>
      <c r="E417" s="3" t="s">
        <v>15</v>
      </c>
      <c r="F417" s="3">
        <f>IF(D417="Urban",1,0)</f>
        <v>1</v>
      </c>
      <c r="G417" s="3">
        <v>9148</v>
      </c>
      <c r="H417" s="3">
        <v>2</v>
      </c>
      <c r="I417" s="3">
        <v>50561</v>
      </c>
      <c r="J417" s="3">
        <f>IF(E417="Cold",1,0)</f>
        <v>1</v>
      </c>
      <c r="K417" s="3">
        <f>IF(E417="Hot",1,0)</f>
        <v>0</v>
      </c>
      <c r="L417" s="3">
        <v>2110</v>
      </c>
      <c r="M417" s="3">
        <v>45</v>
      </c>
      <c r="N417" s="4">
        <v>44094</v>
      </c>
      <c r="O417" s="10">
        <v>366952.10519999999</v>
      </c>
      <c r="P417" s="1">
        <f>$C$3+F417*$C$4+H417*$C$6+J417*$C$8+K417*$C$9+L417*$C$10+M417*$C$11</f>
        <v>345396.48806091875</v>
      </c>
      <c r="Q417" s="1">
        <f>(O417-P417)/O417</f>
        <v>5.8742317685663022E-2</v>
      </c>
      <c r="R417" s="1"/>
      <c r="S417" s="1"/>
    </row>
    <row r="418" spans="1:19" x14ac:dyDescent="0.3">
      <c r="A418" s="2">
        <v>547</v>
      </c>
      <c r="B418" s="3" t="s">
        <v>55</v>
      </c>
      <c r="C418" s="3" t="s">
        <v>67</v>
      </c>
      <c r="D418" s="3" t="s">
        <v>14</v>
      </c>
      <c r="E418" s="3" t="s">
        <v>23</v>
      </c>
      <c r="F418" s="3">
        <f>IF(D418="Urban",1,0)</f>
        <v>0</v>
      </c>
      <c r="G418" s="3">
        <v>2687</v>
      </c>
      <c r="H418" s="3">
        <v>7</v>
      </c>
      <c r="I418" s="3">
        <v>69171</v>
      </c>
      <c r="J418" s="3">
        <f>IF(E418="Cold",1,0)</f>
        <v>0</v>
      </c>
      <c r="K418" s="3">
        <f>IF(E418="Hot",1,0)</f>
        <v>0</v>
      </c>
      <c r="L418" s="3">
        <v>1466</v>
      </c>
      <c r="M418" s="3">
        <v>38</v>
      </c>
      <c r="N418" s="4">
        <v>44854</v>
      </c>
      <c r="O418" s="10">
        <v>318452.8628</v>
      </c>
      <c r="P418" s="1">
        <f>$C$3+F418*$C$4+H418*$C$6+J418*$C$8+K418*$C$9+L418*$C$10+M418*$C$11</f>
        <v>299855.32933122409</v>
      </c>
      <c r="Q418" s="1">
        <f>(O418-P418)/O418</f>
        <v>5.8399642902428058E-2</v>
      </c>
      <c r="R418" s="1"/>
      <c r="S418" s="1"/>
    </row>
    <row r="419" spans="1:19" x14ac:dyDescent="0.3">
      <c r="A419" s="2">
        <v>743</v>
      </c>
      <c r="B419" s="3" t="s">
        <v>28</v>
      </c>
      <c r="C419" s="3" t="s">
        <v>181</v>
      </c>
      <c r="D419" s="3" t="s">
        <v>18</v>
      </c>
      <c r="E419" s="3" t="s">
        <v>15</v>
      </c>
      <c r="F419" s="3">
        <f>IF(D419="Urban",1,0)</f>
        <v>1</v>
      </c>
      <c r="G419" s="3">
        <v>25484</v>
      </c>
      <c r="H419" s="3">
        <v>1</v>
      </c>
      <c r="I419" s="3">
        <v>59389</v>
      </c>
      <c r="J419" s="3">
        <f>IF(E419="Cold",1,0)</f>
        <v>1</v>
      </c>
      <c r="K419" s="3">
        <f>IF(E419="Hot",1,0)</f>
        <v>0</v>
      </c>
      <c r="L419" s="3">
        <v>1486</v>
      </c>
      <c r="M419" s="3">
        <v>99</v>
      </c>
      <c r="N419" s="4">
        <v>44073</v>
      </c>
      <c r="O419" s="10">
        <v>372259.82819999999</v>
      </c>
      <c r="P419" s="1">
        <f>$C$3+F419*$C$4+H419*$C$6+J419*$C$8+K419*$C$9+L419*$C$10+M419*$C$11</f>
        <v>350537.80785708281</v>
      </c>
      <c r="Q419" s="1">
        <f>(O419-P419)/O419</f>
        <v>5.835177125598099E-2</v>
      </c>
      <c r="R419" s="1"/>
      <c r="S419" s="1"/>
    </row>
    <row r="420" spans="1:19" x14ac:dyDescent="0.3">
      <c r="A420" s="2">
        <v>740</v>
      </c>
      <c r="B420" s="3" t="s">
        <v>122</v>
      </c>
      <c r="C420" s="3" t="s">
        <v>133</v>
      </c>
      <c r="D420" s="3" t="s">
        <v>14</v>
      </c>
      <c r="E420" s="3" t="s">
        <v>15</v>
      </c>
      <c r="F420" s="3">
        <f>IF(D420="Urban",1,0)</f>
        <v>0</v>
      </c>
      <c r="G420" s="3">
        <v>6533</v>
      </c>
      <c r="H420" s="3">
        <v>5</v>
      </c>
      <c r="I420" s="3">
        <v>64246</v>
      </c>
      <c r="J420" s="3">
        <f>IF(E420="Cold",1,0)</f>
        <v>1</v>
      </c>
      <c r="K420" s="3">
        <f>IF(E420="Hot",1,0)</f>
        <v>0</v>
      </c>
      <c r="L420" s="3">
        <v>2246</v>
      </c>
      <c r="M420" s="3">
        <v>43</v>
      </c>
      <c r="N420" s="4">
        <v>44267</v>
      </c>
      <c r="O420" s="10">
        <v>318484.5013</v>
      </c>
      <c r="P420" s="1">
        <f>$C$3+F420*$C$4+H420*$C$6+J420*$C$8+K420*$C$9+L420*$C$10+M420*$C$11</f>
        <v>299925.66408205504</v>
      </c>
      <c r="Q420" s="1">
        <f>(O420-P420)/O420</f>
        <v>5.8272340230657763E-2</v>
      </c>
      <c r="R420" s="1"/>
      <c r="S420" s="1"/>
    </row>
    <row r="421" spans="1:19" x14ac:dyDescent="0.3">
      <c r="A421" s="2">
        <v>456</v>
      </c>
      <c r="B421" s="3" t="s">
        <v>24</v>
      </c>
      <c r="C421" s="3" t="s">
        <v>100</v>
      </c>
      <c r="D421" s="3" t="s">
        <v>14</v>
      </c>
      <c r="E421" s="3" t="s">
        <v>15</v>
      </c>
      <c r="F421" s="3">
        <f>IF(D421="Urban",1,0)</f>
        <v>0</v>
      </c>
      <c r="G421" s="3">
        <v>8037</v>
      </c>
      <c r="H421" s="3">
        <v>1</v>
      </c>
      <c r="I421" s="3">
        <v>53732</v>
      </c>
      <c r="J421" s="3">
        <f>IF(E421="Cold",1,0)</f>
        <v>1</v>
      </c>
      <c r="K421" s="3">
        <f>IF(E421="Hot",1,0)</f>
        <v>0</v>
      </c>
      <c r="L421" s="3">
        <v>1735</v>
      </c>
      <c r="M421" s="3">
        <v>81</v>
      </c>
      <c r="N421" s="4">
        <v>45505</v>
      </c>
      <c r="O421" s="10">
        <v>324120.08110000001</v>
      </c>
      <c r="P421" s="1">
        <f>$C$3+F421*$C$4+H421*$C$6+J421*$C$8+K421*$C$9+L421*$C$10+M421*$C$11</f>
        <v>305240.74304458237</v>
      </c>
      <c r="Q421" s="1">
        <f>(O421-P421)/O421</f>
        <v>5.8247973995763758E-2</v>
      </c>
      <c r="R421" s="1"/>
      <c r="S421" s="1"/>
    </row>
    <row r="422" spans="1:19" x14ac:dyDescent="0.3">
      <c r="A422" s="2">
        <v>413</v>
      </c>
      <c r="B422" s="3" t="s">
        <v>37</v>
      </c>
      <c r="C422" s="3" t="s">
        <v>90</v>
      </c>
      <c r="D422" s="3" t="s">
        <v>18</v>
      </c>
      <c r="E422" s="3" t="s">
        <v>21</v>
      </c>
      <c r="F422" s="3">
        <f>IF(D422="Urban",1,0)</f>
        <v>1</v>
      </c>
      <c r="G422" s="3">
        <v>1719</v>
      </c>
      <c r="H422" s="3">
        <v>2</v>
      </c>
      <c r="I422" s="3">
        <v>62267</v>
      </c>
      <c r="J422" s="3">
        <f>IF(E422="Cold",1,0)</f>
        <v>0</v>
      </c>
      <c r="K422" s="3">
        <f>IF(E422="Hot",1,0)</f>
        <v>1</v>
      </c>
      <c r="L422" s="3">
        <v>1123</v>
      </c>
      <c r="M422" s="3">
        <v>91</v>
      </c>
      <c r="N422" s="4">
        <v>44417</v>
      </c>
      <c r="O422" s="10">
        <v>382368.34519999998</v>
      </c>
      <c r="P422" s="1">
        <f>$C$3+F422*$C$4+H422*$C$6+J422*$C$8+K422*$C$9+L422*$C$10+M422*$C$11</f>
        <v>360099.28215200605</v>
      </c>
      <c r="Q422" s="1">
        <f>(O422-P422)/O422</f>
        <v>5.8239818561199058E-2</v>
      </c>
      <c r="R422" s="1"/>
      <c r="S422" s="1"/>
    </row>
    <row r="423" spans="1:19" x14ac:dyDescent="0.3">
      <c r="A423" s="2">
        <v>534</v>
      </c>
      <c r="B423" s="3" t="s">
        <v>37</v>
      </c>
      <c r="C423" s="3" t="s">
        <v>128</v>
      </c>
      <c r="D423" s="3" t="s">
        <v>14</v>
      </c>
      <c r="E423" s="3" t="s">
        <v>15</v>
      </c>
      <c r="F423" s="3">
        <f>IF(D423="Urban",1,0)</f>
        <v>0</v>
      </c>
      <c r="G423" s="3">
        <v>28137</v>
      </c>
      <c r="H423" s="3">
        <v>1</v>
      </c>
      <c r="I423" s="3">
        <v>84806</v>
      </c>
      <c r="J423" s="3">
        <f>IF(E423="Cold",1,0)</f>
        <v>1</v>
      </c>
      <c r="K423" s="3">
        <f>IF(E423="Hot",1,0)</f>
        <v>0</v>
      </c>
      <c r="L423" s="3">
        <v>1109</v>
      </c>
      <c r="M423" s="3">
        <v>24</v>
      </c>
      <c r="N423" s="4">
        <v>45016</v>
      </c>
      <c r="O423" s="10">
        <v>292172.04029999999</v>
      </c>
      <c r="P423" s="1">
        <f>$C$3+F423*$C$4+H423*$C$6+J423*$C$8+K423*$C$9+L423*$C$10+M423*$C$11</f>
        <v>275178.51745051</v>
      </c>
      <c r="Q423" s="1">
        <f>(O423-P423)/O423</f>
        <v>5.8162727795723283E-2</v>
      </c>
      <c r="R423" s="1"/>
      <c r="S423" s="1"/>
    </row>
    <row r="424" spans="1:19" x14ac:dyDescent="0.3">
      <c r="A424" s="2">
        <v>62</v>
      </c>
      <c r="B424" s="3" t="s">
        <v>24</v>
      </c>
      <c r="C424" s="3" t="s">
        <v>25</v>
      </c>
      <c r="D424" s="3" t="s">
        <v>18</v>
      </c>
      <c r="E424" s="3" t="s">
        <v>21</v>
      </c>
      <c r="F424" s="3">
        <f>IF(D424="Urban",1,0)</f>
        <v>1</v>
      </c>
      <c r="G424" s="3">
        <v>13511</v>
      </c>
      <c r="H424" s="3">
        <v>0</v>
      </c>
      <c r="I424" s="3">
        <v>69249</v>
      </c>
      <c r="J424" s="3">
        <f>IF(E424="Cold",1,0)</f>
        <v>0</v>
      </c>
      <c r="K424" s="3">
        <f>IF(E424="Hot",1,0)</f>
        <v>1</v>
      </c>
      <c r="L424" s="3">
        <v>1802</v>
      </c>
      <c r="M424" s="3">
        <v>74</v>
      </c>
      <c r="N424" s="4">
        <v>45423</v>
      </c>
      <c r="O424" s="10">
        <v>393174.22269999998</v>
      </c>
      <c r="P424" s="1">
        <f>$C$3+F424*$C$4+H424*$C$6+J424*$C$8+K424*$C$9+L424*$C$10+M424*$C$11</f>
        <v>370310.40431797918</v>
      </c>
      <c r="Q424" s="1">
        <f>(O424-P424)/O424</f>
        <v>5.8151875331527957E-2</v>
      </c>
      <c r="R424" s="1"/>
      <c r="S424" s="1"/>
    </row>
    <row r="425" spans="1:19" x14ac:dyDescent="0.3">
      <c r="A425" s="2">
        <v>192</v>
      </c>
      <c r="B425" s="3" t="s">
        <v>28</v>
      </c>
      <c r="C425" s="3" t="s">
        <v>102</v>
      </c>
      <c r="D425" s="3" t="s">
        <v>14</v>
      </c>
      <c r="E425" s="3" t="s">
        <v>23</v>
      </c>
      <c r="F425" s="3">
        <f>IF(D425="Urban",1,0)</f>
        <v>0</v>
      </c>
      <c r="G425" s="3">
        <v>19793</v>
      </c>
      <c r="H425" s="3">
        <v>4</v>
      </c>
      <c r="I425" s="3">
        <v>52635</v>
      </c>
      <c r="J425" s="3">
        <f>IF(E425="Cold",1,0)</f>
        <v>0</v>
      </c>
      <c r="K425" s="3">
        <f>IF(E425="Hot",1,0)</f>
        <v>0</v>
      </c>
      <c r="L425" s="3">
        <v>1722</v>
      </c>
      <c r="M425" s="3">
        <v>53</v>
      </c>
      <c r="N425" s="4">
        <v>44537</v>
      </c>
      <c r="O425" s="10">
        <v>331670.19689999998</v>
      </c>
      <c r="P425" s="1">
        <f>$C$3+F425*$C$4+H425*$C$6+J425*$C$8+K425*$C$9+L425*$C$10+M425*$C$11</f>
        <v>312438.07776033413</v>
      </c>
      <c r="Q425" s="1">
        <f>(O425-P425)/O425</f>
        <v>5.798567166848706E-2</v>
      </c>
      <c r="R425" s="1"/>
      <c r="S425" s="1"/>
    </row>
    <row r="426" spans="1:19" x14ac:dyDescent="0.3">
      <c r="A426" s="2">
        <v>97</v>
      </c>
      <c r="B426" s="3" t="s">
        <v>29</v>
      </c>
      <c r="C426" s="3" t="s">
        <v>110</v>
      </c>
      <c r="D426" s="3" t="s">
        <v>14</v>
      </c>
      <c r="E426" s="3" t="s">
        <v>23</v>
      </c>
      <c r="F426" s="3">
        <f>IF(D426="Urban",1,0)</f>
        <v>0</v>
      </c>
      <c r="G426" s="3">
        <v>3383</v>
      </c>
      <c r="H426" s="3">
        <v>8</v>
      </c>
      <c r="I426" s="3">
        <v>53118</v>
      </c>
      <c r="J426" s="3">
        <f>IF(E426="Cold",1,0)</f>
        <v>0</v>
      </c>
      <c r="K426" s="3">
        <f>IF(E426="Hot",1,0)</f>
        <v>0</v>
      </c>
      <c r="L426" s="3">
        <v>2289</v>
      </c>
      <c r="M426" s="3">
        <v>74</v>
      </c>
      <c r="N426" s="4">
        <v>45222</v>
      </c>
      <c r="O426" s="10">
        <v>346446.9999</v>
      </c>
      <c r="P426" s="1">
        <f>$C$3+F426*$C$4+H426*$C$6+J426*$C$8+K426*$C$9+L426*$C$10+M426*$C$11</f>
        <v>326426.16556792863</v>
      </c>
      <c r="Q426" s="1">
        <f>(O426-P426)/O426</f>
        <v>5.7789024981744E-2</v>
      </c>
      <c r="R426" s="1"/>
      <c r="S426" s="1"/>
    </row>
    <row r="427" spans="1:19" x14ac:dyDescent="0.3">
      <c r="A427" s="2">
        <v>262</v>
      </c>
      <c r="B427" s="3" t="s">
        <v>122</v>
      </c>
      <c r="C427" s="3" t="s">
        <v>137</v>
      </c>
      <c r="D427" s="3" t="s">
        <v>14</v>
      </c>
      <c r="E427" s="3" t="s">
        <v>23</v>
      </c>
      <c r="F427" s="3">
        <f>IF(D427="Urban",1,0)</f>
        <v>0</v>
      </c>
      <c r="G427" s="3">
        <v>20276</v>
      </c>
      <c r="H427" s="3">
        <v>5</v>
      </c>
      <c r="I427" s="3">
        <v>98726</v>
      </c>
      <c r="J427" s="3">
        <f>IF(E427="Cold",1,0)</f>
        <v>0</v>
      </c>
      <c r="K427" s="3">
        <f>IF(E427="Hot",1,0)</f>
        <v>0</v>
      </c>
      <c r="L427" s="3">
        <v>2534</v>
      </c>
      <c r="M427" s="3">
        <v>65</v>
      </c>
      <c r="N427" s="4">
        <v>44304</v>
      </c>
      <c r="O427" s="10">
        <v>351715.26679999998</v>
      </c>
      <c r="P427" s="1">
        <f>$C$3+F427*$C$4+H427*$C$6+J427*$C$8+K427*$C$9+L427*$C$10+M427*$C$11</f>
        <v>331391.86565368128</v>
      </c>
      <c r="Q427" s="1">
        <f>(O427-P427)/O427</f>
        <v>5.7783676356236879E-2</v>
      </c>
      <c r="R427" s="1"/>
      <c r="S427" s="1"/>
    </row>
    <row r="428" spans="1:19" x14ac:dyDescent="0.3">
      <c r="A428" s="2">
        <v>746</v>
      </c>
      <c r="B428" s="3" t="s">
        <v>12</v>
      </c>
      <c r="C428" s="3" t="s">
        <v>95</v>
      </c>
      <c r="D428" s="3" t="s">
        <v>14</v>
      </c>
      <c r="E428" s="3" t="s">
        <v>15</v>
      </c>
      <c r="F428" s="3">
        <f>IF(D428="Urban",1,0)</f>
        <v>0</v>
      </c>
      <c r="G428" s="3">
        <v>13874</v>
      </c>
      <c r="H428" s="3">
        <v>4</v>
      </c>
      <c r="I428" s="3">
        <v>61123</v>
      </c>
      <c r="J428" s="3">
        <f>IF(E428="Cold",1,0)</f>
        <v>1</v>
      </c>
      <c r="K428" s="3">
        <f>IF(E428="Hot",1,0)</f>
        <v>0</v>
      </c>
      <c r="L428" s="3">
        <v>2642</v>
      </c>
      <c r="M428" s="3">
        <v>99</v>
      </c>
      <c r="N428" s="4">
        <v>45377</v>
      </c>
      <c r="O428" s="10">
        <v>346027.75390000001</v>
      </c>
      <c r="P428" s="1">
        <f>$C$3+F428*$C$4+H428*$C$6+J428*$C$8+K428*$C$9+L428*$C$10+M428*$C$11</f>
        <v>326039.63564059389</v>
      </c>
      <c r="Q428" s="1">
        <f>(O428-P428)/O428</f>
        <v>5.7764494420244027E-2</v>
      </c>
      <c r="R428" s="1"/>
      <c r="S428" s="1"/>
    </row>
    <row r="429" spans="1:19" x14ac:dyDescent="0.3">
      <c r="A429" s="2">
        <v>461</v>
      </c>
      <c r="B429" s="3" t="s">
        <v>108</v>
      </c>
      <c r="C429" s="3" t="s">
        <v>142</v>
      </c>
      <c r="D429" s="3" t="s">
        <v>18</v>
      </c>
      <c r="E429" s="3" t="s">
        <v>21</v>
      </c>
      <c r="F429" s="3">
        <f>IF(D429="Urban",1,0)</f>
        <v>1</v>
      </c>
      <c r="G429" s="3">
        <v>11772</v>
      </c>
      <c r="H429" s="3">
        <v>2</v>
      </c>
      <c r="I429" s="3">
        <v>78641</v>
      </c>
      <c r="J429" s="3">
        <f>IF(E429="Cold",1,0)</f>
        <v>0</v>
      </c>
      <c r="K429" s="3">
        <f>IF(E429="Hot",1,0)</f>
        <v>1</v>
      </c>
      <c r="L429" s="3">
        <v>1471</v>
      </c>
      <c r="M429" s="3">
        <v>92</v>
      </c>
      <c r="N429" s="4">
        <v>45176</v>
      </c>
      <c r="O429" s="10">
        <v>389862.70510000002</v>
      </c>
      <c r="P429" s="1">
        <f>$C$3+F429*$C$4+H429*$C$6+J429*$C$8+K429*$C$9+L429*$C$10+M429*$C$11</f>
        <v>367352.56582251121</v>
      </c>
      <c r="Q429" s="1">
        <f>(O429-P429)/O429</f>
        <v>5.7738632044106251E-2</v>
      </c>
      <c r="R429" s="1"/>
      <c r="S429" s="1"/>
    </row>
    <row r="430" spans="1:19" x14ac:dyDescent="0.3">
      <c r="A430" s="2">
        <v>150</v>
      </c>
      <c r="B430" s="3" t="s">
        <v>37</v>
      </c>
      <c r="C430" s="3" t="s">
        <v>38</v>
      </c>
      <c r="D430" s="3" t="s">
        <v>14</v>
      </c>
      <c r="E430" s="3" t="s">
        <v>15</v>
      </c>
      <c r="F430" s="3">
        <f>IF(D430="Urban",1,0)</f>
        <v>0</v>
      </c>
      <c r="G430" s="3">
        <v>19931</v>
      </c>
      <c r="H430" s="3">
        <v>0</v>
      </c>
      <c r="I430" s="3">
        <v>68079</v>
      </c>
      <c r="J430" s="3">
        <f>IF(E430="Cold",1,0)</f>
        <v>1</v>
      </c>
      <c r="K430" s="3">
        <f>IF(E430="Hot",1,0)</f>
        <v>0</v>
      </c>
      <c r="L430" s="3">
        <v>1612</v>
      </c>
      <c r="M430" s="3">
        <v>25</v>
      </c>
      <c r="N430" s="4">
        <v>44292</v>
      </c>
      <c r="O430" s="10">
        <v>304017.75910000002</v>
      </c>
      <c r="P430" s="1">
        <f>$C$3+F430*$C$4+H430*$C$6+J430*$C$8+K430*$C$9+L430*$C$10+M430*$C$11</f>
        <v>286475.24163126602</v>
      </c>
      <c r="Q430" s="1">
        <f>(O430-P430)/O430</f>
        <v>5.770227871117152E-2</v>
      </c>
      <c r="R430" s="1"/>
      <c r="S430" s="1"/>
    </row>
    <row r="431" spans="1:19" x14ac:dyDescent="0.3">
      <c r="A431" s="2">
        <v>430</v>
      </c>
      <c r="B431" s="3" t="s">
        <v>37</v>
      </c>
      <c r="C431" s="3" t="s">
        <v>61</v>
      </c>
      <c r="D431" s="3" t="s">
        <v>18</v>
      </c>
      <c r="E431" s="3" t="s">
        <v>21</v>
      </c>
      <c r="F431" s="3">
        <f>IF(D431="Urban",1,0)</f>
        <v>1</v>
      </c>
      <c r="G431" s="3">
        <v>15575</v>
      </c>
      <c r="H431" s="3">
        <v>1</v>
      </c>
      <c r="I431" s="3">
        <v>97677</v>
      </c>
      <c r="J431" s="3">
        <f>IF(E431="Cold",1,0)</f>
        <v>0</v>
      </c>
      <c r="K431" s="3">
        <f>IF(E431="Hot",1,0)</f>
        <v>1</v>
      </c>
      <c r="L431" s="3">
        <v>1971</v>
      </c>
      <c r="M431" s="3">
        <v>91</v>
      </c>
      <c r="N431" s="4">
        <v>45406</v>
      </c>
      <c r="O431" s="10">
        <v>401085.47169999999</v>
      </c>
      <c r="P431" s="1">
        <f>$C$3+F431*$C$4+H431*$C$6+J431*$C$8+K431*$C$9+L431*$C$10+M431*$C$11</f>
        <v>377972.95878573076</v>
      </c>
      <c r="Q431" s="1">
        <f>(O431-P431)/O431</f>
        <v>5.7624906771883033E-2</v>
      </c>
      <c r="R431" s="1"/>
      <c r="S431" s="1"/>
    </row>
    <row r="432" spans="1:19" x14ac:dyDescent="0.3">
      <c r="A432" s="2">
        <v>958</v>
      </c>
      <c r="B432" s="3" t="s">
        <v>72</v>
      </c>
      <c r="C432" s="3" t="s">
        <v>213</v>
      </c>
      <c r="D432" s="3" t="s">
        <v>14</v>
      </c>
      <c r="E432" s="3" t="s">
        <v>15</v>
      </c>
      <c r="F432" s="3">
        <f>IF(D432="Urban",1,0)</f>
        <v>0</v>
      </c>
      <c r="G432" s="3">
        <v>8046</v>
      </c>
      <c r="H432" s="3">
        <v>3</v>
      </c>
      <c r="I432" s="3">
        <v>50147</v>
      </c>
      <c r="J432" s="3">
        <f>IF(E432="Cold",1,0)</f>
        <v>1</v>
      </c>
      <c r="K432" s="3">
        <f>IF(E432="Hot",1,0)</f>
        <v>0</v>
      </c>
      <c r="L432" s="3">
        <v>1695</v>
      </c>
      <c r="M432" s="3">
        <v>73</v>
      </c>
      <c r="N432" s="4">
        <v>43874</v>
      </c>
      <c r="O432" s="10">
        <v>318409.0208</v>
      </c>
      <c r="P432" s="1">
        <f>$C$3+F432*$C$4+H432*$C$6+J432*$C$8+K432*$C$9+L432*$C$10+M432*$C$11</f>
        <v>300076.42544660368</v>
      </c>
      <c r="Q432" s="1">
        <f>(O432-P432)/O432</f>
        <v>5.7575615500263862E-2</v>
      </c>
      <c r="R432" s="1"/>
      <c r="S432" s="1"/>
    </row>
    <row r="433" spans="1:19" x14ac:dyDescent="0.3">
      <c r="A433" s="2">
        <v>214</v>
      </c>
      <c r="B433" s="3" t="s">
        <v>31</v>
      </c>
      <c r="C433" s="3" t="s">
        <v>146</v>
      </c>
      <c r="D433" s="3" t="s">
        <v>18</v>
      </c>
      <c r="E433" s="3" t="s">
        <v>23</v>
      </c>
      <c r="F433" s="3">
        <f>IF(D433="Urban",1,0)</f>
        <v>1</v>
      </c>
      <c r="G433" s="3">
        <v>27657</v>
      </c>
      <c r="H433" s="3">
        <v>8</v>
      </c>
      <c r="I433" s="3">
        <v>71031</v>
      </c>
      <c r="J433" s="3">
        <f>IF(E433="Cold",1,0)</f>
        <v>0</v>
      </c>
      <c r="K433" s="3">
        <f>IF(E433="Hot",1,0)</f>
        <v>0</v>
      </c>
      <c r="L433" s="3">
        <v>2396</v>
      </c>
      <c r="M433" s="3">
        <v>32</v>
      </c>
      <c r="N433" s="4">
        <v>44400</v>
      </c>
      <c r="O433" s="10">
        <v>382333.63410000002</v>
      </c>
      <c r="P433" s="1">
        <f>$C$3+F433*$C$4+H433*$C$6+J433*$C$8+K433*$C$9+L433*$C$10+M433*$C$11</f>
        <v>360334.13845905184</v>
      </c>
      <c r="Q433" s="1">
        <f>(O433-P433)/O433</f>
        <v>5.7540047955064753E-2</v>
      </c>
      <c r="R433" s="1"/>
      <c r="S433" s="1"/>
    </row>
    <row r="434" spans="1:19" x14ac:dyDescent="0.3">
      <c r="A434" s="2">
        <v>238</v>
      </c>
      <c r="B434" s="3" t="s">
        <v>31</v>
      </c>
      <c r="C434" s="3" t="s">
        <v>172</v>
      </c>
      <c r="D434" s="3" t="s">
        <v>18</v>
      </c>
      <c r="E434" s="3" t="s">
        <v>21</v>
      </c>
      <c r="F434" s="3">
        <f>IF(D434="Urban",1,0)</f>
        <v>1</v>
      </c>
      <c r="G434" s="3">
        <v>6771</v>
      </c>
      <c r="H434" s="3">
        <v>8</v>
      </c>
      <c r="I434" s="3">
        <v>62306</v>
      </c>
      <c r="J434" s="3">
        <f>IF(E434="Cold",1,0)</f>
        <v>0</v>
      </c>
      <c r="K434" s="3">
        <f>IF(E434="Hot",1,0)</f>
        <v>1</v>
      </c>
      <c r="L434" s="3">
        <v>1900</v>
      </c>
      <c r="M434" s="3">
        <v>89</v>
      </c>
      <c r="N434" s="4">
        <v>44045</v>
      </c>
      <c r="O434" s="10">
        <v>391773.67619999999</v>
      </c>
      <c r="P434" s="1">
        <f>$C$3+F434*$C$4+H434*$C$6+J434*$C$8+K434*$C$9+L434*$C$10+M434*$C$11</f>
        <v>369288.86454127659</v>
      </c>
      <c r="Q434" s="1">
        <f>(O434-P434)/O434</f>
        <v>5.7392349268624486E-2</v>
      </c>
      <c r="R434" s="1"/>
      <c r="S434" s="1"/>
    </row>
    <row r="435" spans="1:19" x14ac:dyDescent="0.3">
      <c r="A435" s="2">
        <v>472</v>
      </c>
      <c r="B435" s="3" t="s">
        <v>28</v>
      </c>
      <c r="C435" s="3" t="s">
        <v>112</v>
      </c>
      <c r="D435" s="3" t="s">
        <v>14</v>
      </c>
      <c r="E435" s="3" t="s">
        <v>15</v>
      </c>
      <c r="F435" s="3">
        <f>IF(D435="Urban",1,0)</f>
        <v>0</v>
      </c>
      <c r="G435" s="3">
        <v>24901</v>
      </c>
      <c r="H435" s="3">
        <v>4</v>
      </c>
      <c r="I435" s="3">
        <v>71145</v>
      </c>
      <c r="J435" s="3">
        <f>IF(E435="Cold",1,0)</f>
        <v>1</v>
      </c>
      <c r="K435" s="3">
        <f>IF(E435="Hot",1,0)</f>
        <v>0</v>
      </c>
      <c r="L435" s="3">
        <v>1874</v>
      </c>
      <c r="M435" s="3">
        <v>27</v>
      </c>
      <c r="N435" s="4">
        <v>45053</v>
      </c>
      <c r="O435" s="10">
        <v>306070.94780000002</v>
      </c>
      <c r="P435" s="1">
        <f>$C$3+F435*$C$4+H435*$C$6+J435*$C$8+K435*$C$9+L435*$C$10+M435*$C$11</f>
        <v>288520.05835835251</v>
      </c>
      <c r="Q435" s="1">
        <f>(O435-P435)/O435</f>
        <v>5.7342552659117516E-2</v>
      </c>
      <c r="R435" s="1"/>
      <c r="S435" s="1"/>
    </row>
    <row r="436" spans="1:19" x14ac:dyDescent="0.3">
      <c r="A436" s="2">
        <v>552</v>
      </c>
      <c r="B436" s="3" t="s">
        <v>16</v>
      </c>
      <c r="C436" s="3" t="s">
        <v>22</v>
      </c>
      <c r="D436" s="3" t="s">
        <v>18</v>
      </c>
      <c r="E436" s="3" t="s">
        <v>15</v>
      </c>
      <c r="F436" s="3">
        <f>IF(D436="Urban",1,0)</f>
        <v>1</v>
      </c>
      <c r="G436" s="3">
        <v>4457</v>
      </c>
      <c r="H436" s="3">
        <v>5</v>
      </c>
      <c r="I436" s="3">
        <v>96968</v>
      </c>
      <c r="J436" s="3">
        <f>IF(E436="Cold",1,0)</f>
        <v>1</v>
      </c>
      <c r="K436" s="3">
        <f>IF(E436="Hot",1,0)</f>
        <v>0</v>
      </c>
      <c r="L436" s="3">
        <v>2608</v>
      </c>
      <c r="M436" s="3">
        <v>89</v>
      </c>
      <c r="N436" s="4">
        <v>45047</v>
      </c>
      <c r="O436" s="10">
        <v>388285.85119999998</v>
      </c>
      <c r="P436" s="1">
        <f>$C$3+F436*$C$4+H436*$C$6+J436*$C$8+K436*$C$9+L436*$C$10+M436*$C$11</f>
        <v>366046.92777882057</v>
      </c>
      <c r="Q436" s="1">
        <f>(O436-P436)/O436</f>
        <v>5.7274617018492617E-2</v>
      </c>
      <c r="R436" s="1"/>
      <c r="S436" s="1"/>
    </row>
    <row r="437" spans="1:19" x14ac:dyDescent="0.3">
      <c r="A437" s="2">
        <v>364</v>
      </c>
      <c r="B437" s="3" t="s">
        <v>33</v>
      </c>
      <c r="C437" s="3" t="s">
        <v>92</v>
      </c>
      <c r="D437" s="3" t="s">
        <v>18</v>
      </c>
      <c r="E437" s="3" t="s">
        <v>21</v>
      </c>
      <c r="F437" s="3">
        <f>IF(D437="Urban",1,0)</f>
        <v>1</v>
      </c>
      <c r="G437" s="3">
        <v>17563</v>
      </c>
      <c r="H437" s="3">
        <v>6</v>
      </c>
      <c r="I437" s="3">
        <v>74343</v>
      </c>
      <c r="J437" s="3">
        <f>IF(E437="Cold",1,0)</f>
        <v>0</v>
      </c>
      <c r="K437" s="3">
        <f>IF(E437="Hot",1,0)</f>
        <v>1</v>
      </c>
      <c r="L437" s="3">
        <v>2665</v>
      </c>
      <c r="M437" s="3">
        <v>34</v>
      </c>
      <c r="N437" s="4">
        <v>44562</v>
      </c>
      <c r="O437" s="10">
        <v>391932.61619999999</v>
      </c>
      <c r="P437" s="1">
        <f>$C$3+F437*$C$4+H437*$C$6+J437*$C$8+K437*$C$9+L437*$C$10+M437*$C$11</f>
        <v>369503.55182175722</v>
      </c>
      <c r="Q437" s="1">
        <f>(O437-P437)/O437</f>
        <v>5.7226838112389704E-2</v>
      </c>
      <c r="R437" s="1"/>
      <c r="S437" s="1"/>
    </row>
    <row r="438" spans="1:19" x14ac:dyDescent="0.3">
      <c r="A438" s="2">
        <v>690</v>
      </c>
      <c r="B438" s="3" t="s">
        <v>35</v>
      </c>
      <c r="C438" s="3" t="s">
        <v>62</v>
      </c>
      <c r="D438" s="3" t="s">
        <v>18</v>
      </c>
      <c r="E438" s="3" t="s">
        <v>15</v>
      </c>
      <c r="F438" s="3">
        <f>IF(D438="Urban",1,0)</f>
        <v>1</v>
      </c>
      <c r="G438" s="3">
        <v>6257</v>
      </c>
      <c r="H438" s="3">
        <v>7</v>
      </c>
      <c r="I438" s="3">
        <v>70672</v>
      </c>
      <c r="J438" s="3">
        <f>IF(E438="Cold",1,0)</f>
        <v>1</v>
      </c>
      <c r="K438" s="3">
        <f>IF(E438="Hot",1,0)</f>
        <v>0</v>
      </c>
      <c r="L438" s="3">
        <v>1868</v>
      </c>
      <c r="M438" s="3">
        <v>73</v>
      </c>
      <c r="N438" s="4">
        <v>44580</v>
      </c>
      <c r="O438" s="10">
        <v>365282.42560000002</v>
      </c>
      <c r="P438" s="1">
        <f>$C$3+F438*$C$4+H438*$C$6+J438*$C$8+K438*$C$9+L438*$C$10+M438*$C$11</f>
        <v>344446.83444063814</v>
      </c>
      <c r="Q438" s="1">
        <f>(O438-P438)/O438</f>
        <v>5.7039675875832446E-2</v>
      </c>
      <c r="R438" s="1"/>
      <c r="S438" s="1"/>
    </row>
    <row r="439" spans="1:19" x14ac:dyDescent="0.3">
      <c r="A439" s="2">
        <v>769</v>
      </c>
      <c r="B439" s="3" t="s">
        <v>72</v>
      </c>
      <c r="C439" s="3" t="s">
        <v>73</v>
      </c>
      <c r="D439" s="3" t="s">
        <v>18</v>
      </c>
      <c r="E439" s="3" t="s">
        <v>21</v>
      </c>
      <c r="F439" s="3">
        <f>IF(D439="Urban",1,0)</f>
        <v>1</v>
      </c>
      <c r="G439" s="3">
        <v>23493</v>
      </c>
      <c r="H439" s="3">
        <v>2</v>
      </c>
      <c r="I439" s="3">
        <v>52940</v>
      </c>
      <c r="J439" s="3">
        <f>IF(E439="Cold",1,0)</f>
        <v>0</v>
      </c>
      <c r="K439" s="3">
        <f>IF(E439="Hot",1,0)</f>
        <v>1</v>
      </c>
      <c r="L439" s="3">
        <v>1718</v>
      </c>
      <c r="M439" s="3">
        <v>87</v>
      </c>
      <c r="N439" s="4">
        <v>44203</v>
      </c>
      <c r="O439" s="10">
        <v>393140.76299999998</v>
      </c>
      <c r="P439" s="1">
        <f>$C$3+F439*$C$4+H439*$C$6+J439*$C$8+K439*$C$9+L439*$C$10+M439*$C$11</f>
        <v>370740.80717755033</v>
      </c>
      <c r="Q439" s="1">
        <f>(O439-P439)/O439</f>
        <v>5.6976935313242105E-2</v>
      </c>
      <c r="R439" s="1"/>
      <c r="S439" s="1"/>
    </row>
    <row r="440" spans="1:19" x14ac:dyDescent="0.3">
      <c r="A440" s="2">
        <v>711</v>
      </c>
      <c r="B440" s="3" t="s">
        <v>72</v>
      </c>
      <c r="C440" s="3" t="s">
        <v>96</v>
      </c>
      <c r="D440" s="3" t="s">
        <v>18</v>
      </c>
      <c r="E440" s="3" t="s">
        <v>15</v>
      </c>
      <c r="F440" s="3">
        <f>IF(D440="Urban",1,0)</f>
        <v>1</v>
      </c>
      <c r="G440" s="3">
        <v>10898</v>
      </c>
      <c r="H440" s="3">
        <v>9</v>
      </c>
      <c r="I440" s="3">
        <v>59009</v>
      </c>
      <c r="J440" s="3">
        <f>IF(E440="Cold",1,0)</f>
        <v>1</v>
      </c>
      <c r="K440" s="3">
        <f>IF(E440="Hot",1,0)</f>
        <v>0</v>
      </c>
      <c r="L440" s="3">
        <v>1480</v>
      </c>
      <c r="M440" s="3">
        <v>24</v>
      </c>
      <c r="N440" s="4">
        <v>45016</v>
      </c>
      <c r="O440" s="10">
        <v>338945.03649999999</v>
      </c>
      <c r="P440" s="1">
        <f>$C$3+F440*$C$4+H440*$C$6+J440*$C$8+K440*$C$9+L440*$C$10+M440*$C$11</f>
        <v>319700.03186241788</v>
      </c>
      <c r="Q440" s="1">
        <f>(O440-P440)/O440</f>
        <v>5.6779131024631814E-2</v>
      </c>
      <c r="R440" s="1"/>
      <c r="S440" s="1"/>
    </row>
    <row r="441" spans="1:19" x14ac:dyDescent="0.3">
      <c r="A441" s="2">
        <v>597</v>
      </c>
      <c r="B441" s="3" t="s">
        <v>55</v>
      </c>
      <c r="C441" s="3" t="s">
        <v>169</v>
      </c>
      <c r="D441" s="3" t="s">
        <v>14</v>
      </c>
      <c r="E441" s="3" t="s">
        <v>21</v>
      </c>
      <c r="F441" s="3">
        <f>IF(D441="Urban",1,0)</f>
        <v>0</v>
      </c>
      <c r="G441" s="3">
        <v>13596</v>
      </c>
      <c r="H441" s="3">
        <v>6</v>
      </c>
      <c r="I441" s="3">
        <v>82431</v>
      </c>
      <c r="J441" s="3">
        <f>IF(E441="Cold",1,0)</f>
        <v>0</v>
      </c>
      <c r="K441" s="3">
        <f>IF(E441="Hot",1,0)</f>
        <v>1</v>
      </c>
      <c r="L441" s="3">
        <v>2956</v>
      </c>
      <c r="M441" s="3">
        <v>40</v>
      </c>
      <c r="N441" s="4">
        <v>44992</v>
      </c>
      <c r="O441" s="10">
        <v>352439.05859999999</v>
      </c>
      <c r="P441" s="1">
        <f>$C$3+F441*$C$4+H441*$C$6+J441*$C$8+K441*$C$9+L441*$C$10+M441*$C$11</f>
        <v>332442.20392379415</v>
      </c>
      <c r="Q441" s="1">
        <f>(O441-P441)/O441</f>
        <v>5.6738474888792703E-2</v>
      </c>
      <c r="R441" s="1"/>
      <c r="S441" s="1"/>
    </row>
    <row r="442" spans="1:19" x14ac:dyDescent="0.3">
      <c r="A442" s="2">
        <v>876</v>
      </c>
      <c r="B442" s="3" t="s">
        <v>35</v>
      </c>
      <c r="C442" s="3" t="s">
        <v>200</v>
      </c>
      <c r="D442" s="3" t="s">
        <v>18</v>
      </c>
      <c r="E442" s="3" t="s">
        <v>15</v>
      </c>
      <c r="F442" s="3">
        <f>IF(D442="Urban",1,0)</f>
        <v>1</v>
      </c>
      <c r="G442" s="3">
        <v>14307</v>
      </c>
      <c r="H442" s="3">
        <v>9</v>
      </c>
      <c r="I442" s="3">
        <v>89347</v>
      </c>
      <c r="J442" s="3">
        <f>IF(E442="Cold",1,0)</f>
        <v>1</v>
      </c>
      <c r="K442" s="3">
        <f>IF(E442="Hot",1,0)</f>
        <v>0</v>
      </c>
      <c r="L442" s="3">
        <v>2860</v>
      </c>
      <c r="M442" s="3">
        <v>60</v>
      </c>
      <c r="N442" s="4">
        <v>44229</v>
      </c>
      <c r="O442" s="10">
        <v>379878.98580000002</v>
      </c>
      <c r="P442" s="1">
        <f>$C$3+F442*$C$4+H442*$C$6+J442*$C$8+K442*$C$9+L442*$C$10+M442*$C$11</f>
        <v>358337.04298402905</v>
      </c>
      <c r="Q442" s="1">
        <f>(O442-P442)/O442</f>
        <v>5.6707382143303009E-2</v>
      </c>
      <c r="R442" s="1"/>
      <c r="S442" s="1"/>
    </row>
    <row r="443" spans="1:19" x14ac:dyDescent="0.3">
      <c r="A443" s="2">
        <v>562</v>
      </c>
      <c r="B443" s="3" t="s">
        <v>28</v>
      </c>
      <c r="C443" s="3" t="s">
        <v>46</v>
      </c>
      <c r="D443" s="3" t="s">
        <v>14</v>
      </c>
      <c r="E443" s="3" t="s">
        <v>15</v>
      </c>
      <c r="F443" s="3">
        <f>IF(D443="Urban",1,0)</f>
        <v>0</v>
      </c>
      <c r="G443" s="3">
        <v>2364</v>
      </c>
      <c r="H443" s="3">
        <v>3</v>
      </c>
      <c r="I443" s="3">
        <v>84700</v>
      </c>
      <c r="J443" s="3">
        <f>IF(E443="Cold",1,0)</f>
        <v>1</v>
      </c>
      <c r="K443" s="3">
        <f>IF(E443="Hot",1,0)</f>
        <v>0</v>
      </c>
      <c r="L443" s="3">
        <v>2416</v>
      </c>
      <c r="M443" s="3">
        <v>61</v>
      </c>
      <c r="N443" s="4">
        <v>45275</v>
      </c>
      <c r="O443" s="10">
        <v>329368.89549999998</v>
      </c>
      <c r="P443" s="1">
        <f>$C$3+F443*$C$4+H443*$C$6+J443*$C$8+K443*$C$9+L443*$C$10+M443*$C$11</f>
        <v>310766.69859628688</v>
      </c>
      <c r="Q443" s="1">
        <f>(O443-P443)/O443</f>
        <v>5.6478304897230672E-2</v>
      </c>
      <c r="R443" s="1"/>
      <c r="S443" s="1"/>
    </row>
    <row r="444" spans="1:19" x14ac:dyDescent="0.3">
      <c r="A444" s="2">
        <v>749</v>
      </c>
      <c r="B444" s="3" t="s">
        <v>35</v>
      </c>
      <c r="C444" s="3" t="s">
        <v>148</v>
      </c>
      <c r="D444" s="3" t="s">
        <v>14</v>
      </c>
      <c r="E444" s="3" t="s">
        <v>21</v>
      </c>
      <c r="F444" s="3">
        <f>IF(D444="Urban",1,0)</f>
        <v>0</v>
      </c>
      <c r="G444" s="3">
        <v>24891</v>
      </c>
      <c r="H444" s="3">
        <v>5</v>
      </c>
      <c r="I444" s="3">
        <v>90407</v>
      </c>
      <c r="J444" s="3">
        <f>IF(E444="Cold",1,0)</f>
        <v>0</v>
      </c>
      <c r="K444" s="3">
        <f>IF(E444="Hot",1,0)</f>
        <v>1</v>
      </c>
      <c r="L444" s="3">
        <v>2706</v>
      </c>
      <c r="M444" s="3">
        <v>65</v>
      </c>
      <c r="N444" s="4">
        <v>44429</v>
      </c>
      <c r="O444" s="10">
        <v>356227.93670000002</v>
      </c>
      <c r="P444" s="1">
        <f>$C$3+F444*$C$4+H444*$C$6+J444*$C$8+K444*$C$9+L444*$C$10+M444*$C$11</f>
        <v>336108.78972592478</v>
      </c>
      <c r="Q444" s="1">
        <f>(O444-P444)/O444</f>
        <v>5.6478296341532369E-2</v>
      </c>
      <c r="R444" s="1"/>
      <c r="S444" s="1"/>
    </row>
    <row r="445" spans="1:19" x14ac:dyDescent="0.3">
      <c r="A445" s="2">
        <v>127</v>
      </c>
      <c r="B445" s="3" t="s">
        <v>37</v>
      </c>
      <c r="C445" s="3" t="s">
        <v>127</v>
      </c>
      <c r="D445" s="3" t="s">
        <v>18</v>
      </c>
      <c r="E445" s="3" t="s">
        <v>23</v>
      </c>
      <c r="F445" s="3">
        <f>IF(D445="Urban",1,0)</f>
        <v>1</v>
      </c>
      <c r="G445" s="3">
        <v>22230</v>
      </c>
      <c r="H445" s="3">
        <v>3</v>
      </c>
      <c r="I445" s="3">
        <v>79004</v>
      </c>
      <c r="J445" s="3">
        <f>IF(E445="Cold",1,0)</f>
        <v>0</v>
      </c>
      <c r="K445" s="3">
        <f>IF(E445="Hot",1,0)</f>
        <v>0</v>
      </c>
      <c r="L445" s="3">
        <v>2778</v>
      </c>
      <c r="M445" s="3">
        <v>45</v>
      </c>
      <c r="N445" s="4">
        <v>45120</v>
      </c>
      <c r="O445" s="10">
        <v>399177.58299999998</v>
      </c>
      <c r="P445" s="1">
        <f>$C$3+F445*$C$4+H445*$C$6+J445*$C$8+K445*$C$9+L445*$C$10+M445*$C$11</f>
        <v>376715.21051746362</v>
      </c>
      <c r="Q445" s="1">
        <f>(O445-P445)/O445</f>
        <v>5.6271628065187124E-2</v>
      </c>
      <c r="R445" s="1"/>
      <c r="S445" s="1"/>
    </row>
    <row r="446" spans="1:19" x14ac:dyDescent="0.3">
      <c r="A446" s="2">
        <v>134</v>
      </c>
      <c r="B446" s="3" t="s">
        <v>44</v>
      </c>
      <c r="C446" s="3" t="s">
        <v>82</v>
      </c>
      <c r="D446" s="3" t="s">
        <v>18</v>
      </c>
      <c r="E446" s="3" t="s">
        <v>21</v>
      </c>
      <c r="F446" s="3">
        <f>IF(D446="Urban",1,0)</f>
        <v>1</v>
      </c>
      <c r="G446" s="3">
        <v>1574</v>
      </c>
      <c r="H446" s="3">
        <v>8</v>
      </c>
      <c r="I446" s="3">
        <v>83395</v>
      </c>
      <c r="J446" s="3">
        <f>IF(E446="Cold",1,0)</f>
        <v>0</v>
      </c>
      <c r="K446" s="3">
        <f>IF(E446="Hot",1,0)</f>
        <v>1</v>
      </c>
      <c r="L446" s="3">
        <v>1246</v>
      </c>
      <c r="M446" s="3">
        <v>78</v>
      </c>
      <c r="N446" s="4">
        <v>45072</v>
      </c>
      <c r="O446" s="10">
        <v>373838.69030000002</v>
      </c>
      <c r="P446" s="1">
        <f>$C$3+F446*$C$4+H446*$C$6+J446*$C$8+K446*$C$9+L446*$C$10+M446*$C$11</f>
        <v>352846.42303427088</v>
      </c>
      <c r="Q446" s="1">
        <f>(O446-P446)/O446</f>
        <v>5.6153276293802436E-2</v>
      </c>
      <c r="R446" s="1"/>
      <c r="S446" s="1"/>
    </row>
    <row r="447" spans="1:19" x14ac:dyDescent="0.3">
      <c r="A447" s="2">
        <v>196</v>
      </c>
      <c r="B447" s="3" t="s">
        <v>33</v>
      </c>
      <c r="C447" s="3" t="s">
        <v>91</v>
      </c>
      <c r="D447" s="3" t="s">
        <v>18</v>
      </c>
      <c r="E447" s="3" t="s">
        <v>23</v>
      </c>
      <c r="F447" s="3">
        <f>IF(D447="Urban",1,0)</f>
        <v>1</v>
      </c>
      <c r="G447" s="3">
        <v>11979</v>
      </c>
      <c r="H447" s="3">
        <v>1</v>
      </c>
      <c r="I447" s="3">
        <v>59532</v>
      </c>
      <c r="J447" s="3">
        <f>IF(E447="Cold",1,0)</f>
        <v>0</v>
      </c>
      <c r="K447" s="3">
        <f>IF(E447="Hot",1,0)</f>
        <v>0</v>
      </c>
      <c r="L447" s="3">
        <v>1436</v>
      </c>
      <c r="M447" s="3">
        <v>74</v>
      </c>
      <c r="N447" s="4">
        <v>45019</v>
      </c>
      <c r="O447" s="10">
        <v>382165.11810000002</v>
      </c>
      <c r="P447" s="1">
        <f>$C$3+F447*$C$4+H447*$C$6+J447*$C$8+K447*$C$9+L447*$C$10+M447*$C$11</f>
        <v>360771.71475883911</v>
      </c>
      <c r="Q447" s="1">
        <f>(O447-P447)/O447</f>
        <v>5.5979476744298165E-2</v>
      </c>
      <c r="R447" s="1"/>
      <c r="S447" s="1"/>
    </row>
    <row r="448" spans="1:19" x14ac:dyDescent="0.3">
      <c r="A448" s="2">
        <v>638</v>
      </c>
      <c r="B448" s="3" t="s">
        <v>28</v>
      </c>
      <c r="C448" s="3" t="s">
        <v>115</v>
      </c>
      <c r="D448" s="3" t="s">
        <v>18</v>
      </c>
      <c r="E448" s="3" t="s">
        <v>23</v>
      </c>
      <c r="F448" s="3">
        <f>IF(D448="Urban",1,0)</f>
        <v>1</v>
      </c>
      <c r="G448" s="3">
        <v>26645</v>
      </c>
      <c r="H448" s="3">
        <v>3</v>
      </c>
      <c r="I448" s="3">
        <v>51877</v>
      </c>
      <c r="J448" s="3">
        <f>IF(E448="Cold",1,0)</f>
        <v>0</v>
      </c>
      <c r="K448" s="3">
        <f>IF(E448="Hot",1,0)</f>
        <v>0</v>
      </c>
      <c r="L448" s="3">
        <v>1579</v>
      </c>
      <c r="M448" s="3">
        <v>62</v>
      </c>
      <c r="N448" s="4">
        <v>44072</v>
      </c>
      <c r="O448" s="10">
        <v>379205.38439999998</v>
      </c>
      <c r="P448" s="1">
        <f>$C$3+F448*$C$4+H448*$C$6+J448*$C$8+K448*$C$9+L448*$C$10+M448*$C$11</f>
        <v>358026.61730491673</v>
      </c>
      <c r="Q448" s="1">
        <f>(O448-P448)/O448</f>
        <v>5.585038600808237E-2</v>
      </c>
      <c r="R448" s="1"/>
      <c r="S448" s="1"/>
    </row>
    <row r="449" spans="1:19" x14ac:dyDescent="0.3">
      <c r="A449" s="2">
        <v>387</v>
      </c>
      <c r="B449" s="3" t="s">
        <v>31</v>
      </c>
      <c r="C449" s="3" t="s">
        <v>146</v>
      </c>
      <c r="D449" s="3" t="s">
        <v>18</v>
      </c>
      <c r="E449" s="3" t="s">
        <v>15</v>
      </c>
      <c r="F449" s="3">
        <f>IF(D449="Urban",1,0)</f>
        <v>1</v>
      </c>
      <c r="G449" s="3">
        <v>29542</v>
      </c>
      <c r="H449" s="3">
        <v>9</v>
      </c>
      <c r="I449" s="3">
        <v>62153</v>
      </c>
      <c r="J449" s="3">
        <f>IF(E449="Cold",1,0)</f>
        <v>1</v>
      </c>
      <c r="K449" s="3">
        <f>IF(E449="Hot",1,0)</f>
        <v>0</v>
      </c>
      <c r="L449" s="3">
        <v>2364</v>
      </c>
      <c r="M449" s="3">
        <v>92</v>
      </c>
      <c r="N449" s="4">
        <v>45455</v>
      </c>
      <c r="O449" s="10">
        <v>379473.21110000001</v>
      </c>
      <c r="P449" s="1">
        <f>$C$3+F449*$C$4+H449*$C$6+J449*$C$8+K449*$C$9+L449*$C$10+M449*$C$11</f>
        <v>358301.7068929394</v>
      </c>
      <c r="Q449" s="1">
        <f>(O449-P449)/O449</f>
        <v>5.5791828218096348E-2</v>
      </c>
      <c r="R449" s="1"/>
      <c r="S449" s="1"/>
    </row>
    <row r="450" spans="1:19" x14ac:dyDescent="0.3">
      <c r="A450" s="2">
        <v>652</v>
      </c>
      <c r="B450" s="3" t="s">
        <v>28</v>
      </c>
      <c r="C450" s="3" t="s">
        <v>43</v>
      </c>
      <c r="D450" s="3" t="s">
        <v>14</v>
      </c>
      <c r="E450" s="3" t="s">
        <v>23</v>
      </c>
      <c r="F450" s="3">
        <f>IF(D450="Urban",1,0)</f>
        <v>0</v>
      </c>
      <c r="G450" s="3">
        <v>11403</v>
      </c>
      <c r="H450" s="3">
        <v>7</v>
      </c>
      <c r="I450" s="3">
        <v>78574</v>
      </c>
      <c r="J450" s="3">
        <f>IF(E450="Cold",1,0)</f>
        <v>0</v>
      </c>
      <c r="K450" s="3">
        <f>IF(E450="Hot",1,0)</f>
        <v>0</v>
      </c>
      <c r="L450" s="3">
        <v>2786</v>
      </c>
      <c r="M450" s="3">
        <v>96</v>
      </c>
      <c r="N450" s="4">
        <v>43958</v>
      </c>
      <c r="O450" s="10">
        <v>364404.81520000001</v>
      </c>
      <c r="P450" s="1">
        <f>$C$3+F450*$C$4+H450*$C$6+J450*$C$8+K450*$C$9+L450*$C$10+M450*$C$11</f>
        <v>344075.97813219699</v>
      </c>
      <c r="Q450" s="1">
        <f>(O450-P450)/O450</f>
        <v>5.5786411759256624E-2</v>
      </c>
      <c r="R450" s="1"/>
      <c r="S450" s="1"/>
    </row>
    <row r="451" spans="1:19" x14ac:dyDescent="0.3">
      <c r="A451" s="2">
        <v>948</v>
      </c>
      <c r="B451" s="3" t="s">
        <v>37</v>
      </c>
      <c r="C451" s="3" t="s">
        <v>114</v>
      </c>
      <c r="D451" s="3" t="s">
        <v>18</v>
      </c>
      <c r="E451" s="3" t="s">
        <v>21</v>
      </c>
      <c r="F451" s="3">
        <f>IF(D451="Urban",1,0)</f>
        <v>1</v>
      </c>
      <c r="G451" s="3">
        <v>17875</v>
      </c>
      <c r="H451" s="3">
        <v>9</v>
      </c>
      <c r="I451" s="3">
        <v>84810</v>
      </c>
      <c r="J451" s="3">
        <f>IF(E451="Cold",1,0)</f>
        <v>0</v>
      </c>
      <c r="K451" s="3">
        <f>IF(E451="Hot",1,0)</f>
        <v>1</v>
      </c>
      <c r="L451" s="3">
        <v>2200</v>
      </c>
      <c r="M451" s="3">
        <v>99</v>
      </c>
      <c r="N451" s="4">
        <v>44588</v>
      </c>
      <c r="O451" s="10">
        <v>399626.72330000001</v>
      </c>
      <c r="P451" s="1">
        <f>$C$3+F451*$C$4+H451*$C$6+J451*$C$8+K451*$C$9+L451*$C$10+M451*$C$11</f>
        <v>377408.18241932656</v>
      </c>
      <c r="Q451" s="1">
        <f>(O451-P451)/O451</f>
        <v>5.5598236016849094E-2</v>
      </c>
      <c r="R451" s="1"/>
      <c r="S451" s="1"/>
    </row>
    <row r="452" spans="1:19" x14ac:dyDescent="0.3">
      <c r="A452" s="2">
        <v>24</v>
      </c>
      <c r="B452" s="3" t="s">
        <v>19</v>
      </c>
      <c r="C452" s="3" t="s">
        <v>52</v>
      </c>
      <c r="D452" s="3" t="s">
        <v>14</v>
      </c>
      <c r="E452" s="3" t="s">
        <v>15</v>
      </c>
      <c r="F452" s="3">
        <f>IF(D452="Urban",1,0)</f>
        <v>0</v>
      </c>
      <c r="G452" s="3">
        <v>14678</v>
      </c>
      <c r="H452" s="3">
        <v>2</v>
      </c>
      <c r="I452" s="3">
        <v>64296</v>
      </c>
      <c r="J452" s="3">
        <f>IF(E452="Cold",1,0)</f>
        <v>1</v>
      </c>
      <c r="K452" s="3">
        <f>IF(E452="Hot",1,0)</f>
        <v>0</v>
      </c>
      <c r="L452" s="3">
        <v>2294</v>
      </c>
      <c r="M452" s="3">
        <v>59</v>
      </c>
      <c r="N452" s="4">
        <v>44957</v>
      </c>
      <c r="O452" s="10">
        <v>326834.71629999997</v>
      </c>
      <c r="P452" s="1">
        <f>$C$3+F452*$C$4+H452*$C$6+J452*$C$8+K452*$C$9+L452*$C$10+M452*$C$11</f>
        <v>308665.57600179798</v>
      </c>
      <c r="Q452" s="1">
        <f>(O452-P452)/O452</f>
        <v>5.5591219023148779E-2</v>
      </c>
      <c r="R452" s="1"/>
      <c r="S452" s="1"/>
    </row>
    <row r="453" spans="1:19" x14ac:dyDescent="0.3">
      <c r="A453" s="2">
        <v>732</v>
      </c>
      <c r="B453" s="3" t="s">
        <v>16</v>
      </c>
      <c r="C453" s="3" t="s">
        <v>51</v>
      </c>
      <c r="D453" s="3" t="s">
        <v>18</v>
      </c>
      <c r="E453" s="3" t="s">
        <v>23</v>
      </c>
      <c r="F453" s="3">
        <f>IF(D453="Urban",1,0)</f>
        <v>1</v>
      </c>
      <c r="G453" s="3">
        <v>29708</v>
      </c>
      <c r="H453" s="3">
        <v>9</v>
      </c>
      <c r="I453" s="3">
        <v>96908</v>
      </c>
      <c r="J453" s="3">
        <f>IF(E453="Cold",1,0)</f>
        <v>0</v>
      </c>
      <c r="K453" s="3">
        <f>IF(E453="Hot",1,0)</f>
        <v>0</v>
      </c>
      <c r="L453" s="3">
        <v>1098</v>
      </c>
      <c r="M453" s="3">
        <v>49</v>
      </c>
      <c r="N453" s="4">
        <v>44527</v>
      </c>
      <c r="O453" s="10">
        <v>358652.58</v>
      </c>
      <c r="P453" s="1">
        <f>$C$3+F453*$C$4+H453*$C$6+J453*$C$8+K453*$C$9+L453*$C$10+M453*$C$11</f>
        <v>338719.69957451458</v>
      </c>
      <c r="Q453" s="1">
        <f>(O453-P453)/O453</f>
        <v>5.5577128221091933E-2</v>
      </c>
      <c r="R453" s="1"/>
      <c r="S453" s="1"/>
    </row>
    <row r="454" spans="1:19" x14ac:dyDescent="0.3">
      <c r="A454" s="2">
        <v>827</v>
      </c>
      <c r="B454" s="3" t="s">
        <v>44</v>
      </c>
      <c r="C454" s="3" t="s">
        <v>111</v>
      </c>
      <c r="D454" s="3" t="s">
        <v>18</v>
      </c>
      <c r="E454" s="3" t="s">
        <v>23</v>
      </c>
      <c r="F454" s="3">
        <f>IF(D454="Urban",1,0)</f>
        <v>1</v>
      </c>
      <c r="G454" s="3">
        <v>8163</v>
      </c>
      <c r="H454" s="3">
        <v>2</v>
      </c>
      <c r="I454" s="3">
        <v>92737</v>
      </c>
      <c r="J454" s="3">
        <f>IF(E454="Cold",1,0)</f>
        <v>0</v>
      </c>
      <c r="K454" s="3">
        <f>IF(E454="Hot",1,0)</f>
        <v>0</v>
      </c>
      <c r="L454" s="3">
        <v>2107</v>
      </c>
      <c r="M454" s="3">
        <v>34</v>
      </c>
      <c r="N454" s="4">
        <v>44965</v>
      </c>
      <c r="O454" s="10">
        <v>382112.91350000002</v>
      </c>
      <c r="P454" s="1">
        <f>$C$3+F454*$C$4+H454*$C$6+J454*$C$8+K454*$C$9+L454*$C$10+M454*$C$11</f>
        <v>360883.59680319432</v>
      </c>
      <c r="Q454" s="1">
        <f>(O454-P454)/O454</f>
        <v>5.5557705449820409E-2</v>
      </c>
      <c r="R454" s="1"/>
      <c r="S454" s="1"/>
    </row>
    <row r="455" spans="1:19" x14ac:dyDescent="0.3">
      <c r="A455" s="2">
        <v>877</v>
      </c>
      <c r="B455" s="3" t="s">
        <v>31</v>
      </c>
      <c r="C455" s="3" t="s">
        <v>165</v>
      </c>
      <c r="D455" s="3" t="s">
        <v>18</v>
      </c>
      <c r="E455" s="3" t="s">
        <v>15</v>
      </c>
      <c r="F455" s="3">
        <f>IF(D455="Urban",1,0)</f>
        <v>1</v>
      </c>
      <c r="G455" s="3">
        <v>14959</v>
      </c>
      <c r="H455" s="3">
        <v>4</v>
      </c>
      <c r="I455" s="3">
        <v>59389</v>
      </c>
      <c r="J455" s="3">
        <f>IF(E455="Cold",1,0)</f>
        <v>1</v>
      </c>
      <c r="K455" s="3">
        <f>IF(E455="Hot",1,0)</f>
        <v>0</v>
      </c>
      <c r="L455" s="3">
        <v>2218</v>
      </c>
      <c r="M455" s="3">
        <v>34</v>
      </c>
      <c r="N455" s="4">
        <v>44634</v>
      </c>
      <c r="O455" s="10">
        <v>362377.00449999998</v>
      </c>
      <c r="P455" s="1">
        <f>$C$3+F455*$C$4+H455*$C$6+J455*$C$8+K455*$C$9+L455*$C$10+M455*$C$11</f>
        <v>342261.12386582687</v>
      </c>
      <c r="Q455" s="1">
        <f>(O455-P455)/O455</f>
        <v>5.5510919248114465E-2</v>
      </c>
      <c r="R455" s="1"/>
      <c r="S455" s="1"/>
    </row>
    <row r="456" spans="1:19" x14ac:dyDescent="0.3">
      <c r="A456" s="2">
        <v>787</v>
      </c>
      <c r="B456" s="3" t="s">
        <v>108</v>
      </c>
      <c r="C456" s="3" t="s">
        <v>214</v>
      </c>
      <c r="D456" s="3" t="s">
        <v>14</v>
      </c>
      <c r="E456" s="3" t="s">
        <v>15</v>
      </c>
      <c r="F456" s="3">
        <f>IF(D456="Urban",1,0)</f>
        <v>0</v>
      </c>
      <c r="G456" s="3">
        <v>19309</v>
      </c>
      <c r="H456" s="3">
        <v>2</v>
      </c>
      <c r="I456" s="3">
        <v>91669</v>
      </c>
      <c r="J456" s="3">
        <f>IF(E456="Cold",1,0)</f>
        <v>1</v>
      </c>
      <c r="K456" s="3">
        <f>IF(E456="Hot",1,0)</f>
        <v>0</v>
      </c>
      <c r="L456" s="3">
        <v>1896</v>
      </c>
      <c r="M456" s="3">
        <v>50</v>
      </c>
      <c r="N456" s="4">
        <v>44641</v>
      </c>
      <c r="O456" s="10">
        <v>315432.94689999998</v>
      </c>
      <c r="P456" s="1">
        <f>$C$3+F456*$C$4+H456*$C$6+J456*$C$8+K456*$C$9+L456*$C$10+M456*$C$11</f>
        <v>297948.59953518433</v>
      </c>
      <c r="Q456" s="1">
        <f>(O456-P456)/O456</f>
        <v>5.54296801797265E-2</v>
      </c>
      <c r="R456" s="1"/>
      <c r="S456" s="1"/>
    </row>
    <row r="457" spans="1:19" x14ac:dyDescent="0.3">
      <c r="A457" s="2">
        <v>357</v>
      </c>
      <c r="B457" s="3" t="s">
        <v>35</v>
      </c>
      <c r="C457" s="3" t="s">
        <v>192</v>
      </c>
      <c r="D457" s="3" t="s">
        <v>18</v>
      </c>
      <c r="E457" s="3" t="s">
        <v>21</v>
      </c>
      <c r="F457" s="3">
        <f>IF(D457="Urban",1,0)</f>
        <v>1</v>
      </c>
      <c r="G457" s="3">
        <v>8958</v>
      </c>
      <c r="H457" s="3">
        <v>7</v>
      </c>
      <c r="I457" s="3">
        <v>88868</v>
      </c>
      <c r="J457" s="3">
        <f>IF(E457="Cold",1,0)</f>
        <v>0</v>
      </c>
      <c r="K457" s="3">
        <f>IF(E457="Hot",1,0)</f>
        <v>1</v>
      </c>
      <c r="L457" s="3">
        <v>2234</v>
      </c>
      <c r="M457" s="3">
        <v>64</v>
      </c>
      <c r="N457" s="4">
        <v>44930</v>
      </c>
      <c r="O457" s="10">
        <v>390713.94010000001</v>
      </c>
      <c r="P457" s="1">
        <f>$C$3+F457*$C$4+H457*$C$6+J457*$C$8+K457*$C$9+L457*$C$10+M457*$C$11</f>
        <v>369198.86630523909</v>
      </c>
      <c r="Q457" s="1">
        <f>(O457-P457)/O457</f>
        <v>5.5066051109551685E-2</v>
      </c>
      <c r="R457" s="1"/>
      <c r="S457" s="1"/>
    </row>
    <row r="458" spans="1:19" x14ac:dyDescent="0.3">
      <c r="A458" s="2">
        <v>744</v>
      </c>
      <c r="B458" s="3" t="s">
        <v>19</v>
      </c>
      <c r="C458" s="3" t="s">
        <v>155</v>
      </c>
      <c r="D458" s="3" t="s">
        <v>18</v>
      </c>
      <c r="E458" s="3" t="s">
        <v>15</v>
      </c>
      <c r="F458" s="3">
        <f>IF(D458="Urban",1,0)</f>
        <v>1</v>
      </c>
      <c r="G458" s="3">
        <v>25544</v>
      </c>
      <c r="H458" s="3">
        <v>2</v>
      </c>
      <c r="I458" s="3">
        <v>56953</v>
      </c>
      <c r="J458" s="3">
        <f>IF(E458="Cold",1,0)</f>
        <v>1</v>
      </c>
      <c r="K458" s="3">
        <f>IF(E458="Hot",1,0)</f>
        <v>0</v>
      </c>
      <c r="L458" s="3">
        <v>1543</v>
      </c>
      <c r="M458" s="3">
        <v>91</v>
      </c>
      <c r="N458" s="4">
        <v>43857</v>
      </c>
      <c r="O458" s="10">
        <v>368483.19179999997</v>
      </c>
      <c r="P458" s="1">
        <f>$C$3+F458*$C$4+H458*$C$6+J458*$C$8+K458*$C$9+L458*$C$10+M458*$C$11</f>
        <v>348259.421829728</v>
      </c>
      <c r="Q458" s="1">
        <f>(O458-P458)/O458</f>
        <v>5.4883833022290843E-2</v>
      </c>
      <c r="R458" s="1"/>
      <c r="S458" s="1"/>
    </row>
    <row r="459" spans="1:19" x14ac:dyDescent="0.3">
      <c r="A459" s="2">
        <v>634</v>
      </c>
      <c r="B459" s="3" t="s">
        <v>29</v>
      </c>
      <c r="C459" s="3" t="s">
        <v>132</v>
      </c>
      <c r="D459" s="3" t="s">
        <v>14</v>
      </c>
      <c r="E459" s="3" t="s">
        <v>23</v>
      </c>
      <c r="F459" s="3">
        <f>IF(D459="Urban",1,0)</f>
        <v>0</v>
      </c>
      <c r="G459" s="3">
        <v>28838</v>
      </c>
      <c r="H459" s="3">
        <v>5</v>
      </c>
      <c r="I459" s="3">
        <v>54464</v>
      </c>
      <c r="J459" s="3">
        <f>IF(E459="Cold",1,0)</f>
        <v>0</v>
      </c>
      <c r="K459" s="3">
        <f>IF(E459="Hot",1,0)</f>
        <v>0</v>
      </c>
      <c r="L459" s="3">
        <v>2231</v>
      </c>
      <c r="M459" s="3">
        <v>37</v>
      </c>
      <c r="N459" s="4">
        <v>44370</v>
      </c>
      <c r="O459" s="10">
        <v>335085.76160000003</v>
      </c>
      <c r="P459" s="1">
        <f>$C$3+F459*$C$4+H459*$C$6+J459*$C$8+K459*$C$9+L459*$C$10+M459*$C$11</f>
        <v>316714.43837984902</v>
      </c>
      <c r="Q459" s="1">
        <f>(O459-P459)/O459</f>
        <v>5.4825735156366635E-2</v>
      </c>
      <c r="R459" s="1"/>
      <c r="S459" s="1"/>
    </row>
    <row r="460" spans="1:19" x14ac:dyDescent="0.3">
      <c r="A460" s="2">
        <v>342</v>
      </c>
      <c r="B460" s="3" t="s">
        <v>19</v>
      </c>
      <c r="C460" s="3" t="s">
        <v>129</v>
      </c>
      <c r="D460" s="3" t="s">
        <v>14</v>
      </c>
      <c r="E460" s="3" t="s">
        <v>15</v>
      </c>
      <c r="F460" s="3">
        <f>IF(D460="Urban",1,0)</f>
        <v>0</v>
      </c>
      <c r="G460" s="3">
        <v>7175</v>
      </c>
      <c r="H460" s="3">
        <v>3</v>
      </c>
      <c r="I460" s="3">
        <v>95343</v>
      </c>
      <c r="J460" s="3">
        <f>IF(E460="Cold",1,0)</f>
        <v>1</v>
      </c>
      <c r="K460" s="3">
        <f>IF(E460="Hot",1,0)</f>
        <v>0</v>
      </c>
      <c r="L460" s="3">
        <v>1937</v>
      </c>
      <c r="M460" s="3">
        <v>38</v>
      </c>
      <c r="N460" s="4">
        <v>44965</v>
      </c>
      <c r="O460" s="10">
        <v>311169.81439999997</v>
      </c>
      <c r="P460" s="1">
        <f>$C$3+F460*$C$4+H460*$C$6+J460*$C$8+K460*$C$9+L460*$C$10+M460*$C$11</f>
        <v>294117.98056592437</v>
      </c>
      <c r="Q460" s="1">
        <f>(O460-P460)/O460</f>
        <v>5.4799125895148536E-2</v>
      </c>
      <c r="R460" s="1"/>
      <c r="S460" s="1"/>
    </row>
    <row r="461" spans="1:19" x14ac:dyDescent="0.3">
      <c r="A461" s="2">
        <v>36</v>
      </c>
      <c r="B461" s="3" t="s">
        <v>26</v>
      </c>
      <c r="C461" s="3" t="s">
        <v>64</v>
      </c>
      <c r="D461" s="3" t="s">
        <v>18</v>
      </c>
      <c r="E461" s="3" t="s">
        <v>15</v>
      </c>
      <c r="F461" s="3">
        <f>IF(D461="Urban",1,0)</f>
        <v>1</v>
      </c>
      <c r="G461" s="3">
        <v>24947</v>
      </c>
      <c r="H461" s="3">
        <v>7</v>
      </c>
      <c r="I461" s="3">
        <v>71588</v>
      </c>
      <c r="J461" s="3">
        <f>IF(E461="Cold",1,0)</f>
        <v>1</v>
      </c>
      <c r="K461" s="3">
        <f>IF(E461="Hot",1,0)</f>
        <v>0</v>
      </c>
      <c r="L461" s="3">
        <v>2056</v>
      </c>
      <c r="M461" s="3">
        <v>84</v>
      </c>
      <c r="N461" s="4">
        <v>45442</v>
      </c>
      <c r="O461" s="10">
        <v>371971.348</v>
      </c>
      <c r="P461" s="1">
        <f>$C$3+F461*$C$4+H461*$C$6+J461*$C$8+K461*$C$9+L461*$C$10+M461*$C$11</f>
        <v>351589.29032926174</v>
      </c>
      <c r="Q461" s="1">
        <f>(O461-P461)/O461</f>
        <v>5.4794697979636479E-2</v>
      </c>
      <c r="R461" s="1"/>
      <c r="S461" s="1"/>
    </row>
    <row r="462" spans="1:19" x14ac:dyDescent="0.3">
      <c r="A462" s="2">
        <v>611</v>
      </c>
      <c r="B462" s="3" t="s">
        <v>108</v>
      </c>
      <c r="C462" s="3" t="s">
        <v>161</v>
      </c>
      <c r="D462" s="3" t="s">
        <v>18</v>
      </c>
      <c r="E462" s="3" t="s">
        <v>21</v>
      </c>
      <c r="F462" s="3">
        <f>IF(D462="Urban",1,0)</f>
        <v>1</v>
      </c>
      <c r="G462" s="3">
        <v>7589</v>
      </c>
      <c r="H462" s="3">
        <v>7</v>
      </c>
      <c r="I462" s="3">
        <v>89316</v>
      </c>
      <c r="J462" s="3">
        <f>IF(E462="Cold",1,0)</f>
        <v>0</v>
      </c>
      <c r="K462" s="3">
        <f>IF(E462="Hot",1,0)</f>
        <v>1</v>
      </c>
      <c r="L462" s="3">
        <v>1272</v>
      </c>
      <c r="M462" s="3">
        <v>50</v>
      </c>
      <c r="N462" s="4">
        <v>44343</v>
      </c>
      <c r="O462" s="10">
        <v>365720.09389999998</v>
      </c>
      <c r="P462" s="1">
        <f>$C$3+F462*$C$4+H462*$C$6+J462*$C$8+K462*$C$9+L462*$C$10+M462*$C$11</f>
        <v>345684.96308957034</v>
      </c>
      <c r="Q462" s="1">
        <f>(O462-P462)/O462</f>
        <v>5.4782690764341495E-2</v>
      </c>
      <c r="R462" s="1"/>
      <c r="S462" s="1"/>
    </row>
    <row r="463" spans="1:19" x14ac:dyDescent="0.3">
      <c r="A463" s="2">
        <v>144</v>
      </c>
      <c r="B463" s="3" t="s">
        <v>122</v>
      </c>
      <c r="C463" s="3" t="s">
        <v>137</v>
      </c>
      <c r="D463" s="3" t="s">
        <v>18</v>
      </c>
      <c r="E463" s="3" t="s">
        <v>21</v>
      </c>
      <c r="F463" s="3">
        <f>IF(D463="Urban",1,0)</f>
        <v>1</v>
      </c>
      <c r="G463" s="3">
        <v>1430</v>
      </c>
      <c r="H463" s="3">
        <v>7</v>
      </c>
      <c r="I463" s="3">
        <v>90079</v>
      </c>
      <c r="J463" s="3">
        <f>IF(E463="Cold",1,0)</f>
        <v>0</v>
      </c>
      <c r="K463" s="3">
        <f>IF(E463="Hot",1,0)</f>
        <v>1</v>
      </c>
      <c r="L463" s="3">
        <v>2311</v>
      </c>
      <c r="M463" s="3">
        <v>41</v>
      </c>
      <c r="N463" s="4">
        <v>45151</v>
      </c>
      <c r="O463" s="10">
        <v>384717.31390000001</v>
      </c>
      <c r="P463" s="1">
        <f>$C$3+F463*$C$4+H463*$C$6+J463*$C$8+K463*$C$9+L463*$C$10+M463*$C$11</f>
        <v>363646.26845474879</v>
      </c>
      <c r="Q463" s="1">
        <f>(O463-P463)/O463</f>
        <v>5.477020316982209E-2</v>
      </c>
      <c r="R463" s="1"/>
      <c r="S463" s="1"/>
    </row>
    <row r="464" spans="1:19" x14ac:dyDescent="0.3">
      <c r="A464" s="2">
        <v>883</v>
      </c>
      <c r="B464" s="3" t="s">
        <v>55</v>
      </c>
      <c r="C464" s="3" t="s">
        <v>56</v>
      </c>
      <c r="D464" s="3" t="s">
        <v>14</v>
      </c>
      <c r="E464" s="3" t="s">
        <v>23</v>
      </c>
      <c r="F464" s="3">
        <f>IF(D464="Urban",1,0)</f>
        <v>0</v>
      </c>
      <c r="G464" s="3">
        <v>27277</v>
      </c>
      <c r="H464" s="3">
        <v>6</v>
      </c>
      <c r="I464" s="3">
        <v>75539</v>
      </c>
      <c r="J464" s="3">
        <f>IF(E464="Cold",1,0)</f>
        <v>0</v>
      </c>
      <c r="K464" s="3">
        <f>IF(E464="Hot",1,0)</f>
        <v>0</v>
      </c>
      <c r="L464" s="3">
        <v>1509</v>
      </c>
      <c r="M464" s="3">
        <v>69</v>
      </c>
      <c r="N464" s="4">
        <v>44724</v>
      </c>
      <c r="O464" s="10">
        <v>329242.56439999997</v>
      </c>
      <c r="P464" s="1">
        <f>$C$3+F464*$C$4+H464*$C$6+J464*$C$8+K464*$C$9+L464*$C$10+M464*$C$11</f>
        <v>311218.71117999969</v>
      </c>
      <c r="Q464" s="1">
        <f>(O464-P464)/O464</f>
        <v>5.4743387304270072E-2</v>
      </c>
      <c r="R464" s="1"/>
      <c r="S464" s="1"/>
    </row>
    <row r="465" spans="1:19" x14ac:dyDescent="0.3">
      <c r="A465" s="2">
        <v>791</v>
      </c>
      <c r="B465" s="3" t="s">
        <v>74</v>
      </c>
      <c r="C465" s="3" t="s">
        <v>106</v>
      </c>
      <c r="D465" s="3" t="s">
        <v>18</v>
      </c>
      <c r="E465" s="3" t="s">
        <v>23</v>
      </c>
      <c r="F465" s="3">
        <f>IF(D465="Urban",1,0)</f>
        <v>1</v>
      </c>
      <c r="G465" s="3">
        <v>12995</v>
      </c>
      <c r="H465" s="3">
        <v>4</v>
      </c>
      <c r="I465" s="3">
        <v>76790</v>
      </c>
      <c r="J465" s="3">
        <f>IF(E465="Cold",1,0)</f>
        <v>0</v>
      </c>
      <c r="K465" s="3">
        <f>IF(E465="Hot",1,0)</f>
        <v>0</v>
      </c>
      <c r="L465" s="3">
        <v>2755</v>
      </c>
      <c r="M465" s="3">
        <v>51</v>
      </c>
      <c r="N465" s="4">
        <v>45474</v>
      </c>
      <c r="O465" s="10">
        <v>398933.19390000001</v>
      </c>
      <c r="P465" s="1">
        <f>$C$3+F465*$C$4+H465*$C$6+J465*$C$8+K465*$C$9+L465*$C$10+M465*$C$11</f>
        <v>377155.48089385871</v>
      </c>
      <c r="Q465" s="1">
        <f>(O465-P465)/O465</f>
        <v>5.4589874543255708E-2</v>
      </c>
      <c r="R465" s="1"/>
      <c r="S465" s="1"/>
    </row>
    <row r="466" spans="1:19" x14ac:dyDescent="0.3">
      <c r="A466" s="2">
        <v>860</v>
      </c>
      <c r="B466" s="3" t="s">
        <v>57</v>
      </c>
      <c r="C466" s="3" t="s">
        <v>116</v>
      </c>
      <c r="D466" s="3" t="s">
        <v>14</v>
      </c>
      <c r="E466" s="3" t="s">
        <v>21</v>
      </c>
      <c r="F466" s="3">
        <f>IF(D466="Urban",1,0)</f>
        <v>0</v>
      </c>
      <c r="G466" s="3">
        <v>11975</v>
      </c>
      <c r="H466" s="3">
        <v>9</v>
      </c>
      <c r="I466" s="3">
        <v>84887</v>
      </c>
      <c r="J466" s="3">
        <f>IF(E466="Cold",1,0)</f>
        <v>0</v>
      </c>
      <c r="K466" s="3">
        <f>IF(E466="Hot",1,0)</f>
        <v>1</v>
      </c>
      <c r="L466" s="3">
        <v>1688</v>
      </c>
      <c r="M466" s="3">
        <v>83</v>
      </c>
      <c r="N466" s="4">
        <v>44773</v>
      </c>
      <c r="O466" s="10">
        <v>335834.4412</v>
      </c>
      <c r="P466" s="1">
        <f>$C$3+F466*$C$4+H466*$C$6+J466*$C$8+K466*$C$9+L466*$C$10+M466*$C$11</f>
        <v>317540.26210237993</v>
      </c>
      <c r="Q466" s="1">
        <f>(O466-P466)/O466</f>
        <v>5.4473802723304696E-2</v>
      </c>
      <c r="R466" s="1"/>
      <c r="S466" s="1"/>
    </row>
    <row r="467" spans="1:19" x14ac:dyDescent="0.3">
      <c r="A467" s="2">
        <v>396</v>
      </c>
      <c r="B467" s="3" t="s">
        <v>40</v>
      </c>
      <c r="C467" s="3" t="s">
        <v>103</v>
      </c>
      <c r="D467" s="3" t="s">
        <v>14</v>
      </c>
      <c r="E467" s="3" t="s">
        <v>21</v>
      </c>
      <c r="F467" s="3">
        <f>IF(D467="Urban",1,0)</f>
        <v>0</v>
      </c>
      <c r="G467" s="3">
        <v>18039</v>
      </c>
      <c r="H467" s="3">
        <v>3</v>
      </c>
      <c r="I467" s="3">
        <v>93578</v>
      </c>
      <c r="J467" s="3">
        <f>IF(E467="Cold",1,0)</f>
        <v>0</v>
      </c>
      <c r="K467" s="3">
        <f>IF(E467="Hot",1,0)</f>
        <v>1</v>
      </c>
      <c r="L467" s="3">
        <v>2847</v>
      </c>
      <c r="M467" s="3">
        <v>27</v>
      </c>
      <c r="N467" s="4">
        <v>44775</v>
      </c>
      <c r="O467" s="10">
        <v>348055.85729999997</v>
      </c>
      <c r="P467" s="1">
        <f>$C$3+F467*$C$4+H467*$C$6+J467*$C$8+K467*$C$9+L467*$C$10+M467*$C$11</f>
        <v>329110.187936712</v>
      </c>
      <c r="Q467" s="1">
        <f>(O467-P467)/O467</f>
        <v>5.4432841642880689E-2</v>
      </c>
      <c r="R467" s="1"/>
      <c r="S467" s="1"/>
    </row>
    <row r="468" spans="1:19" x14ac:dyDescent="0.3">
      <c r="A468" s="2">
        <v>355</v>
      </c>
      <c r="B468" s="3" t="s">
        <v>53</v>
      </c>
      <c r="C468" s="3" t="s">
        <v>178</v>
      </c>
      <c r="D468" s="3" t="s">
        <v>18</v>
      </c>
      <c r="E468" s="3" t="s">
        <v>23</v>
      </c>
      <c r="F468" s="3">
        <f>IF(D468="Urban",1,0)</f>
        <v>1</v>
      </c>
      <c r="G468" s="3">
        <v>15278</v>
      </c>
      <c r="H468" s="3">
        <v>8</v>
      </c>
      <c r="I468" s="3">
        <v>73705</v>
      </c>
      <c r="J468" s="3">
        <f>IF(E468="Cold",1,0)</f>
        <v>0</v>
      </c>
      <c r="K468" s="3">
        <f>IF(E468="Hot",1,0)</f>
        <v>0</v>
      </c>
      <c r="L468" s="3">
        <v>1041</v>
      </c>
      <c r="M468" s="3">
        <v>34</v>
      </c>
      <c r="N468" s="4">
        <v>44756</v>
      </c>
      <c r="O468" s="10">
        <v>353117.72610000003</v>
      </c>
      <c r="P468" s="1">
        <f>$C$3+F468*$C$4+H468*$C$6+J468*$C$8+K468*$C$9+L468*$C$10+M468*$C$11</f>
        <v>333908.79484877089</v>
      </c>
      <c r="Q468" s="1">
        <f>(O468-P468)/O468</f>
        <v>5.4398093982371547E-2</v>
      </c>
      <c r="R468" s="1"/>
      <c r="S468" s="1"/>
    </row>
    <row r="469" spans="1:19" x14ac:dyDescent="0.3">
      <c r="A469" s="2">
        <v>337</v>
      </c>
      <c r="B469" s="3" t="s">
        <v>55</v>
      </c>
      <c r="C469" s="3" t="s">
        <v>98</v>
      </c>
      <c r="D469" s="3" t="s">
        <v>18</v>
      </c>
      <c r="E469" s="3" t="s">
        <v>21</v>
      </c>
      <c r="F469" s="3">
        <f>IF(D469="Urban",1,0)</f>
        <v>1</v>
      </c>
      <c r="G469" s="3">
        <v>10146</v>
      </c>
      <c r="H469" s="3">
        <v>3</v>
      </c>
      <c r="I469" s="3">
        <v>82469</v>
      </c>
      <c r="J469" s="3">
        <f>IF(E469="Cold",1,0)</f>
        <v>0</v>
      </c>
      <c r="K469" s="3">
        <f>IF(E469="Hot",1,0)</f>
        <v>1</v>
      </c>
      <c r="L469" s="3">
        <v>2658</v>
      </c>
      <c r="M469" s="3">
        <v>40</v>
      </c>
      <c r="N469" s="4">
        <v>44576</v>
      </c>
      <c r="O469" s="10">
        <v>395560.0024</v>
      </c>
      <c r="P469" s="1">
        <f>$C$3+F469*$C$4+H469*$C$6+J469*$C$8+K469*$C$9+L469*$C$10+M469*$C$11</f>
        <v>374063.52562648879</v>
      </c>
      <c r="Q469" s="1">
        <f>(O469-P469)/O469</f>
        <v>5.4344414609881223E-2</v>
      </c>
      <c r="R469" s="1"/>
      <c r="S469" s="1"/>
    </row>
    <row r="470" spans="1:19" x14ac:dyDescent="0.3">
      <c r="A470" s="2">
        <v>764</v>
      </c>
      <c r="B470" s="3" t="s">
        <v>26</v>
      </c>
      <c r="C470" s="3" t="s">
        <v>64</v>
      </c>
      <c r="D470" s="3" t="s">
        <v>18</v>
      </c>
      <c r="E470" s="3" t="s">
        <v>21</v>
      </c>
      <c r="F470" s="3">
        <f>IF(D470="Urban",1,0)</f>
        <v>1</v>
      </c>
      <c r="G470" s="3">
        <v>27843</v>
      </c>
      <c r="H470" s="3">
        <v>8</v>
      </c>
      <c r="I470" s="3">
        <v>63641</v>
      </c>
      <c r="J470" s="3">
        <f>IF(E470="Cold",1,0)</f>
        <v>0</v>
      </c>
      <c r="K470" s="3">
        <f>IF(E470="Hot",1,0)</f>
        <v>1</v>
      </c>
      <c r="L470" s="3">
        <v>2025</v>
      </c>
      <c r="M470" s="3">
        <v>67</v>
      </c>
      <c r="N470" s="4">
        <v>44627</v>
      </c>
      <c r="O470" s="10">
        <v>385936.20250000001</v>
      </c>
      <c r="P470" s="1">
        <f>$C$3+F470*$C$4+H470*$C$6+J470*$C$8+K470*$C$9+L470*$C$10+M470*$C$11</f>
        <v>365002.43515632447</v>
      </c>
      <c r="Q470" s="1">
        <f>(O470-P470)/O470</f>
        <v>5.4241522842562409E-2</v>
      </c>
      <c r="R470" s="1"/>
      <c r="S470" s="1"/>
    </row>
    <row r="471" spans="1:19" x14ac:dyDescent="0.3">
      <c r="A471" s="2">
        <v>375</v>
      </c>
      <c r="B471" s="3" t="s">
        <v>16</v>
      </c>
      <c r="C471" s="3" t="s">
        <v>87</v>
      </c>
      <c r="D471" s="3" t="s">
        <v>14</v>
      </c>
      <c r="E471" s="3" t="s">
        <v>23</v>
      </c>
      <c r="F471" s="3">
        <f>IF(D471="Urban",1,0)</f>
        <v>0</v>
      </c>
      <c r="G471" s="3">
        <v>11889</v>
      </c>
      <c r="H471" s="3">
        <v>7</v>
      </c>
      <c r="I471" s="3">
        <v>84407</v>
      </c>
      <c r="J471" s="3">
        <f>IF(E471="Cold",1,0)</f>
        <v>0</v>
      </c>
      <c r="K471" s="3">
        <f>IF(E471="Hot",1,0)</f>
        <v>0</v>
      </c>
      <c r="L471" s="3">
        <v>2609</v>
      </c>
      <c r="M471" s="3">
        <v>95</v>
      </c>
      <c r="N471" s="4">
        <v>45505</v>
      </c>
      <c r="O471" s="10">
        <v>359657.16379999998</v>
      </c>
      <c r="P471" s="1">
        <f>$C$3+F471*$C$4+H471*$C$6+J471*$C$8+K471*$C$9+L471*$C$10+M471*$C$11</f>
        <v>340235.35012852302</v>
      </c>
      <c r="Q471" s="1">
        <f>(O471-P471)/O471</f>
        <v>5.4000908716160444E-2</v>
      </c>
      <c r="R471" s="1"/>
      <c r="S471" s="1"/>
    </row>
    <row r="472" spans="1:19" x14ac:dyDescent="0.3">
      <c r="A472" s="2">
        <v>920</v>
      </c>
      <c r="B472" s="3" t="s">
        <v>29</v>
      </c>
      <c r="C472" s="3" t="s">
        <v>104</v>
      </c>
      <c r="D472" s="3" t="s">
        <v>18</v>
      </c>
      <c r="E472" s="3" t="s">
        <v>23</v>
      </c>
      <c r="F472" s="3">
        <f>IF(D472="Urban",1,0)</f>
        <v>1</v>
      </c>
      <c r="G472" s="3">
        <v>23586</v>
      </c>
      <c r="H472" s="3">
        <v>5</v>
      </c>
      <c r="I472" s="3">
        <v>92238</v>
      </c>
      <c r="J472" s="3">
        <f>IF(E472="Cold",1,0)</f>
        <v>0</v>
      </c>
      <c r="K472" s="3">
        <f>IF(E472="Hot",1,0)</f>
        <v>0</v>
      </c>
      <c r="L472" s="3">
        <v>2089</v>
      </c>
      <c r="M472" s="3">
        <v>56</v>
      </c>
      <c r="N472" s="4">
        <v>43887</v>
      </c>
      <c r="O472" s="10">
        <v>385243.25150000001</v>
      </c>
      <c r="P472" s="1">
        <f>$C$3+F472*$C$4+H472*$C$6+J472*$C$8+K472*$C$9+L472*$C$10+M472*$C$11</f>
        <v>364455.13764819776</v>
      </c>
      <c r="Q472" s="1">
        <f>(O472-P472)/O472</f>
        <v>5.3961007158102675E-2</v>
      </c>
      <c r="R472" s="1"/>
      <c r="S472" s="1"/>
    </row>
    <row r="473" spans="1:19" x14ac:dyDescent="0.3">
      <c r="A473" s="2">
        <v>254</v>
      </c>
      <c r="B473" s="3" t="s">
        <v>35</v>
      </c>
      <c r="C473" s="3" t="s">
        <v>177</v>
      </c>
      <c r="D473" s="3" t="s">
        <v>18</v>
      </c>
      <c r="E473" s="3" t="s">
        <v>15</v>
      </c>
      <c r="F473" s="3">
        <f>IF(D473="Urban",1,0)</f>
        <v>1</v>
      </c>
      <c r="G473" s="3">
        <v>10963</v>
      </c>
      <c r="H473" s="3">
        <v>0</v>
      </c>
      <c r="I473" s="3">
        <v>83537</v>
      </c>
      <c r="J473" s="3">
        <f>IF(E473="Cold",1,0)</f>
        <v>1</v>
      </c>
      <c r="K473" s="3">
        <f>IF(E473="Hot",1,0)</f>
        <v>0</v>
      </c>
      <c r="L473" s="3">
        <v>1095</v>
      </c>
      <c r="M473" s="3">
        <v>37</v>
      </c>
      <c r="N473" s="4">
        <v>44314</v>
      </c>
      <c r="O473" s="10">
        <v>343026.5883</v>
      </c>
      <c r="P473" s="1">
        <f>$C$3+F473*$C$4+H473*$C$6+J473*$C$8+K473*$C$9+L473*$C$10+M473*$C$11</f>
        <v>324574.43666420202</v>
      </c>
      <c r="Q473" s="1">
        <f>(O473-P473)/O473</f>
        <v>5.3792190649840615E-2</v>
      </c>
      <c r="R473" s="1"/>
      <c r="S473" s="1"/>
    </row>
    <row r="474" spans="1:19" x14ac:dyDescent="0.3">
      <c r="A474" s="2">
        <v>265</v>
      </c>
      <c r="B474" s="3" t="s">
        <v>24</v>
      </c>
      <c r="C474" s="3" t="s">
        <v>94</v>
      </c>
      <c r="D474" s="3" t="s">
        <v>14</v>
      </c>
      <c r="E474" s="3" t="s">
        <v>15</v>
      </c>
      <c r="F474" s="3">
        <f>IF(D474="Urban",1,0)</f>
        <v>0</v>
      </c>
      <c r="G474" s="3">
        <v>6850</v>
      </c>
      <c r="H474" s="3">
        <v>5</v>
      </c>
      <c r="I474" s="3">
        <v>81916</v>
      </c>
      <c r="J474" s="3">
        <f>IF(E474="Cold",1,0)</f>
        <v>1</v>
      </c>
      <c r="K474" s="3">
        <f>IF(E474="Hot",1,0)</f>
        <v>0</v>
      </c>
      <c r="L474" s="3">
        <v>2166</v>
      </c>
      <c r="M474" s="3">
        <v>45</v>
      </c>
      <c r="N474" s="4">
        <v>45186</v>
      </c>
      <c r="O474" s="10">
        <v>315928.3357</v>
      </c>
      <c r="P474" s="1">
        <f>$C$3+F474*$C$4+H474*$C$6+J474*$C$8+K474*$C$9+L474*$C$10+M474*$C$11</f>
        <v>298945.560092884</v>
      </c>
      <c r="Q474" s="1">
        <f>(O474-P474)/O474</f>
        <v>5.375515168491421E-2</v>
      </c>
      <c r="R474" s="1"/>
      <c r="S474" s="1"/>
    </row>
    <row r="475" spans="1:19" x14ac:dyDescent="0.3">
      <c r="A475" s="2">
        <v>407</v>
      </c>
      <c r="B475" s="3" t="s">
        <v>37</v>
      </c>
      <c r="C475" s="3" t="s">
        <v>61</v>
      </c>
      <c r="D475" s="3" t="s">
        <v>14</v>
      </c>
      <c r="E475" s="3" t="s">
        <v>15</v>
      </c>
      <c r="F475" s="3">
        <f>IF(D475="Urban",1,0)</f>
        <v>0</v>
      </c>
      <c r="G475" s="3">
        <v>9701</v>
      </c>
      <c r="H475" s="3">
        <v>8</v>
      </c>
      <c r="I475" s="3">
        <v>58930</v>
      </c>
      <c r="J475" s="3">
        <f>IF(E475="Cold",1,0)</f>
        <v>1</v>
      </c>
      <c r="K475" s="3">
        <f>IF(E475="Hot",1,0)</f>
        <v>0</v>
      </c>
      <c r="L475" s="3">
        <v>1326</v>
      </c>
      <c r="M475" s="3">
        <v>67</v>
      </c>
      <c r="N475" s="4">
        <v>45265</v>
      </c>
      <c r="O475" s="10">
        <v>302362.9081</v>
      </c>
      <c r="P475" s="1">
        <f>$C$3+F475*$C$4+H475*$C$6+J475*$C$8+K475*$C$9+L475*$C$10+M475*$C$11</f>
        <v>286112.40527627774</v>
      </c>
      <c r="Q475" s="1">
        <f>(O475-P475)/O475</f>
        <v>5.3745027542689713E-2</v>
      </c>
      <c r="R475" s="1"/>
      <c r="S475" s="1"/>
    </row>
    <row r="476" spans="1:19" x14ac:dyDescent="0.3">
      <c r="A476" s="2">
        <v>441</v>
      </c>
      <c r="B476" s="3" t="s">
        <v>26</v>
      </c>
      <c r="C476" s="3" t="s">
        <v>69</v>
      </c>
      <c r="D476" s="3" t="s">
        <v>14</v>
      </c>
      <c r="E476" s="3" t="s">
        <v>15</v>
      </c>
      <c r="F476" s="3">
        <f>IF(D476="Urban",1,0)</f>
        <v>0</v>
      </c>
      <c r="G476" s="3">
        <v>19953</v>
      </c>
      <c r="H476" s="3">
        <v>6</v>
      </c>
      <c r="I476" s="3">
        <v>54468</v>
      </c>
      <c r="J476" s="3">
        <f>IF(E476="Cold",1,0)</f>
        <v>1</v>
      </c>
      <c r="K476" s="3">
        <f>IF(E476="Hot",1,0)</f>
        <v>0</v>
      </c>
      <c r="L476" s="3">
        <v>2630</v>
      </c>
      <c r="M476" s="3">
        <v>58</v>
      </c>
      <c r="N476" s="4">
        <v>44272</v>
      </c>
      <c r="O476" s="10">
        <v>328911.81880000001</v>
      </c>
      <c r="P476" s="1">
        <f>$C$3+F476*$C$4+H476*$C$6+J476*$C$8+K476*$C$9+L476*$C$10+M476*$C$11</f>
        <v>311262.52438121283</v>
      </c>
      <c r="Q476" s="1">
        <f>(O476-P476)/O476</f>
        <v>5.3659654077432548E-2</v>
      </c>
      <c r="R476" s="1"/>
      <c r="S476" s="1"/>
    </row>
    <row r="477" spans="1:19" x14ac:dyDescent="0.3">
      <c r="A477" s="2">
        <v>8</v>
      </c>
      <c r="B477" s="3" t="s">
        <v>31</v>
      </c>
      <c r="C477" s="3" t="s">
        <v>32</v>
      </c>
      <c r="D477" s="3" t="s">
        <v>18</v>
      </c>
      <c r="E477" s="3" t="s">
        <v>21</v>
      </c>
      <c r="F477" s="3">
        <f>IF(D477="Urban",1,0)</f>
        <v>1</v>
      </c>
      <c r="G477" s="3">
        <v>17821</v>
      </c>
      <c r="H477" s="3">
        <v>3</v>
      </c>
      <c r="I477" s="3">
        <v>59800</v>
      </c>
      <c r="J477" s="3">
        <f>IF(E477="Cold",1,0)</f>
        <v>0</v>
      </c>
      <c r="K477" s="3">
        <f>IF(E477="Hot",1,0)</f>
        <v>1</v>
      </c>
      <c r="L477" s="3">
        <v>1104</v>
      </c>
      <c r="M477" s="3">
        <v>54</v>
      </c>
      <c r="N477" s="4">
        <v>44268</v>
      </c>
      <c r="O477" s="10">
        <v>367056.68790000002</v>
      </c>
      <c r="P477" s="1">
        <f>$C$3+F477*$C$4+H477*$C$6+J477*$C$8+K477*$C$9+L477*$C$10+M477*$C$11</f>
        <v>347365.4893231673</v>
      </c>
      <c r="Q477" s="1">
        <f>(O477-P477)/O477</f>
        <v>5.36462056841676E-2</v>
      </c>
      <c r="R477" s="1"/>
      <c r="S477" s="1"/>
    </row>
    <row r="478" spans="1:19" x14ac:dyDescent="0.3">
      <c r="A478" s="2">
        <v>478</v>
      </c>
      <c r="B478" s="3" t="s">
        <v>74</v>
      </c>
      <c r="C478" s="3" t="s">
        <v>153</v>
      </c>
      <c r="D478" s="3" t="s">
        <v>18</v>
      </c>
      <c r="E478" s="3" t="s">
        <v>21</v>
      </c>
      <c r="F478" s="3">
        <f>IF(D478="Urban",1,0)</f>
        <v>1</v>
      </c>
      <c r="G478" s="3">
        <v>10435</v>
      </c>
      <c r="H478" s="3">
        <v>2</v>
      </c>
      <c r="I478" s="3">
        <v>88402</v>
      </c>
      <c r="J478" s="3">
        <f>IF(E478="Cold",1,0)</f>
        <v>0</v>
      </c>
      <c r="K478" s="3">
        <f>IF(E478="Hot",1,0)</f>
        <v>1</v>
      </c>
      <c r="L478" s="3">
        <v>2610</v>
      </c>
      <c r="M478" s="3">
        <v>83</v>
      </c>
      <c r="N478" s="4">
        <v>43887</v>
      </c>
      <c r="O478" s="10">
        <v>409227.9706</v>
      </c>
      <c r="P478" s="1">
        <f>$C$3+F478*$C$4+H478*$C$6+J478*$C$8+K478*$C$9+L478*$C$10+M478*$C$11</f>
        <v>387309.57625601202</v>
      </c>
      <c r="Q478" s="1">
        <f>(O478-P478)/O478</f>
        <v>5.3560352465281805E-2</v>
      </c>
      <c r="R478" s="1"/>
      <c r="S478" s="1"/>
    </row>
    <row r="479" spans="1:19" x14ac:dyDescent="0.3">
      <c r="A479" s="2">
        <v>726</v>
      </c>
      <c r="B479" s="3" t="s">
        <v>12</v>
      </c>
      <c r="C479" s="3" t="s">
        <v>196</v>
      </c>
      <c r="D479" s="3" t="s">
        <v>14</v>
      </c>
      <c r="E479" s="3" t="s">
        <v>21</v>
      </c>
      <c r="F479" s="3">
        <f>IF(D479="Urban",1,0)</f>
        <v>0</v>
      </c>
      <c r="G479" s="3">
        <v>7383</v>
      </c>
      <c r="H479" s="3">
        <v>6</v>
      </c>
      <c r="I479" s="3">
        <v>51764</v>
      </c>
      <c r="J479" s="3">
        <f>IF(E479="Cold",1,0)</f>
        <v>0</v>
      </c>
      <c r="K479" s="3">
        <f>IF(E479="Hot",1,0)</f>
        <v>1</v>
      </c>
      <c r="L479" s="3">
        <v>1965</v>
      </c>
      <c r="M479" s="3">
        <v>60</v>
      </c>
      <c r="N479" s="4">
        <v>44632</v>
      </c>
      <c r="O479" s="10">
        <v>336845.13429999998</v>
      </c>
      <c r="P479" s="1">
        <f>$C$3+F479*$C$4+H479*$C$6+J479*$C$8+K479*$C$9+L479*$C$10+M479*$C$11</f>
        <v>318829.36735158792</v>
      </c>
      <c r="Q479" s="1">
        <f>(O479-P479)/O479</f>
        <v>5.3483827177289459E-2</v>
      </c>
      <c r="R479" s="1"/>
      <c r="S479" s="1"/>
    </row>
    <row r="480" spans="1:19" x14ac:dyDescent="0.3">
      <c r="A480" s="2">
        <v>564</v>
      </c>
      <c r="B480" s="3" t="s">
        <v>16</v>
      </c>
      <c r="C480" s="3" t="s">
        <v>211</v>
      </c>
      <c r="D480" s="3" t="s">
        <v>18</v>
      </c>
      <c r="E480" s="3" t="s">
        <v>23</v>
      </c>
      <c r="F480" s="3">
        <f>IF(D480="Urban",1,0)</f>
        <v>1</v>
      </c>
      <c r="G480" s="3">
        <v>12369</v>
      </c>
      <c r="H480" s="3">
        <v>0</v>
      </c>
      <c r="I480" s="3">
        <v>92599</v>
      </c>
      <c r="J480" s="3">
        <f>IF(E480="Cold",1,0)</f>
        <v>0</v>
      </c>
      <c r="K480" s="3">
        <f>IF(E480="Hot",1,0)</f>
        <v>0</v>
      </c>
      <c r="L480" s="3">
        <v>2899</v>
      </c>
      <c r="M480" s="3">
        <v>80</v>
      </c>
      <c r="N480" s="4">
        <v>45264</v>
      </c>
      <c r="O480" s="10">
        <v>414938.94280000002</v>
      </c>
      <c r="P480" s="1">
        <f>$C$3+F480*$C$4+H480*$C$6+J480*$C$8+K480*$C$9+L480*$C$10+M480*$C$11</f>
        <v>392768.35775920673</v>
      </c>
      <c r="Q480" s="1">
        <f>(O480-P480)/O480</f>
        <v>5.3430957555313095E-2</v>
      </c>
      <c r="R480" s="1"/>
      <c r="S480" s="1"/>
    </row>
    <row r="481" spans="1:19" x14ac:dyDescent="0.3">
      <c r="A481" s="2">
        <v>451</v>
      </c>
      <c r="B481" s="3" t="s">
        <v>31</v>
      </c>
      <c r="C481" s="3" t="s">
        <v>81</v>
      </c>
      <c r="D481" s="3" t="s">
        <v>14</v>
      </c>
      <c r="E481" s="3" t="s">
        <v>23</v>
      </c>
      <c r="F481" s="3">
        <f>IF(D481="Urban",1,0)</f>
        <v>0</v>
      </c>
      <c r="G481" s="3">
        <v>24983</v>
      </c>
      <c r="H481" s="3">
        <v>4</v>
      </c>
      <c r="I481" s="3">
        <v>51860</v>
      </c>
      <c r="J481" s="3">
        <f>IF(E481="Cold",1,0)</f>
        <v>0</v>
      </c>
      <c r="K481" s="3">
        <f>IF(E481="Hot",1,0)</f>
        <v>0</v>
      </c>
      <c r="L481" s="3">
        <v>1352</v>
      </c>
      <c r="M481" s="3">
        <v>87</v>
      </c>
      <c r="N481" s="4">
        <v>45352</v>
      </c>
      <c r="O481" s="10">
        <v>333331.28110000002</v>
      </c>
      <c r="P481" s="1">
        <f>$C$3+F481*$C$4+H481*$C$6+J481*$C$8+K481*$C$9+L481*$C$10+M481*$C$11</f>
        <v>315533.79012081743</v>
      </c>
      <c r="Q481" s="1">
        <f>(O481-P481)/O481</f>
        <v>5.3392801661009757E-2</v>
      </c>
      <c r="R481" s="1"/>
      <c r="S481" s="1"/>
    </row>
    <row r="482" spans="1:19" x14ac:dyDescent="0.3">
      <c r="A482" s="2">
        <v>142</v>
      </c>
      <c r="B482" s="3" t="s">
        <v>29</v>
      </c>
      <c r="C482" s="3" t="s">
        <v>135</v>
      </c>
      <c r="D482" s="3" t="s">
        <v>14</v>
      </c>
      <c r="E482" s="3" t="s">
        <v>15</v>
      </c>
      <c r="F482" s="3">
        <f>IF(D482="Urban",1,0)</f>
        <v>0</v>
      </c>
      <c r="G482" s="3">
        <v>13161</v>
      </c>
      <c r="H482" s="3">
        <v>2</v>
      </c>
      <c r="I482" s="3">
        <v>77111</v>
      </c>
      <c r="J482" s="3">
        <f>IF(E482="Cold",1,0)</f>
        <v>1</v>
      </c>
      <c r="K482" s="3">
        <f>IF(E482="Hot",1,0)</f>
        <v>0</v>
      </c>
      <c r="L482" s="3">
        <v>2734</v>
      </c>
      <c r="M482" s="3">
        <v>43</v>
      </c>
      <c r="N482" s="4">
        <v>44369</v>
      </c>
      <c r="O482" s="10">
        <v>330137.00089999998</v>
      </c>
      <c r="P482" s="1">
        <f>$C$3+F482*$C$4+H482*$C$6+J482*$C$8+K482*$C$9+L482*$C$10+M482*$C$11</f>
        <v>312514.99777852173</v>
      </c>
      <c r="Q482" s="1">
        <f>(O482-P482)/O482</f>
        <v>5.3377849418387475E-2</v>
      </c>
      <c r="R482" s="1"/>
      <c r="S482" s="1"/>
    </row>
    <row r="483" spans="1:19" x14ac:dyDescent="0.3">
      <c r="A483" s="2">
        <v>916</v>
      </c>
      <c r="B483" s="3" t="s">
        <v>44</v>
      </c>
      <c r="C483" s="3" t="s">
        <v>45</v>
      </c>
      <c r="D483" s="3" t="s">
        <v>18</v>
      </c>
      <c r="E483" s="3" t="s">
        <v>21</v>
      </c>
      <c r="F483" s="3">
        <f>IF(D483="Urban",1,0)</f>
        <v>1</v>
      </c>
      <c r="G483" s="3">
        <v>24797</v>
      </c>
      <c r="H483" s="3">
        <v>1</v>
      </c>
      <c r="I483" s="3">
        <v>60841</v>
      </c>
      <c r="J483" s="3">
        <f>IF(E483="Cold",1,0)</f>
        <v>0</v>
      </c>
      <c r="K483" s="3">
        <f>IF(E483="Hot",1,0)</f>
        <v>1</v>
      </c>
      <c r="L483" s="3">
        <v>1483</v>
      </c>
      <c r="M483" s="3">
        <v>58</v>
      </c>
      <c r="N483" s="4">
        <v>44896</v>
      </c>
      <c r="O483" s="10">
        <v>378252.61829999997</v>
      </c>
      <c r="P483" s="1">
        <f>$C$3+F483*$C$4+H483*$C$6+J483*$C$8+K483*$C$9+L483*$C$10+M483*$C$11</f>
        <v>358062.32697178505</v>
      </c>
      <c r="Q483" s="1">
        <f>(O483-P483)/O483</f>
        <v>5.3377796613694781E-2</v>
      </c>
      <c r="R483" s="1"/>
      <c r="S483" s="1"/>
    </row>
    <row r="484" spans="1:19" x14ac:dyDescent="0.3">
      <c r="A484" s="2">
        <v>947</v>
      </c>
      <c r="B484" s="3" t="s">
        <v>44</v>
      </c>
      <c r="C484" s="3" t="s">
        <v>223</v>
      </c>
      <c r="D484" s="3" t="s">
        <v>14</v>
      </c>
      <c r="E484" s="3" t="s">
        <v>15</v>
      </c>
      <c r="F484" s="3">
        <f>IF(D484="Urban",1,0)</f>
        <v>0</v>
      </c>
      <c r="G484" s="3">
        <v>28858</v>
      </c>
      <c r="H484" s="3">
        <v>2</v>
      </c>
      <c r="I484" s="3">
        <v>56723</v>
      </c>
      <c r="J484" s="3">
        <f>IF(E484="Cold",1,0)</f>
        <v>1</v>
      </c>
      <c r="K484" s="3">
        <f>IF(E484="Hot",1,0)</f>
        <v>0</v>
      </c>
      <c r="L484" s="3">
        <v>1486</v>
      </c>
      <c r="M484" s="3">
        <v>39</v>
      </c>
      <c r="N484" s="4">
        <v>45101</v>
      </c>
      <c r="O484" s="10">
        <v>302493.08169999998</v>
      </c>
      <c r="P484" s="1">
        <f>$C$3+F484*$C$4+H484*$C$6+J484*$C$8+K484*$C$9+L484*$C$10+M484*$C$11</f>
        <v>286375.67839488521</v>
      </c>
      <c r="Q484" s="1">
        <f>(O484-P484)/O484</f>
        <v>5.3281890661880785E-2</v>
      </c>
      <c r="R484" s="1"/>
      <c r="S484" s="1"/>
    </row>
    <row r="485" spans="1:19" x14ac:dyDescent="0.3">
      <c r="A485" s="2">
        <v>415</v>
      </c>
      <c r="B485" s="3" t="s">
        <v>33</v>
      </c>
      <c r="C485" s="3" t="s">
        <v>91</v>
      </c>
      <c r="D485" s="3" t="s">
        <v>14</v>
      </c>
      <c r="E485" s="3" t="s">
        <v>23</v>
      </c>
      <c r="F485" s="3">
        <f>IF(D485="Urban",1,0)</f>
        <v>0</v>
      </c>
      <c r="G485" s="3">
        <v>22856</v>
      </c>
      <c r="H485" s="3">
        <v>2</v>
      </c>
      <c r="I485" s="3">
        <v>64067</v>
      </c>
      <c r="J485" s="3">
        <f>IF(E485="Cold",1,0)</f>
        <v>0</v>
      </c>
      <c r="K485" s="3">
        <f>IF(E485="Hot",1,0)</f>
        <v>0</v>
      </c>
      <c r="L485" s="3">
        <v>1061</v>
      </c>
      <c r="M485" s="3">
        <v>65</v>
      </c>
      <c r="N485" s="4">
        <v>44754</v>
      </c>
      <c r="O485" s="10">
        <v>321952.82449999999</v>
      </c>
      <c r="P485" s="1">
        <f>$C$3+F485*$C$4+H485*$C$6+J485*$C$8+K485*$C$9+L485*$C$10+M485*$C$11</f>
        <v>304845.42296034674</v>
      </c>
      <c r="Q485" s="1">
        <f>(O485-P485)/O485</f>
        <v>5.3136361099553733E-2</v>
      </c>
      <c r="R485" s="1"/>
      <c r="S485" s="1"/>
    </row>
    <row r="486" spans="1:19" x14ac:dyDescent="0.3">
      <c r="A486" s="2">
        <v>818</v>
      </c>
      <c r="B486" s="3" t="s">
        <v>108</v>
      </c>
      <c r="C486" s="3" t="s">
        <v>214</v>
      </c>
      <c r="D486" s="3" t="s">
        <v>18</v>
      </c>
      <c r="E486" s="3" t="s">
        <v>21</v>
      </c>
      <c r="F486" s="3">
        <f>IF(D486="Urban",1,0)</f>
        <v>1</v>
      </c>
      <c r="G486" s="3">
        <v>6197</v>
      </c>
      <c r="H486" s="3">
        <v>0</v>
      </c>
      <c r="I486" s="3">
        <v>52356</v>
      </c>
      <c r="J486" s="3">
        <f>IF(E486="Cold",1,0)</f>
        <v>0</v>
      </c>
      <c r="K486" s="3">
        <f>IF(E486="Hot",1,0)</f>
        <v>1</v>
      </c>
      <c r="L486" s="3">
        <v>2955</v>
      </c>
      <c r="M486" s="3">
        <v>52</v>
      </c>
      <c r="N486" s="4">
        <v>43921</v>
      </c>
      <c r="O486" s="10">
        <v>408230.49829999998</v>
      </c>
      <c r="P486" s="1">
        <f>$C$3+F486*$C$4+H486*$C$6+J486*$C$8+K486*$C$9+L486*$C$10+M486*$C$11</f>
        <v>386539.82303538074</v>
      </c>
      <c r="Q486" s="1">
        <f>(O486-P486)/O486</f>
        <v>5.3133402219937065E-2</v>
      </c>
      <c r="R486" s="1"/>
      <c r="S486" s="1"/>
    </row>
    <row r="487" spans="1:19" x14ac:dyDescent="0.3">
      <c r="A487" s="2">
        <v>793</v>
      </c>
      <c r="B487" s="3" t="s">
        <v>74</v>
      </c>
      <c r="C487" s="3" t="s">
        <v>75</v>
      </c>
      <c r="D487" s="3" t="s">
        <v>14</v>
      </c>
      <c r="E487" s="3" t="s">
        <v>21</v>
      </c>
      <c r="F487" s="3">
        <f>IF(D487="Urban",1,0)</f>
        <v>0</v>
      </c>
      <c r="G487" s="3">
        <v>18283</v>
      </c>
      <c r="H487" s="3">
        <v>2</v>
      </c>
      <c r="I487" s="3">
        <v>64809</v>
      </c>
      <c r="J487" s="3">
        <f>IF(E487="Cold",1,0)</f>
        <v>0</v>
      </c>
      <c r="K487" s="3">
        <f>IF(E487="Hot",1,0)</f>
        <v>1</v>
      </c>
      <c r="L487" s="3">
        <v>1192</v>
      </c>
      <c r="M487" s="3">
        <v>98</v>
      </c>
      <c r="N487" s="4">
        <v>44611</v>
      </c>
      <c r="O487" s="10">
        <v>336791.08769999997</v>
      </c>
      <c r="P487" s="1">
        <f>$C$3+F487*$C$4+H487*$C$6+J487*$C$8+K487*$C$9+L487*$C$10+M487*$C$11</f>
        <v>318915.69903511071</v>
      </c>
      <c r="Q487" s="1">
        <f>(O487-P487)/O487</f>
        <v>5.3075598843672335E-2</v>
      </c>
      <c r="R487" s="1"/>
      <c r="S487" s="1"/>
    </row>
    <row r="488" spans="1:19" x14ac:dyDescent="0.3">
      <c r="A488" s="2">
        <v>696</v>
      </c>
      <c r="B488" s="3" t="s">
        <v>16</v>
      </c>
      <c r="C488" s="3" t="s">
        <v>17</v>
      </c>
      <c r="D488" s="3" t="s">
        <v>18</v>
      </c>
      <c r="E488" s="3" t="s">
        <v>15</v>
      </c>
      <c r="F488" s="3">
        <f>IF(D488="Urban",1,0)</f>
        <v>1</v>
      </c>
      <c r="G488" s="3">
        <v>17370</v>
      </c>
      <c r="H488" s="3">
        <v>6</v>
      </c>
      <c r="I488" s="3">
        <v>88580</v>
      </c>
      <c r="J488" s="3">
        <f>IF(E488="Cold",1,0)</f>
        <v>1</v>
      </c>
      <c r="K488" s="3">
        <f>IF(E488="Hot",1,0)</f>
        <v>0</v>
      </c>
      <c r="L488" s="3">
        <v>2615</v>
      </c>
      <c r="M488" s="3">
        <v>48</v>
      </c>
      <c r="N488" s="4">
        <v>44952</v>
      </c>
      <c r="O488" s="10">
        <v>372360.07500000001</v>
      </c>
      <c r="P488" s="1">
        <f>$C$3+F488*$C$4+H488*$C$6+J488*$C$8+K488*$C$9+L488*$C$10+M488*$C$11</f>
        <v>352599.09813677194</v>
      </c>
      <c r="Q488" s="1">
        <f>(O488-P488)/O488</f>
        <v>5.3069537230134231E-2</v>
      </c>
      <c r="R488" s="1"/>
      <c r="S488" s="1"/>
    </row>
    <row r="489" spans="1:19" x14ac:dyDescent="0.3">
      <c r="A489" s="2">
        <v>971</v>
      </c>
      <c r="B489" s="3" t="s">
        <v>44</v>
      </c>
      <c r="C489" s="3" t="s">
        <v>82</v>
      </c>
      <c r="D489" s="3" t="s">
        <v>14</v>
      </c>
      <c r="E489" s="3" t="s">
        <v>15</v>
      </c>
      <c r="F489" s="3">
        <f>IF(D489="Urban",1,0)</f>
        <v>0</v>
      </c>
      <c r="G489" s="3">
        <v>3088</v>
      </c>
      <c r="H489" s="3">
        <v>2</v>
      </c>
      <c r="I489" s="3">
        <v>82946</v>
      </c>
      <c r="J489" s="3">
        <f>IF(E489="Cold",1,0)</f>
        <v>1</v>
      </c>
      <c r="K489" s="3">
        <f>IF(E489="Hot",1,0)</f>
        <v>0</v>
      </c>
      <c r="L489" s="3">
        <v>2027</v>
      </c>
      <c r="M489" s="3">
        <v>30</v>
      </c>
      <c r="N489" s="4">
        <v>44784</v>
      </c>
      <c r="O489" s="10">
        <v>310895.21889999998</v>
      </c>
      <c r="P489" s="1">
        <f>$C$3+F489*$C$4+H489*$C$6+J489*$C$8+K489*$C$9+L489*$C$10+M489*$C$11</f>
        <v>294398.37251981837</v>
      </c>
      <c r="Q489" s="1">
        <f>(O489-P489)/O489</f>
        <v>5.3062399732457292E-2</v>
      </c>
      <c r="R489" s="1"/>
      <c r="S489" s="1"/>
    </row>
    <row r="490" spans="1:19" x14ac:dyDescent="0.3">
      <c r="A490" s="2">
        <v>424</v>
      </c>
      <c r="B490" s="3" t="s">
        <v>37</v>
      </c>
      <c r="C490" s="3" t="s">
        <v>114</v>
      </c>
      <c r="D490" s="3" t="s">
        <v>14</v>
      </c>
      <c r="E490" s="3" t="s">
        <v>23</v>
      </c>
      <c r="F490" s="3">
        <f>IF(D490="Urban",1,0)</f>
        <v>0</v>
      </c>
      <c r="G490" s="3">
        <v>20841</v>
      </c>
      <c r="H490" s="3">
        <v>3</v>
      </c>
      <c r="I490" s="3">
        <v>99452</v>
      </c>
      <c r="J490" s="3">
        <f>IF(E490="Cold",1,0)</f>
        <v>0</v>
      </c>
      <c r="K490" s="3">
        <f>IF(E490="Hot",1,0)</f>
        <v>0</v>
      </c>
      <c r="L490" s="3">
        <v>2738</v>
      </c>
      <c r="M490" s="3">
        <v>99</v>
      </c>
      <c r="N490" s="4">
        <v>44750</v>
      </c>
      <c r="O490" s="10">
        <v>367316.75449999998</v>
      </c>
      <c r="P490" s="1">
        <f>$C$3+F490*$C$4+H490*$C$6+J490*$C$8+K490*$C$9+L490*$C$10+M490*$C$11</f>
        <v>347843.12041503732</v>
      </c>
      <c r="Q490" s="1">
        <f>(O490-P490)/O490</f>
        <v>5.3015915681468483E-2</v>
      </c>
      <c r="R490" s="1"/>
      <c r="S490" s="1"/>
    </row>
    <row r="491" spans="1:19" x14ac:dyDescent="0.3">
      <c r="A491" s="2">
        <v>84</v>
      </c>
      <c r="B491" s="3" t="s">
        <v>37</v>
      </c>
      <c r="C491" s="3" t="s">
        <v>61</v>
      </c>
      <c r="D491" s="3" t="s">
        <v>14</v>
      </c>
      <c r="E491" s="3" t="s">
        <v>15</v>
      </c>
      <c r="F491" s="3">
        <f>IF(D491="Urban",1,0)</f>
        <v>0</v>
      </c>
      <c r="G491" s="3">
        <v>6325</v>
      </c>
      <c r="H491" s="3">
        <v>2</v>
      </c>
      <c r="I491" s="3">
        <v>53140</v>
      </c>
      <c r="J491" s="3">
        <f>IF(E491="Cold",1,0)</f>
        <v>1</v>
      </c>
      <c r="K491" s="3">
        <f>IF(E491="Hot",1,0)</f>
        <v>0</v>
      </c>
      <c r="L491" s="3">
        <v>1308</v>
      </c>
      <c r="M491" s="3">
        <v>70</v>
      </c>
      <c r="N491" s="4">
        <v>44248</v>
      </c>
      <c r="O491" s="10">
        <v>308614.95240000001</v>
      </c>
      <c r="P491" s="1">
        <f>$C$3+F491*$C$4+H491*$C$6+J491*$C$8+K491*$C$9+L491*$C$10+M491*$C$11</f>
        <v>292378.45438831719</v>
      </c>
      <c r="Q491" s="1">
        <f>(O491-P491)/O491</f>
        <v>5.2610859860861434E-2</v>
      </c>
      <c r="R491" s="1"/>
      <c r="S491" s="1"/>
    </row>
    <row r="492" spans="1:19" x14ac:dyDescent="0.3">
      <c r="A492" s="2">
        <v>668</v>
      </c>
      <c r="B492" s="3" t="s">
        <v>28</v>
      </c>
      <c r="C492" s="3" t="s">
        <v>112</v>
      </c>
      <c r="D492" s="3" t="s">
        <v>14</v>
      </c>
      <c r="E492" s="3" t="s">
        <v>21</v>
      </c>
      <c r="F492" s="3">
        <f>IF(D492="Urban",1,0)</f>
        <v>0</v>
      </c>
      <c r="G492" s="3">
        <v>11173</v>
      </c>
      <c r="H492" s="3">
        <v>0</v>
      </c>
      <c r="I492" s="3">
        <v>60781</v>
      </c>
      <c r="J492" s="3">
        <f>IF(E492="Cold",1,0)</f>
        <v>0</v>
      </c>
      <c r="K492" s="3">
        <f>IF(E492="Hot",1,0)</f>
        <v>1</v>
      </c>
      <c r="L492" s="3">
        <v>2992</v>
      </c>
      <c r="M492" s="3">
        <v>71</v>
      </c>
      <c r="N492" s="4">
        <v>44145</v>
      </c>
      <c r="O492" s="10">
        <v>367689.85210000002</v>
      </c>
      <c r="P492" s="1">
        <f>$C$3+F492*$C$4+H492*$C$6+J492*$C$8+K492*$C$9+L492*$C$10+M492*$C$11</f>
        <v>348416.37468954315</v>
      </c>
      <c r="Q492" s="1">
        <f>(O492-P492)/O492</f>
        <v>5.2417757249430666E-2</v>
      </c>
      <c r="R492" s="1"/>
      <c r="S492" s="1"/>
    </row>
    <row r="493" spans="1:19" x14ac:dyDescent="0.3">
      <c r="A493" s="2">
        <v>336</v>
      </c>
      <c r="B493" s="3" t="s">
        <v>44</v>
      </c>
      <c r="C493" s="3" t="s">
        <v>190</v>
      </c>
      <c r="D493" s="3" t="s">
        <v>14</v>
      </c>
      <c r="E493" s="3" t="s">
        <v>21</v>
      </c>
      <c r="F493" s="3">
        <f>IF(D493="Urban",1,0)</f>
        <v>0</v>
      </c>
      <c r="G493" s="3">
        <v>20977</v>
      </c>
      <c r="H493" s="3">
        <v>3</v>
      </c>
      <c r="I493" s="3">
        <v>91170</v>
      </c>
      <c r="J493" s="3">
        <f>IF(E493="Cold",1,0)</f>
        <v>0</v>
      </c>
      <c r="K493" s="3">
        <f>IF(E493="Hot",1,0)</f>
        <v>1</v>
      </c>
      <c r="L493" s="3">
        <v>1728</v>
      </c>
      <c r="M493" s="3">
        <v>20</v>
      </c>
      <c r="N493" s="4">
        <v>44183</v>
      </c>
      <c r="O493" s="10">
        <v>321464.28389999998</v>
      </c>
      <c r="P493" s="1">
        <f>$C$3+F493*$C$4+H493*$C$6+J493*$C$8+K493*$C$9+L493*$C$10+M493*$C$11</f>
        <v>304620.63799298106</v>
      </c>
      <c r="Q493" s="1">
        <f>(O493-P493)/O493</f>
        <v>5.2396632380655325E-2</v>
      </c>
      <c r="R493" s="1"/>
      <c r="S493" s="1"/>
    </row>
    <row r="494" spans="1:19" x14ac:dyDescent="0.3">
      <c r="A494" s="2">
        <v>411</v>
      </c>
      <c r="B494" s="3" t="s">
        <v>24</v>
      </c>
      <c r="C494" s="3" t="s">
        <v>97</v>
      </c>
      <c r="D494" s="3" t="s">
        <v>18</v>
      </c>
      <c r="E494" s="3" t="s">
        <v>15</v>
      </c>
      <c r="F494" s="3">
        <f>IF(D494="Urban",1,0)</f>
        <v>1</v>
      </c>
      <c r="G494" s="3">
        <v>10675</v>
      </c>
      <c r="H494" s="3">
        <v>9</v>
      </c>
      <c r="I494" s="3">
        <v>76293</v>
      </c>
      <c r="J494" s="3">
        <f>IF(E494="Cold",1,0)</f>
        <v>1</v>
      </c>
      <c r="K494" s="3">
        <f>IF(E494="Hot",1,0)</f>
        <v>0</v>
      </c>
      <c r="L494" s="3">
        <v>2971</v>
      </c>
      <c r="M494" s="3">
        <v>48</v>
      </c>
      <c r="N494" s="4">
        <v>44270</v>
      </c>
      <c r="O494" s="10">
        <v>376561.88189999998</v>
      </c>
      <c r="P494" s="1">
        <f>$C$3+F494*$C$4+H494*$C$6+J494*$C$8+K494*$C$9+L494*$C$10+M494*$C$11</f>
        <v>356853.5152169459</v>
      </c>
      <c r="Q494" s="1">
        <f>(O494-P494)/O494</f>
        <v>5.2337657182964265E-2</v>
      </c>
      <c r="R494" s="1"/>
      <c r="S494" s="1"/>
    </row>
    <row r="495" spans="1:19" x14ac:dyDescent="0.3">
      <c r="A495" s="2">
        <v>2</v>
      </c>
      <c r="B495" s="3" t="s">
        <v>19</v>
      </c>
      <c r="C495" s="3" t="s">
        <v>20</v>
      </c>
      <c r="D495" s="3" t="s">
        <v>18</v>
      </c>
      <c r="E495" s="3" t="s">
        <v>21</v>
      </c>
      <c r="F495" s="3">
        <f>IF(D495="Urban",1,0)</f>
        <v>1</v>
      </c>
      <c r="G495" s="3">
        <v>21636</v>
      </c>
      <c r="H495" s="3">
        <v>2</v>
      </c>
      <c r="I495" s="3">
        <v>87882</v>
      </c>
      <c r="J495" s="3">
        <f>IF(E495="Cold",1,0)</f>
        <v>0</v>
      </c>
      <c r="K495" s="3">
        <f>IF(E495="Hot",1,0)</f>
        <v>1</v>
      </c>
      <c r="L495" s="3">
        <v>2112</v>
      </c>
      <c r="M495" s="3">
        <v>49</v>
      </c>
      <c r="N495" s="4">
        <v>45517</v>
      </c>
      <c r="O495" s="10">
        <v>387145.66729999997</v>
      </c>
      <c r="P495" s="1">
        <f>$C$3+F495*$C$4+H495*$C$6+J495*$C$8+K495*$C$9+L495*$C$10+M495*$C$11</f>
        <v>366891.14390249067</v>
      </c>
      <c r="Q495" s="1">
        <f>(O495-P495)/O495</f>
        <v>5.2317577357294892E-2</v>
      </c>
      <c r="R495" s="1"/>
      <c r="S495" s="1"/>
    </row>
    <row r="496" spans="1:19" x14ac:dyDescent="0.3">
      <c r="A496" s="2">
        <v>546</v>
      </c>
      <c r="B496" s="3" t="s">
        <v>33</v>
      </c>
      <c r="C496" s="3" t="s">
        <v>91</v>
      </c>
      <c r="D496" s="3" t="s">
        <v>18</v>
      </c>
      <c r="E496" s="3" t="s">
        <v>23</v>
      </c>
      <c r="F496" s="3">
        <f>IF(D496="Urban",1,0)</f>
        <v>1</v>
      </c>
      <c r="G496" s="3">
        <v>23958</v>
      </c>
      <c r="H496" s="3">
        <v>3</v>
      </c>
      <c r="I496" s="3">
        <v>75394</v>
      </c>
      <c r="J496" s="3">
        <f>IF(E496="Cold",1,0)</f>
        <v>0</v>
      </c>
      <c r="K496" s="3">
        <f>IF(E496="Hot",1,0)</f>
        <v>0</v>
      </c>
      <c r="L496" s="3">
        <v>2587</v>
      </c>
      <c r="M496" s="3">
        <v>81</v>
      </c>
      <c r="N496" s="4">
        <v>44729</v>
      </c>
      <c r="O496" s="10">
        <v>405137.35239999997</v>
      </c>
      <c r="P496" s="1">
        <f>$C$3+F496*$C$4+H496*$C$6+J496*$C$8+K496*$C$9+L496*$C$10+M496*$C$11</f>
        <v>383999.6950157308</v>
      </c>
      <c r="Q496" s="1">
        <f>(O496-P496)/O496</f>
        <v>5.2174052229574608E-2</v>
      </c>
      <c r="R496" s="1"/>
      <c r="S496" s="1"/>
    </row>
    <row r="497" spans="1:19" x14ac:dyDescent="0.3">
      <c r="A497" s="2">
        <v>268</v>
      </c>
      <c r="B497" s="3" t="s">
        <v>44</v>
      </c>
      <c r="C497" s="3" t="s">
        <v>143</v>
      </c>
      <c r="D497" s="3" t="s">
        <v>14</v>
      </c>
      <c r="E497" s="3" t="s">
        <v>21</v>
      </c>
      <c r="F497" s="3">
        <f>IF(D497="Urban",1,0)</f>
        <v>0</v>
      </c>
      <c r="G497" s="3">
        <v>4478</v>
      </c>
      <c r="H497" s="3">
        <v>3</v>
      </c>
      <c r="I497" s="3">
        <v>85125</v>
      </c>
      <c r="J497" s="3">
        <f>IF(E497="Cold",1,0)</f>
        <v>0</v>
      </c>
      <c r="K497" s="3">
        <f>IF(E497="Hot",1,0)</f>
        <v>1</v>
      </c>
      <c r="L497" s="3">
        <v>1413</v>
      </c>
      <c r="M497" s="3">
        <v>55</v>
      </c>
      <c r="N497" s="4">
        <v>45346</v>
      </c>
      <c r="O497" s="10">
        <v>326133.31099999999</v>
      </c>
      <c r="P497" s="1">
        <f>$C$3+F497*$C$4+H497*$C$6+J497*$C$8+K497*$C$9+L497*$C$10+M497*$C$11</f>
        <v>309122.21817378519</v>
      </c>
      <c r="Q497" s="1">
        <f>(O497-P497)/O497</f>
        <v>5.2159936604006682E-2</v>
      </c>
      <c r="R497" s="1"/>
      <c r="S497" s="1"/>
    </row>
    <row r="498" spans="1:19" x14ac:dyDescent="0.3">
      <c r="A498" s="2">
        <v>801</v>
      </c>
      <c r="B498" s="3" t="s">
        <v>55</v>
      </c>
      <c r="C498" s="3" t="s">
        <v>67</v>
      </c>
      <c r="D498" s="3" t="s">
        <v>18</v>
      </c>
      <c r="E498" s="3" t="s">
        <v>23</v>
      </c>
      <c r="F498" s="3">
        <f>IF(D498="Urban",1,0)</f>
        <v>1</v>
      </c>
      <c r="G498" s="3">
        <v>1660</v>
      </c>
      <c r="H498" s="3">
        <v>3</v>
      </c>
      <c r="I498" s="3">
        <v>61573</v>
      </c>
      <c r="J498" s="3">
        <f>IF(E498="Cold",1,0)</f>
        <v>0</v>
      </c>
      <c r="K498" s="3">
        <f>IF(E498="Hot",1,0)</f>
        <v>0</v>
      </c>
      <c r="L498" s="3">
        <v>1922</v>
      </c>
      <c r="M498" s="3">
        <v>44</v>
      </c>
      <c r="N498" s="4">
        <v>45197</v>
      </c>
      <c r="O498" s="10">
        <v>379093.08100000001</v>
      </c>
      <c r="P498" s="1">
        <f>$C$3+F498*$C$4+H498*$C$6+J498*$C$8+K498*$C$9+L498*$C$10+M498*$C$11</f>
        <v>359323.74509988091</v>
      </c>
      <c r="Q498" s="1">
        <f>(O498-P498)/O498</f>
        <v>5.2149028539297183E-2</v>
      </c>
      <c r="R498" s="1"/>
      <c r="S498" s="1"/>
    </row>
    <row r="499" spans="1:19" x14ac:dyDescent="0.3">
      <c r="A499" s="2">
        <v>120</v>
      </c>
      <c r="B499" s="3" t="s">
        <v>24</v>
      </c>
      <c r="C499" s="3" t="s">
        <v>124</v>
      </c>
      <c r="D499" s="3" t="s">
        <v>18</v>
      </c>
      <c r="E499" s="3" t="s">
        <v>15</v>
      </c>
      <c r="F499" s="3">
        <f>IF(D499="Urban",1,0)</f>
        <v>1</v>
      </c>
      <c r="G499" s="3">
        <v>20523</v>
      </c>
      <c r="H499" s="3">
        <v>6</v>
      </c>
      <c r="I499" s="3">
        <v>80470</v>
      </c>
      <c r="J499" s="3">
        <f>IF(E499="Cold",1,0)</f>
        <v>1</v>
      </c>
      <c r="K499" s="3">
        <f>IF(E499="Hot",1,0)</f>
        <v>0</v>
      </c>
      <c r="L499" s="3">
        <v>1221</v>
      </c>
      <c r="M499" s="3">
        <v>80</v>
      </c>
      <c r="N499" s="4">
        <v>45482</v>
      </c>
      <c r="O499" s="10">
        <v>353024.41350000002</v>
      </c>
      <c r="P499" s="1">
        <f>$C$3+F499*$C$4+H499*$C$6+J499*$C$8+K499*$C$9+L499*$C$10+M499*$C$11</f>
        <v>334642.33053214767</v>
      </c>
      <c r="Q499" s="1">
        <f>(O499-P499)/O499</f>
        <v>5.2070288243258725E-2</v>
      </c>
      <c r="R499" s="1"/>
      <c r="S499" s="1"/>
    </row>
    <row r="500" spans="1:19" x14ac:dyDescent="0.3">
      <c r="A500" s="2">
        <v>738</v>
      </c>
      <c r="B500" s="3" t="s">
        <v>57</v>
      </c>
      <c r="C500" s="3" t="s">
        <v>215</v>
      </c>
      <c r="D500" s="3" t="s">
        <v>14</v>
      </c>
      <c r="E500" s="3" t="s">
        <v>21</v>
      </c>
      <c r="F500" s="3">
        <f>IF(D500="Urban",1,0)</f>
        <v>0</v>
      </c>
      <c r="G500" s="3">
        <v>3333</v>
      </c>
      <c r="H500" s="3">
        <v>6</v>
      </c>
      <c r="I500" s="3">
        <v>65964</v>
      </c>
      <c r="J500" s="3">
        <f>IF(E500="Cold",1,0)</f>
        <v>0</v>
      </c>
      <c r="K500" s="3">
        <f>IF(E500="Hot",1,0)</f>
        <v>1</v>
      </c>
      <c r="L500" s="3">
        <v>1417</v>
      </c>
      <c r="M500" s="3">
        <v>36</v>
      </c>
      <c r="N500" s="4">
        <v>44043</v>
      </c>
      <c r="O500" s="10">
        <v>316997.93560000003</v>
      </c>
      <c r="P500" s="1">
        <f>$C$3+F500*$C$4+H500*$C$6+J500*$C$8+K500*$C$9+L500*$C$10+M500*$C$11</f>
        <v>300495.38279133959</v>
      </c>
      <c r="Q500" s="1">
        <f>(O500-P500)/O500</f>
        <v>5.205886523338113E-2</v>
      </c>
      <c r="R500" s="1"/>
      <c r="S500" s="1"/>
    </row>
    <row r="501" spans="1:19" x14ac:dyDescent="0.3">
      <c r="A501" s="2">
        <v>277</v>
      </c>
      <c r="B501" s="3" t="s">
        <v>72</v>
      </c>
      <c r="C501" s="3" t="s">
        <v>147</v>
      </c>
      <c r="D501" s="3" t="s">
        <v>18</v>
      </c>
      <c r="E501" s="3" t="s">
        <v>23</v>
      </c>
      <c r="F501" s="3">
        <f>IF(D501="Urban",1,0)</f>
        <v>1</v>
      </c>
      <c r="G501" s="3">
        <v>28719</v>
      </c>
      <c r="H501" s="3">
        <v>3</v>
      </c>
      <c r="I501" s="3">
        <v>53935</v>
      </c>
      <c r="J501" s="3">
        <f>IF(E501="Cold",1,0)</f>
        <v>0</v>
      </c>
      <c r="K501" s="3">
        <f>IF(E501="Hot",1,0)</f>
        <v>0</v>
      </c>
      <c r="L501" s="3">
        <v>1019</v>
      </c>
      <c r="M501" s="3">
        <v>58</v>
      </c>
      <c r="N501" s="4">
        <v>43883</v>
      </c>
      <c r="O501" s="10">
        <v>364584.17729999998</v>
      </c>
      <c r="P501" s="1">
        <f>$C$3+F501*$C$4+H501*$C$6+J501*$C$8+K501*$C$9+L501*$C$10+M501*$C$11</f>
        <v>345617.74879133789</v>
      </c>
      <c r="Q501" s="1">
        <f>(O501-P501)/O501</f>
        <v>5.2022083484592557E-2</v>
      </c>
      <c r="R501" s="1"/>
      <c r="S501" s="1"/>
    </row>
    <row r="502" spans="1:19" x14ac:dyDescent="0.3">
      <c r="A502" s="2">
        <v>933</v>
      </c>
      <c r="B502" s="3" t="s">
        <v>29</v>
      </c>
      <c r="C502" s="3" t="s">
        <v>164</v>
      </c>
      <c r="D502" s="3" t="s">
        <v>14</v>
      </c>
      <c r="E502" s="3" t="s">
        <v>15</v>
      </c>
      <c r="F502" s="3">
        <f>IF(D502="Urban",1,0)</f>
        <v>0</v>
      </c>
      <c r="G502" s="3">
        <v>8960</v>
      </c>
      <c r="H502" s="3">
        <v>3</v>
      </c>
      <c r="I502" s="3">
        <v>70684</v>
      </c>
      <c r="J502" s="3">
        <f>IF(E502="Cold",1,0)</f>
        <v>1</v>
      </c>
      <c r="K502" s="3">
        <f>IF(E502="Hot",1,0)</f>
        <v>0</v>
      </c>
      <c r="L502" s="3">
        <v>2712</v>
      </c>
      <c r="M502" s="3">
        <v>71</v>
      </c>
      <c r="N502" s="4">
        <v>44183</v>
      </c>
      <c r="O502" s="10">
        <v>337299.44309999997</v>
      </c>
      <c r="P502" s="1">
        <f>$C$3+F502*$C$4+H502*$C$6+J502*$C$8+K502*$C$9+L502*$C$10+M502*$C$11</f>
        <v>319756.2859259551</v>
      </c>
      <c r="Q502" s="1">
        <f>(O502-P502)/O502</f>
        <v>5.2010631896726285E-2</v>
      </c>
      <c r="R502" s="1"/>
      <c r="S502" s="1"/>
    </row>
    <row r="503" spans="1:19" x14ac:dyDescent="0.3">
      <c r="A503" s="2">
        <v>852</v>
      </c>
      <c r="B503" s="3" t="s">
        <v>57</v>
      </c>
      <c r="C503" s="3" t="s">
        <v>174</v>
      </c>
      <c r="D503" s="3" t="s">
        <v>14</v>
      </c>
      <c r="E503" s="3" t="s">
        <v>21</v>
      </c>
      <c r="F503" s="3">
        <f>IF(D503="Urban",1,0)</f>
        <v>0</v>
      </c>
      <c r="G503" s="3">
        <v>24654</v>
      </c>
      <c r="H503" s="3">
        <v>8</v>
      </c>
      <c r="I503" s="3">
        <v>77522</v>
      </c>
      <c r="J503" s="3">
        <f>IF(E503="Cold",1,0)</f>
        <v>0</v>
      </c>
      <c r="K503" s="3">
        <f>IF(E503="Hot",1,0)</f>
        <v>1</v>
      </c>
      <c r="L503" s="3">
        <v>1031</v>
      </c>
      <c r="M503" s="3">
        <v>82</v>
      </c>
      <c r="N503" s="4">
        <v>43886</v>
      </c>
      <c r="O503" s="10">
        <v>321757.36170000001</v>
      </c>
      <c r="P503" s="1">
        <f>$C$3+F503*$C$4+H503*$C$6+J503*$C$8+K503*$C$9+L503*$C$10+M503*$C$11</f>
        <v>305070.34742510988</v>
      </c>
      <c r="Q503" s="1">
        <f>(O503-P503)/O503</f>
        <v>5.1862105615003019E-2</v>
      </c>
      <c r="R503" s="1"/>
      <c r="S503" s="1"/>
    </row>
    <row r="504" spans="1:19" x14ac:dyDescent="0.3">
      <c r="A504" s="2">
        <v>272</v>
      </c>
      <c r="B504" s="3" t="s">
        <v>72</v>
      </c>
      <c r="C504" s="3" t="s">
        <v>180</v>
      </c>
      <c r="D504" s="3" t="s">
        <v>18</v>
      </c>
      <c r="E504" s="3" t="s">
        <v>23</v>
      </c>
      <c r="F504" s="3">
        <f>IF(D504="Urban",1,0)</f>
        <v>1</v>
      </c>
      <c r="G504" s="3">
        <v>7377</v>
      </c>
      <c r="H504" s="3">
        <v>7</v>
      </c>
      <c r="I504" s="3">
        <v>74552</v>
      </c>
      <c r="J504" s="3">
        <f>IF(E504="Cold",1,0)</f>
        <v>0</v>
      </c>
      <c r="K504" s="3">
        <f>IF(E504="Hot",1,0)</f>
        <v>0</v>
      </c>
      <c r="L504" s="3">
        <v>1050</v>
      </c>
      <c r="M504" s="3">
        <v>27</v>
      </c>
      <c r="N504" s="4">
        <v>45250</v>
      </c>
      <c r="O504" s="10">
        <v>351009.67479999998</v>
      </c>
      <c r="P504" s="1">
        <f>$C$3+F504*$C$4+H504*$C$6+J504*$C$8+K504*$C$9+L504*$C$10+M504*$C$11</f>
        <v>332880.89573006722</v>
      </c>
      <c r="Q504" s="1">
        <f>(O504-P504)/O504</f>
        <v>5.1647519631082148E-2</v>
      </c>
      <c r="R504" s="1"/>
      <c r="S504" s="1"/>
    </row>
    <row r="505" spans="1:19" x14ac:dyDescent="0.3">
      <c r="A505" s="2">
        <v>901</v>
      </c>
      <c r="B505" s="3" t="s">
        <v>108</v>
      </c>
      <c r="C505" s="3" t="s">
        <v>117</v>
      </c>
      <c r="D505" s="3" t="s">
        <v>14</v>
      </c>
      <c r="E505" s="3" t="s">
        <v>23</v>
      </c>
      <c r="F505" s="3">
        <f>IF(D505="Urban",1,0)</f>
        <v>0</v>
      </c>
      <c r="G505" s="3">
        <v>9756</v>
      </c>
      <c r="H505" s="3">
        <v>2</v>
      </c>
      <c r="I505" s="3">
        <v>55427</v>
      </c>
      <c r="J505" s="3">
        <f>IF(E505="Cold",1,0)</f>
        <v>0</v>
      </c>
      <c r="K505" s="3">
        <f>IF(E505="Hot",1,0)</f>
        <v>0</v>
      </c>
      <c r="L505" s="3">
        <v>2853</v>
      </c>
      <c r="M505" s="3">
        <v>53</v>
      </c>
      <c r="N505" s="4">
        <v>45513</v>
      </c>
      <c r="O505" s="10">
        <v>355244.0526</v>
      </c>
      <c r="P505" s="1">
        <f>$C$3+F505*$C$4+H505*$C$6+J505*$C$8+K505*$C$9+L505*$C$10+M505*$C$11</f>
        <v>336909.69739176228</v>
      </c>
      <c r="Q505" s="1">
        <f>(O505-P505)/O505</f>
        <v>5.1610590167661299E-2</v>
      </c>
      <c r="R505" s="1"/>
      <c r="S505" s="1"/>
    </row>
    <row r="506" spans="1:19" x14ac:dyDescent="0.3">
      <c r="A506" s="2">
        <v>174</v>
      </c>
      <c r="B506" s="3" t="s">
        <v>40</v>
      </c>
      <c r="C506" s="3" t="s">
        <v>71</v>
      </c>
      <c r="D506" s="3" t="s">
        <v>18</v>
      </c>
      <c r="E506" s="3" t="s">
        <v>21</v>
      </c>
      <c r="F506" s="3">
        <f>IF(D506="Urban",1,0)</f>
        <v>1</v>
      </c>
      <c r="G506" s="3">
        <v>10789</v>
      </c>
      <c r="H506" s="3">
        <v>2</v>
      </c>
      <c r="I506" s="3">
        <v>87060</v>
      </c>
      <c r="J506" s="3">
        <f>IF(E506="Cold",1,0)</f>
        <v>0</v>
      </c>
      <c r="K506" s="3">
        <f>IF(E506="Hot",1,0)</f>
        <v>1</v>
      </c>
      <c r="L506" s="3">
        <v>2046</v>
      </c>
      <c r="M506" s="3">
        <v>29</v>
      </c>
      <c r="N506" s="4">
        <v>45256</v>
      </c>
      <c r="O506" s="10">
        <v>378945.60810000001</v>
      </c>
      <c r="P506" s="1">
        <f>$C$3+F506*$C$4+H506*$C$6+J506*$C$8+K506*$C$9+L506*$C$10+M506*$C$11</f>
        <v>359409.37790252967</v>
      </c>
      <c r="Q506" s="1">
        <f>(O506-P506)/O506</f>
        <v>5.1554180283084124E-2</v>
      </c>
      <c r="R506" s="1"/>
      <c r="S506" s="1"/>
    </row>
    <row r="507" spans="1:19" x14ac:dyDescent="0.3">
      <c r="A507" s="2">
        <v>340</v>
      </c>
      <c r="B507" s="3" t="s">
        <v>37</v>
      </c>
      <c r="C507" s="3" t="s">
        <v>128</v>
      </c>
      <c r="D507" s="3" t="s">
        <v>18</v>
      </c>
      <c r="E507" s="3" t="s">
        <v>15</v>
      </c>
      <c r="F507" s="3">
        <f>IF(D507="Urban",1,0)</f>
        <v>1</v>
      </c>
      <c r="G507" s="3">
        <v>20668</v>
      </c>
      <c r="H507" s="3">
        <v>7</v>
      </c>
      <c r="I507" s="3">
        <v>53268</v>
      </c>
      <c r="J507" s="3">
        <f>IF(E507="Cold",1,0)</f>
        <v>1</v>
      </c>
      <c r="K507" s="3">
        <f>IF(E507="Hot",1,0)</f>
        <v>0</v>
      </c>
      <c r="L507" s="3">
        <v>1422</v>
      </c>
      <c r="M507" s="3">
        <v>48</v>
      </c>
      <c r="N507" s="4">
        <v>44923</v>
      </c>
      <c r="O507" s="10">
        <v>345573.815</v>
      </c>
      <c r="P507" s="1">
        <f>$C$3+F507*$C$4+H507*$C$6+J507*$C$8+K507*$C$9+L507*$C$10+M507*$C$11</f>
        <v>327840.23901733523</v>
      </c>
      <c r="Q507" s="1">
        <f>(O507-P507)/O507</f>
        <v>5.1316318577739377E-2</v>
      </c>
      <c r="R507" s="1"/>
      <c r="S507" s="1"/>
    </row>
    <row r="508" spans="1:19" x14ac:dyDescent="0.3">
      <c r="A508" s="2">
        <v>190</v>
      </c>
      <c r="B508" s="3" t="s">
        <v>24</v>
      </c>
      <c r="C508" s="3" t="s">
        <v>94</v>
      </c>
      <c r="D508" s="3" t="s">
        <v>14</v>
      </c>
      <c r="E508" s="3" t="s">
        <v>15</v>
      </c>
      <c r="F508" s="3">
        <f>IF(D508="Urban",1,0)</f>
        <v>0</v>
      </c>
      <c r="G508" s="3">
        <v>3505</v>
      </c>
      <c r="H508" s="3">
        <v>7</v>
      </c>
      <c r="I508" s="3">
        <v>81494</v>
      </c>
      <c r="J508" s="3">
        <f>IF(E508="Cold",1,0)</f>
        <v>1</v>
      </c>
      <c r="K508" s="3">
        <f>IF(E508="Hot",1,0)</f>
        <v>0</v>
      </c>
      <c r="L508" s="3">
        <v>2515</v>
      </c>
      <c r="M508" s="3">
        <v>53</v>
      </c>
      <c r="N508" s="4">
        <v>45412</v>
      </c>
      <c r="O508" s="10">
        <v>323025.62839999999</v>
      </c>
      <c r="P508" s="1">
        <f>$C$3+F508*$C$4+H508*$C$6+J508*$C$8+K508*$C$9+L508*$C$10+M508*$C$11</f>
        <v>306476.2157345739</v>
      </c>
      <c r="Q508" s="1">
        <f>(O508-P508)/O508</f>
        <v>5.123250668189426E-2</v>
      </c>
      <c r="R508" s="1"/>
      <c r="S508" s="1"/>
    </row>
    <row r="509" spans="1:19" x14ac:dyDescent="0.3">
      <c r="A509" s="2">
        <v>965</v>
      </c>
      <c r="B509" s="3" t="s">
        <v>74</v>
      </c>
      <c r="C509" s="3" t="s">
        <v>221</v>
      </c>
      <c r="D509" s="3" t="s">
        <v>18</v>
      </c>
      <c r="E509" s="3" t="s">
        <v>21</v>
      </c>
      <c r="F509" s="3">
        <f>IF(D509="Urban",1,0)</f>
        <v>1</v>
      </c>
      <c r="G509" s="3">
        <v>13528</v>
      </c>
      <c r="H509" s="3">
        <v>7</v>
      </c>
      <c r="I509" s="3">
        <v>51372</v>
      </c>
      <c r="J509" s="3">
        <f>IF(E509="Cold",1,0)</f>
        <v>0</v>
      </c>
      <c r="K509" s="3">
        <f>IF(E509="Hot",1,0)</f>
        <v>1</v>
      </c>
      <c r="L509" s="3">
        <v>1773</v>
      </c>
      <c r="M509" s="3">
        <v>60</v>
      </c>
      <c r="N509" s="4">
        <v>43990</v>
      </c>
      <c r="O509" s="10">
        <v>378120.58</v>
      </c>
      <c r="P509" s="1">
        <f>$C$3+F509*$C$4+H509*$C$6+J509*$C$8+K509*$C$9+L509*$C$10+M509*$C$11</f>
        <v>358765.74580929946</v>
      </c>
      <c r="Q509" s="1">
        <f>(O509-P509)/O509</f>
        <v>5.1186936692788718E-2</v>
      </c>
      <c r="R509" s="1"/>
      <c r="S509" s="1"/>
    </row>
    <row r="510" spans="1:19" x14ac:dyDescent="0.3">
      <c r="A510" s="2">
        <v>643</v>
      </c>
      <c r="B510" s="3" t="s">
        <v>57</v>
      </c>
      <c r="C510" s="3" t="s">
        <v>78</v>
      </c>
      <c r="D510" s="3" t="s">
        <v>18</v>
      </c>
      <c r="E510" s="3" t="s">
        <v>23</v>
      </c>
      <c r="F510" s="3">
        <f>IF(D510="Urban",1,0)</f>
        <v>1</v>
      </c>
      <c r="G510" s="3">
        <v>7315</v>
      </c>
      <c r="H510" s="3">
        <v>0</v>
      </c>
      <c r="I510" s="3">
        <v>96871</v>
      </c>
      <c r="J510" s="3">
        <f>IF(E510="Cold",1,0)</f>
        <v>0</v>
      </c>
      <c r="K510" s="3">
        <f>IF(E510="Hot",1,0)</f>
        <v>0</v>
      </c>
      <c r="L510" s="3">
        <v>1019</v>
      </c>
      <c r="M510" s="3">
        <v>78</v>
      </c>
      <c r="N510" s="4">
        <v>44396</v>
      </c>
      <c r="O510" s="10">
        <v>373723.22129999998</v>
      </c>
      <c r="P510" s="1">
        <f>$C$3+F510*$C$4+H510*$C$6+J510*$C$8+K510*$C$9+L510*$C$10+M510*$C$11</f>
        <v>354632.64240925974</v>
      </c>
      <c r="Q510" s="1">
        <f>(O510-P510)/O510</f>
        <v>5.1082131916591805E-2</v>
      </c>
      <c r="R510" s="1"/>
      <c r="S510" s="1"/>
    </row>
    <row r="511" spans="1:19" x14ac:dyDescent="0.3">
      <c r="A511" s="2">
        <v>792</v>
      </c>
      <c r="B511" s="3" t="s">
        <v>33</v>
      </c>
      <c r="C511" s="3" t="s">
        <v>198</v>
      </c>
      <c r="D511" s="3" t="s">
        <v>14</v>
      </c>
      <c r="E511" s="3" t="s">
        <v>23</v>
      </c>
      <c r="F511" s="3">
        <f>IF(D511="Urban",1,0)</f>
        <v>0</v>
      </c>
      <c r="G511" s="3">
        <v>16444</v>
      </c>
      <c r="H511" s="3">
        <v>9</v>
      </c>
      <c r="I511" s="3">
        <v>92423</v>
      </c>
      <c r="J511" s="3">
        <f>IF(E511="Cold",1,0)</f>
        <v>0</v>
      </c>
      <c r="K511" s="3">
        <f>IF(E511="Hot",1,0)</f>
        <v>0</v>
      </c>
      <c r="L511" s="3">
        <v>1267</v>
      </c>
      <c r="M511" s="3">
        <v>49</v>
      </c>
      <c r="N511" s="4">
        <v>44285</v>
      </c>
      <c r="O511" s="10">
        <v>313342.80660000001</v>
      </c>
      <c r="P511" s="1">
        <f>$C$3+F511*$C$4+H511*$C$6+J511*$C$8+K511*$C$9+L511*$C$10+M511*$C$11</f>
        <v>297374.21129673772</v>
      </c>
      <c r="Q511" s="1">
        <f>(O511-P511)/O511</f>
        <v>5.0962061253402628E-2</v>
      </c>
      <c r="R511" s="1"/>
      <c r="S511" s="1"/>
    </row>
    <row r="512" spans="1:19" x14ac:dyDescent="0.3">
      <c r="A512" s="2">
        <v>85</v>
      </c>
      <c r="B512" s="3" t="s">
        <v>24</v>
      </c>
      <c r="C512" s="3" t="s">
        <v>100</v>
      </c>
      <c r="D512" s="3" t="s">
        <v>18</v>
      </c>
      <c r="E512" s="3" t="s">
        <v>23</v>
      </c>
      <c r="F512" s="3">
        <f>IF(D512="Urban",1,0)</f>
        <v>1</v>
      </c>
      <c r="G512" s="3">
        <v>25549</v>
      </c>
      <c r="H512" s="3">
        <v>8</v>
      </c>
      <c r="I512" s="3">
        <v>73902</v>
      </c>
      <c r="J512" s="3">
        <f>IF(E512="Cold",1,0)</f>
        <v>0</v>
      </c>
      <c r="K512" s="3">
        <f>IF(E512="Hot",1,0)</f>
        <v>0</v>
      </c>
      <c r="L512" s="3">
        <v>2685</v>
      </c>
      <c r="M512" s="3">
        <v>78</v>
      </c>
      <c r="N512" s="4">
        <v>44715</v>
      </c>
      <c r="O512" s="10">
        <v>400678.51419999998</v>
      </c>
      <c r="P512" s="1">
        <f>$C$3+F512*$C$4+H512*$C$6+J512*$C$8+K512*$C$9+L512*$C$10+M512*$C$11</f>
        <v>380280.30761270039</v>
      </c>
      <c r="Q512" s="1">
        <f>(O512-P512)/O512</f>
        <v>5.0909159998326632E-2</v>
      </c>
      <c r="R512" s="1"/>
      <c r="S512" s="1"/>
    </row>
    <row r="513" spans="1:19" x14ac:dyDescent="0.3">
      <c r="A513" s="2">
        <v>101</v>
      </c>
      <c r="B513" s="3" t="s">
        <v>55</v>
      </c>
      <c r="C513" s="3" t="s">
        <v>98</v>
      </c>
      <c r="D513" s="3" t="s">
        <v>18</v>
      </c>
      <c r="E513" s="3" t="s">
        <v>23</v>
      </c>
      <c r="F513" s="3">
        <f>IF(D513="Urban",1,0)</f>
        <v>1</v>
      </c>
      <c r="G513" s="3">
        <v>7467</v>
      </c>
      <c r="H513" s="3">
        <v>7</v>
      </c>
      <c r="I513" s="3">
        <v>77104</v>
      </c>
      <c r="J513" s="3">
        <f>IF(E513="Cold",1,0)</f>
        <v>0</v>
      </c>
      <c r="K513" s="3">
        <f>IF(E513="Hot",1,0)</f>
        <v>0</v>
      </c>
      <c r="L513" s="3">
        <v>1023</v>
      </c>
      <c r="M513" s="3">
        <v>35</v>
      </c>
      <c r="N513" s="4">
        <v>44930</v>
      </c>
      <c r="O513" s="10">
        <v>352744.37660000002</v>
      </c>
      <c r="P513" s="1">
        <f>$C$3+F513*$C$4+H513*$C$6+J513*$C$8+K513*$C$9+L513*$C$10+M513*$C$11</f>
        <v>334807.89562356746</v>
      </c>
      <c r="Q513" s="1">
        <f>(O513-P513)/O513</f>
        <v>5.0848382472647932E-2</v>
      </c>
      <c r="R513" s="1"/>
      <c r="S513" s="1"/>
    </row>
    <row r="514" spans="1:19" x14ac:dyDescent="0.3">
      <c r="A514" s="2">
        <v>401</v>
      </c>
      <c r="B514" s="3" t="s">
        <v>55</v>
      </c>
      <c r="C514" s="3" t="s">
        <v>98</v>
      </c>
      <c r="D514" s="3" t="s">
        <v>18</v>
      </c>
      <c r="E514" s="3" t="s">
        <v>15</v>
      </c>
      <c r="F514" s="3">
        <f>IF(D514="Urban",1,0)</f>
        <v>1</v>
      </c>
      <c r="G514" s="3">
        <v>2775</v>
      </c>
      <c r="H514" s="3">
        <v>7</v>
      </c>
      <c r="I514" s="3">
        <v>61096</v>
      </c>
      <c r="J514" s="3">
        <f>IF(E514="Cold",1,0)</f>
        <v>1</v>
      </c>
      <c r="K514" s="3">
        <f>IF(E514="Hot",1,0)</f>
        <v>0</v>
      </c>
      <c r="L514" s="3">
        <v>1807</v>
      </c>
      <c r="M514" s="3">
        <v>84</v>
      </c>
      <c r="N514" s="4">
        <v>45537</v>
      </c>
      <c r="O514" s="10">
        <v>365111.14130000002</v>
      </c>
      <c r="P514" s="1">
        <f>$C$3+F514*$C$4+H514*$C$6+J514*$C$8+K514*$C$9+L514*$C$10+M514*$C$11</f>
        <v>346619.9847091391</v>
      </c>
      <c r="Q514" s="1">
        <f>(O514-P514)/O514</f>
        <v>5.0645281666897517E-2</v>
      </c>
      <c r="R514" s="1"/>
      <c r="S514" s="1"/>
    </row>
    <row r="515" spans="1:19" x14ac:dyDescent="0.3">
      <c r="A515" s="2">
        <v>813</v>
      </c>
      <c r="B515" s="3" t="s">
        <v>24</v>
      </c>
      <c r="C515" s="3" t="s">
        <v>101</v>
      </c>
      <c r="D515" s="3" t="s">
        <v>18</v>
      </c>
      <c r="E515" s="3" t="s">
        <v>21</v>
      </c>
      <c r="F515" s="3">
        <f>IF(D515="Urban",1,0)</f>
        <v>1</v>
      </c>
      <c r="G515" s="3">
        <v>27870</v>
      </c>
      <c r="H515" s="3">
        <v>3</v>
      </c>
      <c r="I515" s="3">
        <v>61846</v>
      </c>
      <c r="J515" s="3">
        <f>IF(E515="Cold",1,0)</f>
        <v>0</v>
      </c>
      <c r="K515" s="3">
        <f>IF(E515="Hot",1,0)</f>
        <v>1</v>
      </c>
      <c r="L515" s="3">
        <v>2633</v>
      </c>
      <c r="M515" s="3">
        <v>34</v>
      </c>
      <c r="N515" s="4">
        <v>44030</v>
      </c>
      <c r="O515" s="10">
        <v>391508.48479999998</v>
      </c>
      <c r="P515" s="1">
        <f>$C$3+F515*$C$4+H515*$C$6+J515*$C$8+K515*$C$9+L515*$C$10+M515*$C$11</f>
        <v>371715.21916294767</v>
      </c>
      <c r="Q515" s="1">
        <f>(O515-P515)/O515</f>
        <v>5.0556415519739217E-2</v>
      </c>
      <c r="R515" s="1"/>
      <c r="S515" s="1"/>
    </row>
    <row r="516" spans="1:19" x14ac:dyDescent="0.3">
      <c r="A516" s="2">
        <v>777</v>
      </c>
      <c r="B516" s="3" t="s">
        <v>44</v>
      </c>
      <c r="C516" s="3" t="s">
        <v>111</v>
      </c>
      <c r="D516" s="3" t="s">
        <v>14</v>
      </c>
      <c r="E516" s="3" t="s">
        <v>15</v>
      </c>
      <c r="F516" s="3">
        <f>IF(D516="Urban",1,0)</f>
        <v>0</v>
      </c>
      <c r="G516" s="3">
        <v>1103</v>
      </c>
      <c r="H516" s="3">
        <v>4</v>
      </c>
      <c r="I516" s="3">
        <v>97490</v>
      </c>
      <c r="J516" s="3">
        <f>IF(E516="Cold",1,0)</f>
        <v>1</v>
      </c>
      <c r="K516" s="3">
        <f>IF(E516="Hot",1,0)</f>
        <v>0</v>
      </c>
      <c r="L516" s="3">
        <v>2371</v>
      </c>
      <c r="M516" s="3">
        <v>83</v>
      </c>
      <c r="N516" s="4">
        <v>44673</v>
      </c>
      <c r="O516" s="10">
        <v>332481.09570000001</v>
      </c>
      <c r="P516" s="1">
        <f>$C$3+F516*$C$4+H516*$C$6+J516*$C$8+K516*$C$9+L516*$C$10+M516*$C$11</f>
        <v>315699.59438154573</v>
      </c>
      <c r="Q516" s="1">
        <f>(O516-P516)/O516</f>
        <v>5.0473550332607003E-2</v>
      </c>
      <c r="R516" s="1"/>
      <c r="S516" s="1"/>
    </row>
    <row r="517" spans="1:19" x14ac:dyDescent="0.3">
      <c r="A517" s="2">
        <v>515</v>
      </c>
      <c r="B517" s="3" t="s">
        <v>74</v>
      </c>
      <c r="C517" s="3" t="s">
        <v>209</v>
      </c>
      <c r="D517" s="3" t="s">
        <v>14</v>
      </c>
      <c r="E517" s="3" t="s">
        <v>23</v>
      </c>
      <c r="F517" s="3">
        <f>IF(D517="Urban",1,0)</f>
        <v>0</v>
      </c>
      <c r="G517" s="3">
        <v>14140</v>
      </c>
      <c r="H517" s="3">
        <v>5</v>
      </c>
      <c r="I517" s="3">
        <v>72310</v>
      </c>
      <c r="J517" s="3">
        <f>IF(E517="Cold",1,0)</f>
        <v>0</v>
      </c>
      <c r="K517" s="3">
        <f>IF(E517="Hot",1,0)</f>
        <v>0</v>
      </c>
      <c r="L517" s="3">
        <v>1221</v>
      </c>
      <c r="M517" s="3">
        <v>22</v>
      </c>
      <c r="N517" s="4">
        <v>43977</v>
      </c>
      <c r="O517" s="10">
        <v>307448.1531</v>
      </c>
      <c r="P517" s="1">
        <f>$C$3+F517*$C$4+H517*$C$6+J517*$C$8+K517*$C$9+L517*$C$10+M517*$C$11</f>
        <v>291934.36669864214</v>
      </c>
      <c r="Q517" s="1">
        <f>(O517-P517)/O517</f>
        <v>5.0459845814431893E-2</v>
      </c>
      <c r="R517" s="1"/>
      <c r="S517" s="1"/>
    </row>
    <row r="518" spans="1:19" x14ac:dyDescent="0.3">
      <c r="A518" s="2">
        <v>919</v>
      </c>
      <c r="B518" s="3" t="s">
        <v>108</v>
      </c>
      <c r="C518" s="3" t="s">
        <v>203</v>
      </c>
      <c r="D518" s="3" t="s">
        <v>18</v>
      </c>
      <c r="E518" s="3" t="s">
        <v>15</v>
      </c>
      <c r="F518" s="3">
        <f>IF(D518="Urban",1,0)</f>
        <v>1</v>
      </c>
      <c r="G518" s="3">
        <v>28688</v>
      </c>
      <c r="H518" s="3">
        <v>7</v>
      </c>
      <c r="I518" s="3">
        <v>84767</v>
      </c>
      <c r="J518" s="3">
        <f>IF(E518="Cold",1,0)</f>
        <v>1</v>
      </c>
      <c r="K518" s="3">
        <f>IF(E518="Hot",1,0)</f>
        <v>0</v>
      </c>
      <c r="L518" s="3">
        <v>1799</v>
      </c>
      <c r="M518" s="3">
        <v>98</v>
      </c>
      <c r="N518" s="4">
        <v>45353</v>
      </c>
      <c r="O518" s="10">
        <v>369402.30320000002</v>
      </c>
      <c r="P518" s="1">
        <f>$C$3+F518*$C$4+H518*$C$6+J518*$C$8+K518*$C$9+L518*$C$10+M518*$C$11</f>
        <v>350775.54876208107</v>
      </c>
      <c r="Q518" s="1">
        <f>(O518-P518)/O518</f>
        <v>5.042403438354888E-2</v>
      </c>
      <c r="R518" s="1"/>
      <c r="S518" s="1"/>
    </row>
    <row r="519" spans="1:19" x14ac:dyDescent="0.3">
      <c r="A519" s="2">
        <v>224</v>
      </c>
      <c r="B519" s="3" t="s">
        <v>37</v>
      </c>
      <c r="C519" s="3" t="s">
        <v>166</v>
      </c>
      <c r="D519" s="3" t="s">
        <v>14</v>
      </c>
      <c r="E519" s="3" t="s">
        <v>23</v>
      </c>
      <c r="F519" s="3">
        <f>IF(D519="Urban",1,0)</f>
        <v>0</v>
      </c>
      <c r="G519" s="3">
        <v>7819</v>
      </c>
      <c r="H519" s="3">
        <v>4</v>
      </c>
      <c r="I519" s="3">
        <v>79586</v>
      </c>
      <c r="J519" s="3">
        <f>IF(E519="Cold",1,0)</f>
        <v>0</v>
      </c>
      <c r="K519" s="3">
        <f>IF(E519="Hot",1,0)</f>
        <v>0</v>
      </c>
      <c r="L519" s="3">
        <v>1197</v>
      </c>
      <c r="M519" s="3">
        <v>49</v>
      </c>
      <c r="N519" s="4">
        <v>45035</v>
      </c>
      <c r="O519" s="10">
        <v>316642.15500000003</v>
      </c>
      <c r="P519" s="1">
        <f>$C$3+F519*$C$4+H519*$C$6+J519*$C$8+K519*$C$9+L519*$C$10+M519*$C$11</f>
        <v>300727.70602066809</v>
      </c>
      <c r="Q519" s="1">
        <f>(O519-P519)/O519</f>
        <v>5.0260045063589005E-2</v>
      </c>
      <c r="R519" s="1"/>
      <c r="S519" s="1"/>
    </row>
    <row r="520" spans="1:19" x14ac:dyDescent="0.3">
      <c r="A520" s="2">
        <v>260</v>
      </c>
      <c r="B520" s="3" t="s">
        <v>74</v>
      </c>
      <c r="C520" s="3" t="s">
        <v>75</v>
      </c>
      <c r="D520" s="3" t="s">
        <v>14</v>
      </c>
      <c r="E520" s="3" t="s">
        <v>21</v>
      </c>
      <c r="F520" s="3">
        <f>IF(D520="Urban",1,0)</f>
        <v>0</v>
      </c>
      <c r="G520" s="3">
        <v>21070</v>
      </c>
      <c r="H520" s="3">
        <v>4</v>
      </c>
      <c r="I520" s="3">
        <v>80433</v>
      </c>
      <c r="J520" s="3">
        <f>IF(E520="Cold",1,0)</f>
        <v>0</v>
      </c>
      <c r="K520" s="3">
        <f>IF(E520="Hot",1,0)</f>
        <v>1</v>
      </c>
      <c r="L520" s="3">
        <v>2505</v>
      </c>
      <c r="M520" s="3">
        <v>67</v>
      </c>
      <c r="N520" s="4">
        <v>44357</v>
      </c>
      <c r="O520" s="10">
        <v>351301.5368</v>
      </c>
      <c r="P520" s="1">
        <f>$C$3+F520*$C$4+H520*$C$6+J520*$C$8+K520*$C$9+L520*$C$10+M520*$C$11</f>
        <v>333663.98025843489</v>
      </c>
      <c r="Q520" s="1">
        <f>(O520-P520)/O520</f>
        <v>5.0206317633066239E-2</v>
      </c>
      <c r="R520" s="1"/>
      <c r="S520" s="1"/>
    </row>
    <row r="521" spans="1:19" x14ac:dyDescent="0.3">
      <c r="A521" s="2">
        <v>594</v>
      </c>
      <c r="B521" s="3" t="s">
        <v>33</v>
      </c>
      <c r="C521" s="3" t="s">
        <v>88</v>
      </c>
      <c r="D521" s="3" t="s">
        <v>18</v>
      </c>
      <c r="E521" s="3" t="s">
        <v>15</v>
      </c>
      <c r="F521" s="3">
        <f>IF(D521="Urban",1,0)</f>
        <v>1</v>
      </c>
      <c r="G521" s="3">
        <v>19243</v>
      </c>
      <c r="H521" s="3">
        <v>3</v>
      </c>
      <c r="I521" s="3">
        <v>50948</v>
      </c>
      <c r="J521" s="3">
        <f>IF(E521="Cold",1,0)</f>
        <v>1</v>
      </c>
      <c r="K521" s="3">
        <f>IF(E521="Hot",1,0)</f>
        <v>0</v>
      </c>
      <c r="L521" s="3">
        <v>2687</v>
      </c>
      <c r="M521" s="3">
        <v>28</v>
      </c>
      <c r="N521" s="4">
        <v>44338</v>
      </c>
      <c r="O521" s="10">
        <v>369238.00540000002</v>
      </c>
      <c r="P521" s="1">
        <f>$C$3+F521*$C$4+H521*$C$6+J521*$C$8+K521*$C$9+L521*$C$10+M521*$C$11</f>
        <v>350721.69809414941</v>
      </c>
      <c r="Q521" s="1">
        <f>(O521-P521)/O521</f>
        <v>5.014734950101269E-2</v>
      </c>
      <c r="R521" s="1"/>
      <c r="S521" s="1"/>
    </row>
    <row r="522" spans="1:19" x14ac:dyDescent="0.3">
      <c r="A522" s="2">
        <v>627</v>
      </c>
      <c r="B522" s="3" t="s">
        <v>12</v>
      </c>
      <c r="C522" s="3" t="s">
        <v>173</v>
      </c>
      <c r="D522" s="3" t="s">
        <v>14</v>
      </c>
      <c r="E522" s="3" t="s">
        <v>15</v>
      </c>
      <c r="F522" s="3">
        <f>IF(D522="Urban",1,0)</f>
        <v>0</v>
      </c>
      <c r="G522" s="3">
        <v>19244</v>
      </c>
      <c r="H522" s="3">
        <v>3</v>
      </c>
      <c r="I522" s="3">
        <v>70308</v>
      </c>
      <c r="J522" s="3">
        <f>IF(E522="Cold",1,0)</f>
        <v>1</v>
      </c>
      <c r="K522" s="3">
        <f>IF(E522="Hot",1,0)</f>
        <v>0</v>
      </c>
      <c r="L522" s="3">
        <v>1972</v>
      </c>
      <c r="M522" s="3">
        <v>38</v>
      </c>
      <c r="N522" s="4">
        <v>44858</v>
      </c>
      <c r="O522" s="10">
        <v>310288.24410000001</v>
      </c>
      <c r="P522" s="1">
        <f>$C$3+F522*$C$4+H522*$C$6+J522*$C$8+K522*$C$9+L522*$C$10+M522*$C$11</f>
        <v>294816.47733983718</v>
      </c>
      <c r="Q522" s="1">
        <f>(O522-P522)/O522</f>
        <v>4.9862561841616464E-2</v>
      </c>
      <c r="R522" s="1"/>
      <c r="S522" s="1"/>
    </row>
    <row r="523" spans="1:19" x14ac:dyDescent="0.3">
      <c r="A523" s="2">
        <v>494</v>
      </c>
      <c r="B523" s="3" t="s">
        <v>19</v>
      </c>
      <c r="C523" s="3" t="s">
        <v>199</v>
      </c>
      <c r="D523" s="3" t="s">
        <v>14</v>
      </c>
      <c r="E523" s="3" t="s">
        <v>21</v>
      </c>
      <c r="F523" s="3">
        <f>IF(D523="Urban",1,0)</f>
        <v>0</v>
      </c>
      <c r="G523" s="3">
        <v>12824</v>
      </c>
      <c r="H523" s="3">
        <v>9</v>
      </c>
      <c r="I523" s="3">
        <v>51291</v>
      </c>
      <c r="J523" s="3">
        <f>IF(E523="Cold",1,0)</f>
        <v>0</v>
      </c>
      <c r="K523" s="3">
        <f>IF(E523="Hot",1,0)</f>
        <v>1</v>
      </c>
      <c r="L523" s="3">
        <v>2282</v>
      </c>
      <c r="M523" s="3">
        <v>56</v>
      </c>
      <c r="N523" s="4">
        <v>44741</v>
      </c>
      <c r="O523" s="10">
        <v>337918.01980000001</v>
      </c>
      <c r="P523" s="1">
        <f>$C$3+F523*$C$4+H523*$C$6+J523*$C$8+K523*$C$9+L523*$C$10+M523*$C$11</f>
        <v>321072.53932414245</v>
      </c>
      <c r="Q523" s="1">
        <f>(O523-P523)/O523</f>
        <v>4.9850790691268021E-2</v>
      </c>
      <c r="R523" s="1"/>
      <c r="S523" s="1"/>
    </row>
    <row r="524" spans="1:19" x14ac:dyDescent="0.3">
      <c r="A524" s="2">
        <v>815</v>
      </c>
      <c r="B524" s="3" t="s">
        <v>57</v>
      </c>
      <c r="C524" s="3" t="s">
        <v>86</v>
      </c>
      <c r="D524" s="3" t="s">
        <v>18</v>
      </c>
      <c r="E524" s="3" t="s">
        <v>23</v>
      </c>
      <c r="F524" s="3">
        <f>IF(D524="Urban",1,0)</f>
        <v>1</v>
      </c>
      <c r="G524" s="3">
        <v>6863</v>
      </c>
      <c r="H524" s="3">
        <v>1</v>
      </c>
      <c r="I524" s="3">
        <v>79339</v>
      </c>
      <c r="J524" s="3">
        <f>IF(E524="Cold",1,0)</f>
        <v>0</v>
      </c>
      <c r="K524" s="3">
        <f>IF(E524="Hot",1,0)</f>
        <v>0</v>
      </c>
      <c r="L524" s="3">
        <v>2532</v>
      </c>
      <c r="M524" s="3">
        <v>61</v>
      </c>
      <c r="N524" s="4">
        <v>44106</v>
      </c>
      <c r="O524" s="10">
        <v>398489.44189999998</v>
      </c>
      <c r="P524" s="1">
        <f>$C$3+F524*$C$4+H524*$C$6+J524*$C$8+K524*$C$9+L524*$C$10+M524*$C$11</f>
        <v>378637.65188198769</v>
      </c>
      <c r="Q524" s="1">
        <f>(O524-P524)/O524</f>
        <v>4.9817606015754974E-2</v>
      </c>
      <c r="R524" s="1"/>
      <c r="S524" s="1"/>
    </row>
    <row r="525" spans="1:19" x14ac:dyDescent="0.3">
      <c r="A525" s="2">
        <v>748</v>
      </c>
      <c r="B525" s="3" t="s">
        <v>72</v>
      </c>
      <c r="C525" s="3" t="s">
        <v>180</v>
      </c>
      <c r="D525" s="3" t="s">
        <v>14</v>
      </c>
      <c r="E525" s="3" t="s">
        <v>21</v>
      </c>
      <c r="F525" s="3">
        <f>IF(D525="Urban",1,0)</f>
        <v>0</v>
      </c>
      <c r="G525" s="3">
        <v>14928</v>
      </c>
      <c r="H525" s="3">
        <v>9</v>
      </c>
      <c r="I525" s="3">
        <v>91434</v>
      </c>
      <c r="J525" s="3">
        <f>IF(E525="Cold",1,0)</f>
        <v>0</v>
      </c>
      <c r="K525" s="3">
        <f>IF(E525="Hot",1,0)</f>
        <v>1</v>
      </c>
      <c r="L525" s="3">
        <v>2422</v>
      </c>
      <c r="M525" s="3">
        <v>31</v>
      </c>
      <c r="N525" s="4">
        <v>44484</v>
      </c>
      <c r="O525" s="10">
        <v>332704.87349999999</v>
      </c>
      <c r="P525" s="1">
        <f>$C$3+F525*$C$4+H525*$C$6+J525*$C$8+K525*$C$9+L525*$C$10+M525*$C$11</f>
        <v>316160.7756012085</v>
      </c>
      <c r="Q525" s="1">
        <f>(O525-P525)/O525</f>
        <v>4.9726046164428925E-2</v>
      </c>
      <c r="R525" s="1"/>
      <c r="S525" s="1"/>
    </row>
    <row r="526" spans="1:19" x14ac:dyDescent="0.3">
      <c r="A526" s="2">
        <v>875</v>
      </c>
      <c r="B526" s="3" t="s">
        <v>33</v>
      </c>
      <c r="C526" s="3" t="s">
        <v>92</v>
      </c>
      <c r="D526" s="3" t="s">
        <v>18</v>
      </c>
      <c r="E526" s="3" t="s">
        <v>21</v>
      </c>
      <c r="F526" s="3">
        <f>IF(D526="Urban",1,0)</f>
        <v>1</v>
      </c>
      <c r="G526" s="3">
        <v>8308</v>
      </c>
      <c r="H526" s="3">
        <v>0</v>
      </c>
      <c r="I526" s="3">
        <v>60575</v>
      </c>
      <c r="J526" s="3">
        <f>IF(E526="Cold",1,0)</f>
        <v>0</v>
      </c>
      <c r="K526" s="3">
        <f>IF(E526="Hot",1,0)</f>
        <v>1</v>
      </c>
      <c r="L526" s="3">
        <v>1585</v>
      </c>
      <c r="M526" s="3">
        <v>43</v>
      </c>
      <c r="N526" s="4">
        <v>45227</v>
      </c>
      <c r="O526" s="10">
        <v>375022.35190000001</v>
      </c>
      <c r="P526" s="1">
        <f>$C$3+F526*$C$4+H526*$C$6+J526*$C$8+K526*$C$9+L526*$C$10+M526*$C$11</f>
        <v>356424.59330467385</v>
      </c>
      <c r="Q526" s="1">
        <f>(O526-P526)/O526</f>
        <v>4.9591067042012646E-2</v>
      </c>
      <c r="R526" s="1"/>
      <c r="S526" s="1"/>
    </row>
    <row r="527" spans="1:19" x14ac:dyDescent="0.3">
      <c r="A527" s="2">
        <v>890</v>
      </c>
      <c r="B527" s="3" t="s">
        <v>122</v>
      </c>
      <c r="C527" s="3" t="s">
        <v>208</v>
      </c>
      <c r="D527" s="3" t="s">
        <v>14</v>
      </c>
      <c r="E527" s="3" t="s">
        <v>23</v>
      </c>
      <c r="F527" s="3">
        <f>IF(D527="Urban",1,0)</f>
        <v>0</v>
      </c>
      <c r="G527" s="3">
        <v>20447</v>
      </c>
      <c r="H527" s="3">
        <v>5</v>
      </c>
      <c r="I527" s="3">
        <v>75977</v>
      </c>
      <c r="J527" s="3">
        <f>IF(E527="Cold",1,0)</f>
        <v>0</v>
      </c>
      <c r="K527" s="3">
        <f>IF(E527="Hot",1,0)</f>
        <v>0</v>
      </c>
      <c r="L527" s="3">
        <v>2030</v>
      </c>
      <c r="M527" s="3">
        <v>90</v>
      </c>
      <c r="N527" s="4">
        <v>44590</v>
      </c>
      <c r="O527" s="10">
        <v>346174.43959999998</v>
      </c>
      <c r="P527" s="1">
        <f>$C$3+F527*$C$4+H527*$C$6+J527*$C$8+K527*$C$9+L527*$C$10+M527*$C$11</f>
        <v>329039.26292792201</v>
      </c>
      <c r="Q527" s="1">
        <f>(O527-P527)/O527</f>
        <v>4.9498676713039362E-2</v>
      </c>
      <c r="R527" s="1"/>
      <c r="S527" s="1"/>
    </row>
    <row r="528" spans="1:19" x14ac:dyDescent="0.3">
      <c r="A528" s="2">
        <v>465</v>
      </c>
      <c r="B528" s="3" t="s">
        <v>44</v>
      </c>
      <c r="C528" s="3" t="s">
        <v>143</v>
      </c>
      <c r="D528" s="3" t="s">
        <v>14</v>
      </c>
      <c r="E528" s="3" t="s">
        <v>15</v>
      </c>
      <c r="F528" s="3">
        <f>IF(D528="Urban",1,0)</f>
        <v>0</v>
      </c>
      <c r="G528" s="3">
        <v>28762</v>
      </c>
      <c r="H528" s="3">
        <v>8</v>
      </c>
      <c r="I528" s="3">
        <v>79534</v>
      </c>
      <c r="J528" s="3">
        <f>IF(E528="Cold",1,0)</f>
        <v>1</v>
      </c>
      <c r="K528" s="3">
        <f>IF(E528="Hot",1,0)</f>
        <v>0</v>
      </c>
      <c r="L528" s="3">
        <v>1907</v>
      </c>
      <c r="M528" s="3">
        <v>44</v>
      </c>
      <c r="N528" s="4">
        <v>44582</v>
      </c>
      <c r="O528" s="10">
        <v>305745.56849999999</v>
      </c>
      <c r="P528" s="1">
        <f>$C$3+F528*$C$4+H528*$C$6+J528*$C$8+K528*$C$9+L528*$C$10+M528*$C$11</f>
        <v>290618.1609701321</v>
      </c>
      <c r="Q528" s="1">
        <f>(O528-P528)/O528</f>
        <v>4.9477111325222346E-2</v>
      </c>
      <c r="R528" s="1"/>
      <c r="S528" s="1"/>
    </row>
    <row r="529" spans="1:19" x14ac:dyDescent="0.3">
      <c r="A529" s="2">
        <v>60</v>
      </c>
      <c r="B529" s="3" t="s">
        <v>29</v>
      </c>
      <c r="C529" s="3" t="s">
        <v>83</v>
      </c>
      <c r="D529" s="3" t="s">
        <v>14</v>
      </c>
      <c r="E529" s="3" t="s">
        <v>23</v>
      </c>
      <c r="F529" s="3">
        <f>IF(D529="Urban",1,0)</f>
        <v>0</v>
      </c>
      <c r="G529" s="3">
        <v>24839</v>
      </c>
      <c r="H529" s="3">
        <v>1</v>
      </c>
      <c r="I529" s="3">
        <v>82731</v>
      </c>
      <c r="J529" s="3">
        <f>IF(E529="Cold",1,0)</f>
        <v>0</v>
      </c>
      <c r="K529" s="3">
        <f>IF(E529="Hot",1,0)</f>
        <v>0</v>
      </c>
      <c r="L529" s="3">
        <v>1952</v>
      </c>
      <c r="M529" s="3">
        <v>40</v>
      </c>
      <c r="N529" s="4">
        <v>45147</v>
      </c>
      <c r="O529" s="10">
        <v>332271.85389999999</v>
      </c>
      <c r="P529" s="1">
        <f>$C$3+F529*$C$4+H529*$C$6+J529*$C$8+K529*$C$9+L529*$C$10+M529*$C$11</f>
        <v>315871.50195486477</v>
      </c>
      <c r="Q529" s="1">
        <f>(O529-P529)/O529</f>
        <v>4.9358234086450917E-2</v>
      </c>
      <c r="R529" s="1"/>
      <c r="S529" s="1"/>
    </row>
    <row r="530" spans="1:19" x14ac:dyDescent="0.3">
      <c r="A530" s="2">
        <v>135</v>
      </c>
      <c r="B530" s="3" t="s">
        <v>24</v>
      </c>
      <c r="C530" s="3" t="s">
        <v>124</v>
      </c>
      <c r="D530" s="3" t="s">
        <v>18</v>
      </c>
      <c r="E530" s="3" t="s">
        <v>21</v>
      </c>
      <c r="F530" s="3">
        <f>IF(D530="Urban",1,0)</f>
        <v>1</v>
      </c>
      <c r="G530" s="3">
        <v>24657</v>
      </c>
      <c r="H530" s="3">
        <v>6</v>
      </c>
      <c r="I530" s="3">
        <v>93048</v>
      </c>
      <c r="J530" s="3">
        <f>IF(E530="Cold",1,0)</f>
        <v>0</v>
      </c>
      <c r="K530" s="3">
        <f>IF(E530="Hot",1,0)</f>
        <v>1</v>
      </c>
      <c r="L530" s="3">
        <v>2922</v>
      </c>
      <c r="M530" s="3">
        <v>25</v>
      </c>
      <c r="N530" s="4">
        <v>44384</v>
      </c>
      <c r="O530" s="10">
        <v>391162.85149999999</v>
      </c>
      <c r="P530" s="1">
        <f>$C$3+F530*$C$4+H530*$C$6+J530*$C$8+K530*$C$9+L530*$C$10+M530*$C$11</f>
        <v>371858.44355265499</v>
      </c>
      <c r="Q530" s="1">
        <f>(O530-P530)/O530</f>
        <v>4.9351332503375506E-2</v>
      </c>
      <c r="R530" s="1"/>
      <c r="S530" s="1"/>
    </row>
    <row r="531" spans="1:19" x14ac:dyDescent="0.3">
      <c r="A531" s="2">
        <v>376</v>
      </c>
      <c r="B531" s="3" t="s">
        <v>16</v>
      </c>
      <c r="C531" s="3" t="s">
        <v>171</v>
      </c>
      <c r="D531" s="3" t="s">
        <v>18</v>
      </c>
      <c r="E531" s="3" t="s">
        <v>21</v>
      </c>
      <c r="F531" s="3">
        <f>IF(D531="Urban",1,0)</f>
        <v>1</v>
      </c>
      <c r="G531" s="3">
        <v>16781</v>
      </c>
      <c r="H531" s="3">
        <v>8</v>
      </c>
      <c r="I531" s="3">
        <v>70782</v>
      </c>
      <c r="J531" s="3">
        <f>IF(E531="Cold",1,0)</f>
        <v>0</v>
      </c>
      <c r="K531" s="3">
        <f>IF(E531="Hot",1,0)</f>
        <v>1</v>
      </c>
      <c r="L531" s="3">
        <v>2595</v>
      </c>
      <c r="M531" s="3">
        <v>57</v>
      </c>
      <c r="N531" s="4">
        <v>44349</v>
      </c>
      <c r="O531" s="10">
        <v>392636.41759999999</v>
      </c>
      <c r="P531" s="1">
        <f>$C$3+F531*$C$4+H531*$C$6+J531*$C$8+K531*$C$9+L531*$C$10+M531*$C$11</f>
        <v>373295.65371832764</v>
      </c>
      <c r="Q531" s="1">
        <f>(O531-P531)/O531</f>
        <v>4.9258711150364648E-2</v>
      </c>
      <c r="R531" s="1"/>
      <c r="S531" s="1"/>
    </row>
    <row r="532" spans="1:19" x14ac:dyDescent="0.3">
      <c r="A532" s="2">
        <v>517</v>
      </c>
      <c r="B532" s="3" t="s">
        <v>12</v>
      </c>
      <c r="C532" s="3" t="s">
        <v>95</v>
      </c>
      <c r="D532" s="3" t="s">
        <v>18</v>
      </c>
      <c r="E532" s="3" t="s">
        <v>21</v>
      </c>
      <c r="F532" s="3">
        <f>IF(D532="Urban",1,0)</f>
        <v>1</v>
      </c>
      <c r="G532" s="3">
        <v>11804</v>
      </c>
      <c r="H532" s="3">
        <v>2</v>
      </c>
      <c r="I532" s="3">
        <v>81531</v>
      </c>
      <c r="J532" s="3">
        <f>IF(E532="Cold",1,0)</f>
        <v>0</v>
      </c>
      <c r="K532" s="3">
        <f>IF(E532="Hot",1,0)</f>
        <v>1</v>
      </c>
      <c r="L532" s="3">
        <v>1852</v>
      </c>
      <c r="M532" s="3">
        <v>79</v>
      </c>
      <c r="N532" s="4">
        <v>45448</v>
      </c>
      <c r="O532" s="10">
        <v>390163.86820000003</v>
      </c>
      <c r="P532" s="1">
        <f>$C$3+F532*$C$4+H532*$C$6+J532*$C$8+K532*$C$9+L532*$C$10+M532*$C$11</f>
        <v>370949.21170715499</v>
      </c>
      <c r="Q532" s="1">
        <f>(O532-P532)/O532</f>
        <v>4.9247657353539219E-2</v>
      </c>
      <c r="R532" s="1"/>
      <c r="S532" s="1"/>
    </row>
    <row r="533" spans="1:19" x14ac:dyDescent="0.3">
      <c r="A533" s="2">
        <v>61</v>
      </c>
      <c r="B533" s="3" t="s">
        <v>16</v>
      </c>
      <c r="C533" s="3" t="s">
        <v>84</v>
      </c>
      <c r="D533" s="3" t="s">
        <v>18</v>
      </c>
      <c r="E533" s="3" t="s">
        <v>21</v>
      </c>
      <c r="F533" s="3">
        <f>IF(D533="Urban",1,0)</f>
        <v>1</v>
      </c>
      <c r="G533" s="3">
        <v>12649</v>
      </c>
      <c r="H533" s="3">
        <v>8</v>
      </c>
      <c r="I533" s="3">
        <v>75511</v>
      </c>
      <c r="J533" s="3">
        <f>IF(E533="Cold",1,0)</f>
        <v>0</v>
      </c>
      <c r="K533" s="3">
        <f>IF(E533="Hot",1,0)</f>
        <v>1</v>
      </c>
      <c r="L533" s="3">
        <v>2177</v>
      </c>
      <c r="M533" s="3">
        <v>56</v>
      </c>
      <c r="N533" s="4">
        <v>44211</v>
      </c>
      <c r="O533" s="10">
        <v>383489.11</v>
      </c>
      <c r="P533" s="1">
        <f>$C$3+F533*$C$4+H533*$C$6+J533*$C$8+K533*$C$9+L533*$C$10+M533*$C$11</f>
        <v>364645.37649999687</v>
      </c>
      <c r="Q533" s="1">
        <f>(O533-P533)/O533</f>
        <v>4.9137597414443179E-2</v>
      </c>
      <c r="R533" s="1"/>
      <c r="S533" s="1"/>
    </row>
    <row r="534" spans="1:19" x14ac:dyDescent="0.3">
      <c r="A534" s="2">
        <v>41</v>
      </c>
      <c r="B534" s="3" t="s">
        <v>33</v>
      </c>
      <c r="C534" s="3" t="s">
        <v>68</v>
      </c>
      <c r="D534" s="3" t="s">
        <v>18</v>
      </c>
      <c r="E534" s="3" t="s">
        <v>23</v>
      </c>
      <c r="F534" s="3">
        <f>IF(D534="Urban",1,0)</f>
        <v>1</v>
      </c>
      <c r="G534" s="3">
        <v>2289</v>
      </c>
      <c r="H534" s="3">
        <v>3</v>
      </c>
      <c r="I534" s="3">
        <v>94659</v>
      </c>
      <c r="J534" s="3">
        <f>IF(E534="Cold",1,0)</f>
        <v>0</v>
      </c>
      <c r="K534" s="3">
        <f>IF(E534="Hot",1,0)</f>
        <v>0</v>
      </c>
      <c r="L534" s="3">
        <v>2297</v>
      </c>
      <c r="M534" s="3">
        <v>26</v>
      </c>
      <c r="N534" s="4">
        <v>44704</v>
      </c>
      <c r="O534" s="10">
        <v>379892.03350000002</v>
      </c>
      <c r="P534" s="1">
        <f>$C$3+F534*$C$4+H534*$C$6+J534*$C$8+K534*$C$9+L534*$C$10+M534*$C$11</f>
        <v>361259.49851670826</v>
      </c>
      <c r="Q534" s="1">
        <f>(O534-P534)/O534</f>
        <v>4.9046922125814345E-2</v>
      </c>
      <c r="R534" s="1"/>
      <c r="S534" s="1"/>
    </row>
    <row r="535" spans="1:19" x14ac:dyDescent="0.3">
      <c r="A535" s="2">
        <v>607</v>
      </c>
      <c r="B535" s="3" t="s">
        <v>44</v>
      </c>
      <c r="C535" s="3" t="s">
        <v>217</v>
      </c>
      <c r="D535" s="3" t="s">
        <v>14</v>
      </c>
      <c r="E535" s="3" t="s">
        <v>23</v>
      </c>
      <c r="F535" s="3">
        <f>IF(D535="Urban",1,0)</f>
        <v>0</v>
      </c>
      <c r="G535" s="3">
        <v>15738</v>
      </c>
      <c r="H535" s="3">
        <v>8</v>
      </c>
      <c r="I535" s="3">
        <v>65814</v>
      </c>
      <c r="J535" s="3">
        <f>IF(E535="Cold",1,0)</f>
        <v>0</v>
      </c>
      <c r="K535" s="3">
        <f>IF(E535="Hot",1,0)</f>
        <v>0</v>
      </c>
      <c r="L535" s="3">
        <v>2224</v>
      </c>
      <c r="M535" s="3">
        <v>83</v>
      </c>
      <c r="N535" s="4">
        <v>44335</v>
      </c>
      <c r="O535" s="10">
        <v>344776.2328</v>
      </c>
      <c r="P535" s="1">
        <f>$C$3+F535*$C$4+H535*$C$6+J535*$C$8+K535*$C$9+L535*$C$10+M535*$C$11</f>
        <v>327903.02756820986</v>
      </c>
      <c r="Q535" s="1">
        <f>(O535-P535)/O535</f>
        <v>4.8939583493790469E-2</v>
      </c>
      <c r="R535" s="1"/>
      <c r="S535" s="1"/>
    </row>
    <row r="536" spans="1:19" x14ac:dyDescent="0.3">
      <c r="A536" s="2">
        <v>776</v>
      </c>
      <c r="B536" s="3" t="s">
        <v>53</v>
      </c>
      <c r="C536" s="3" t="s">
        <v>225</v>
      </c>
      <c r="D536" s="3" t="s">
        <v>14</v>
      </c>
      <c r="E536" s="3" t="s">
        <v>21</v>
      </c>
      <c r="F536" s="3">
        <f>IF(D536="Urban",1,0)</f>
        <v>0</v>
      </c>
      <c r="G536" s="3">
        <v>29381</v>
      </c>
      <c r="H536" s="3">
        <v>3</v>
      </c>
      <c r="I536" s="3">
        <v>54164</v>
      </c>
      <c r="J536" s="3">
        <f>IF(E536="Cold",1,0)</f>
        <v>0</v>
      </c>
      <c r="K536" s="3">
        <f>IF(E536="Hot",1,0)</f>
        <v>1</v>
      </c>
      <c r="L536" s="3">
        <v>1670</v>
      </c>
      <c r="M536" s="3">
        <v>90</v>
      </c>
      <c r="N536" s="4">
        <v>44247</v>
      </c>
      <c r="O536" s="10">
        <v>341750.01360000001</v>
      </c>
      <c r="P536" s="1">
        <f>$C$3+F536*$C$4+H536*$C$6+J536*$C$8+K536*$C$9+L536*$C$10+M536*$C$11</f>
        <v>325039.231345393</v>
      </c>
      <c r="Q536" s="1">
        <f>(O536-P536)/O536</f>
        <v>4.8897678389461838E-2</v>
      </c>
      <c r="R536" s="1"/>
      <c r="S536" s="1"/>
    </row>
    <row r="537" spans="1:19" x14ac:dyDescent="0.3">
      <c r="A537" s="2">
        <v>851</v>
      </c>
      <c r="B537" s="3" t="s">
        <v>12</v>
      </c>
      <c r="C537" s="3" t="s">
        <v>95</v>
      </c>
      <c r="D537" s="3" t="s">
        <v>18</v>
      </c>
      <c r="E537" s="3" t="s">
        <v>23</v>
      </c>
      <c r="F537" s="3">
        <f>IF(D537="Urban",1,0)</f>
        <v>1</v>
      </c>
      <c r="G537" s="3">
        <v>4695</v>
      </c>
      <c r="H537" s="3">
        <v>8</v>
      </c>
      <c r="I537" s="3">
        <v>85335</v>
      </c>
      <c r="J537" s="3">
        <f>IF(E537="Cold",1,0)</f>
        <v>0</v>
      </c>
      <c r="K537" s="3">
        <f>IF(E537="Hot",1,0)</f>
        <v>0</v>
      </c>
      <c r="L537" s="3">
        <v>2190</v>
      </c>
      <c r="M537" s="3">
        <v>54</v>
      </c>
      <c r="N537" s="4">
        <v>45269</v>
      </c>
      <c r="O537" s="10">
        <v>381605.70159999997</v>
      </c>
      <c r="P537" s="1">
        <f>$C$3+F537*$C$4+H537*$C$6+J537*$C$8+K537*$C$9+L537*$C$10+M537*$C$11</f>
        <v>363004.04673866293</v>
      </c>
      <c r="Q537" s="1">
        <f>(O537-P537)/O537</f>
        <v>4.8745746678689146E-2</v>
      </c>
      <c r="R537" s="1"/>
      <c r="S537" s="1"/>
    </row>
    <row r="538" spans="1:19" x14ac:dyDescent="0.3">
      <c r="A538" s="2">
        <v>656</v>
      </c>
      <c r="B538" s="3" t="s">
        <v>33</v>
      </c>
      <c r="C538" s="3" t="s">
        <v>92</v>
      </c>
      <c r="D538" s="3" t="s">
        <v>14</v>
      </c>
      <c r="E538" s="3" t="s">
        <v>23</v>
      </c>
      <c r="F538" s="3">
        <f>IF(D538="Urban",1,0)</f>
        <v>0</v>
      </c>
      <c r="G538" s="3">
        <v>18384</v>
      </c>
      <c r="H538" s="3">
        <v>2</v>
      </c>
      <c r="I538" s="3">
        <v>96331</v>
      </c>
      <c r="J538" s="3">
        <f>IF(E538="Cold",1,0)</f>
        <v>0</v>
      </c>
      <c r="K538" s="3">
        <f>IF(E538="Hot",1,0)</f>
        <v>0</v>
      </c>
      <c r="L538" s="3">
        <v>2336</v>
      </c>
      <c r="M538" s="3">
        <v>98</v>
      </c>
      <c r="N538" s="4">
        <v>44091</v>
      </c>
      <c r="O538" s="10">
        <v>357872.44069999998</v>
      </c>
      <c r="P538" s="1">
        <f>$C$3+F538*$C$4+H538*$C$6+J538*$C$8+K538*$C$9+L538*$C$10+M538*$C$11</f>
        <v>340462.25366198929</v>
      </c>
      <c r="Q538" s="1">
        <f>(O538-P538)/O538</f>
        <v>4.8649141587869371E-2</v>
      </c>
      <c r="R538" s="1"/>
      <c r="S538" s="1"/>
    </row>
    <row r="539" spans="1:19" x14ac:dyDescent="0.3">
      <c r="A539" s="2">
        <v>339</v>
      </c>
      <c r="B539" s="3" t="s">
        <v>53</v>
      </c>
      <c r="C539" s="3" t="s">
        <v>131</v>
      </c>
      <c r="D539" s="3" t="s">
        <v>18</v>
      </c>
      <c r="E539" s="3" t="s">
        <v>21</v>
      </c>
      <c r="F539" s="3">
        <f>IF(D539="Urban",1,0)</f>
        <v>1</v>
      </c>
      <c r="G539" s="3">
        <v>14571</v>
      </c>
      <c r="H539" s="3">
        <v>1</v>
      </c>
      <c r="I539" s="3">
        <v>83608</v>
      </c>
      <c r="J539" s="3">
        <f>IF(E539="Cold",1,0)</f>
        <v>0</v>
      </c>
      <c r="K539" s="3">
        <f>IF(E539="Hot",1,0)</f>
        <v>1</v>
      </c>
      <c r="L539" s="3">
        <v>1303</v>
      </c>
      <c r="M539" s="3">
        <v>31</v>
      </c>
      <c r="N539" s="4">
        <v>44901</v>
      </c>
      <c r="O539" s="10">
        <v>363848.52519999997</v>
      </c>
      <c r="P539" s="1">
        <f>$C$3+F539*$C$4+H539*$C$6+J539*$C$8+K539*$C$9+L539*$C$10+M539*$C$11</f>
        <v>346147.84696473274</v>
      </c>
      <c r="Q539" s="1">
        <f>(O539-P539)/O539</f>
        <v>4.8648481467768866E-2</v>
      </c>
      <c r="R539" s="1"/>
      <c r="S539" s="1"/>
    </row>
    <row r="540" spans="1:19" x14ac:dyDescent="0.3">
      <c r="A540" s="2">
        <v>141</v>
      </c>
      <c r="B540" s="3" t="s">
        <v>24</v>
      </c>
      <c r="C540" s="3" t="s">
        <v>134</v>
      </c>
      <c r="D540" s="3" t="s">
        <v>18</v>
      </c>
      <c r="E540" s="3" t="s">
        <v>21</v>
      </c>
      <c r="F540" s="3">
        <f>IF(D540="Urban",1,0)</f>
        <v>1</v>
      </c>
      <c r="G540" s="3">
        <v>23918</v>
      </c>
      <c r="H540" s="3">
        <v>0</v>
      </c>
      <c r="I540" s="3">
        <v>60696</v>
      </c>
      <c r="J540" s="3">
        <f>IF(E540="Cold",1,0)</f>
        <v>0</v>
      </c>
      <c r="K540" s="3">
        <f>IF(E540="Hot",1,0)</f>
        <v>1</v>
      </c>
      <c r="L540" s="3">
        <v>2213</v>
      </c>
      <c r="M540" s="3">
        <v>98</v>
      </c>
      <c r="N540" s="4">
        <v>44294</v>
      </c>
      <c r="O540" s="10">
        <v>405570.26199999999</v>
      </c>
      <c r="P540" s="1">
        <f>$C$3+F540*$C$4+H540*$C$6+J540*$C$8+K540*$C$9+L540*$C$10+M540*$C$11</f>
        <v>385910.27293462591</v>
      </c>
      <c r="Q540" s="1">
        <f>(O540-P540)/O540</f>
        <v>4.8474927546275755E-2</v>
      </c>
      <c r="R540" s="1"/>
      <c r="S540" s="1"/>
    </row>
    <row r="541" spans="1:19" x14ac:dyDescent="0.3">
      <c r="A541" s="2">
        <v>865</v>
      </c>
      <c r="B541" s="3" t="s">
        <v>57</v>
      </c>
      <c r="C541" s="3" t="s">
        <v>206</v>
      </c>
      <c r="D541" s="3" t="s">
        <v>18</v>
      </c>
      <c r="E541" s="3" t="s">
        <v>21</v>
      </c>
      <c r="F541" s="3">
        <f>IF(D541="Urban",1,0)</f>
        <v>1</v>
      </c>
      <c r="G541" s="3">
        <v>12529</v>
      </c>
      <c r="H541" s="3">
        <v>3</v>
      </c>
      <c r="I541" s="3">
        <v>99290</v>
      </c>
      <c r="J541" s="3">
        <f>IF(E541="Cold",1,0)</f>
        <v>0</v>
      </c>
      <c r="K541" s="3">
        <f>IF(E541="Hot",1,0)</f>
        <v>1</v>
      </c>
      <c r="L541" s="3">
        <v>1587</v>
      </c>
      <c r="M541" s="3">
        <v>50</v>
      </c>
      <c r="N541" s="4">
        <v>44446</v>
      </c>
      <c r="O541" s="10">
        <v>373780.53840000002</v>
      </c>
      <c r="P541" s="1">
        <f>$C$3+F541*$C$4+H541*$C$6+J541*$C$8+K541*$C$9+L541*$C$10+M541*$C$11</f>
        <v>355771.82467219059</v>
      </c>
      <c r="Q541" s="1">
        <f>(O541-P541)/O541</f>
        <v>4.8179912750132177E-2</v>
      </c>
      <c r="R541" s="1"/>
      <c r="S541" s="1"/>
    </row>
    <row r="542" spans="1:19" x14ac:dyDescent="0.3">
      <c r="A542" s="2">
        <v>13</v>
      </c>
      <c r="B542" s="3" t="s">
        <v>40</v>
      </c>
      <c r="C542" s="3" t="s">
        <v>41</v>
      </c>
      <c r="D542" s="3" t="s">
        <v>18</v>
      </c>
      <c r="E542" s="3" t="s">
        <v>21</v>
      </c>
      <c r="F542" s="3">
        <f>IF(D542="Urban",1,0)</f>
        <v>1</v>
      </c>
      <c r="G542" s="3">
        <v>23007</v>
      </c>
      <c r="H542" s="3">
        <v>4</v>
      </c>
      <c r="I542" s="3">
        <v>82092</v>
      </c>
      <c r="J542" s="3">
        <f>IF(E542="Cold",1,0)</f>
        <v>0</v>
      </c>
      <c r="K542" s="3">
        <f>IF(E542="Hot",1,0)</f>
        <v>1</v>
      </c>
      <c r="L542" s="3">
        <v>2864</v>
      </c>
      <c r="M542" s="3">
        <v>77</v>
      </c>
      <c r="N542" s="4">
        <v>44462</v>
      </c>
      <c r="O542" s="10">
        <v>408282.20250000001</v>
      </c>
      <c r="P542" s="1">
        <f>$C$3+F542*$C$4+H542*$C$6+J542*$C$8+K542*$C$9+L542*$C$10+M542*$C$11</f>
        <v>388629.09162438789</v>
      </c>
      <c r="Q542" s="1">
        <f>(O542-P542)/O542</f>
        <v>4.8136094973701735E-2</v>
      </c>
      <c r="R542" s="1"/>
      <c r="S542" s="1"/>
    </row>
    <row r="543" spans="1:19" x14ac:dyDescent="0.3">
      <c r="A543" s="2">
        <v>601</v>
      </c>
      <c r="B543" s="3" t="s">
        <v>12</v>
      </c>
      <c r="C543" s="3" t="s">
        <v>47</v>
      </c>
      <c r="D543" s="3" t="s">
        <v>14</v>
      </c>
      <c r="E543" s="3" t="s">
        <v>21</v>
      </c>
      <c r="F543" s="3">
        <f>IF(D543="Urban",1,0)</f>
        <v>0</v>
      </c>
      <c r="G543" s="3">
        <v>27777</v>
      </c>
      <c r="H543" s="3">
        <v>6</v>
      </c>
      <c r="I543" s="3">
        <v>77035</v>
      </c>
      <c r="J543" s="3">
        <f>IF(E543="Cold",1,0)</f>
        <v>0</v>
      </c>
      <c r="K543" s="3">
        <f>IF(E543="Hot",1,0)</f>
        <v>1</v>
      </c>
      <c r="L543" s="3">
        <v>1138</v>
      </c>
      <c r="M543" s="3">
        <v>53</v>
      </c>
      <c r="N543" s="4">
        <v>44266</v>
      </c>
      <c r="O543" s="10">
        <v>315296.03409999999</v>
      </c>
      <c r="P543" s="1">
        <f>$C$3+F543*$C$4+H543*$C$6+J543*$C$8+K543*$C$9+L543*$C$10+M543*$C$11</f>
        <v>300167.27620735829</v>
      </c>
      <c r="Q543" s="1">
        <f>(O543-P543)/O543</f>
        <v>4.7982709125492629E-2</v>
      </c>
      <c r="R543" s="1"/>
      <c r="S543" s="1"/>
    </row>
    <row r="544" spans="1:19" x14ac:dyDescent="0.3">
      <c r="A544" s="2">
        <v>767</v>
      </c>
      <c r="B544" s="3" t="s">
        <v>28</v>
      </c>
      <c r="C544" s="3" t="s">
        <v>49</v>
      </c>
      <c r="D544" s="3" t="s">
        <v>18</v>
      </c>
      <c r="E544" s="3" t="s">
        <v>23</v>
      </c>
      <c r="F544" s="3">
        <f>IF(D544="Urban",1,0)</f>
        <v>1</v>
      </c>
      <c r="G544" s="3">
        <v>15906</v>
      </c>
      <c r="H544" s="3">
        <v>9</v>
      </c>
      <c r="I544" s="3">
        <v>81021</v>
      </c>
      <c r="J544" s="3">
        <f>IF(E544="Cold",1,0)</f>
        <v>0</v>
      </c>
      <c r="K544" s="3">
        <f>IF(E544="Hot",1,0)</f>
        <v>0</v>
      </c>
      <c r="L544" s="3">
        <v>1912</v>
      </c>
      <c r="M544" s="3">
        <v>71</v>
      </c>
      <c r="N544" s="4">
        <v>44593</v>
      </c>
      <c r="O544" s="10">
        <v>379967.88949999999</v>
      </c>
      <c r="P544" s="1">
        <f>$C$3+F544*$C$4+H544*$C$6+J544*$C$8+K544*$C$9+L544*$C$10+M544*$C$11</f>
        <v>361745.79955101357</v>
      </c>
      <c r="Q544" s="1">
        <f>(O544-P544)/O544</f>
        <v>4.7956920709707564E-2</v>
      </c>
      <c r="R544" s="1"/>
      <c r="S544" s="1"/>
    </row>
    <row r="545" spans="1:19" x14ac:dyDescent="0.3">
      <c r="A545" s="2">
        <v>538</v>
      </c>
      <c r="B545" s="3" t="s">
        <v>57</v>
      </c>
      <c r="C545" s="3" t="s">
        <v>206</v>
      </c>
      <c r="D545" s="3" t="s">
        <v>14</v>
      </c>
      <c r="E545" s="3" t="s">
        <v>15</v>
      </c>
      <c r="F545" s="3">
        <f>IF(D545="Urban",1,0)</f>
        <v>0</v>
      </c>
      <c r="G545" s="3">
        <v>9841</v>
      </c>
      <c r="H545" s="3">
        <v>9</v>
      </c>
      <c r="I545" s="3">
        <v>91693</v>
      </c>
      <c r="J545" s="3">
        <f>IF(E545="Cold",1,0)</f>
        <v>1</v>
      </c>
      <c r="K545" s="3">
        <f>IF(E545="Hot",1,0)</f>
        <v>0</v>
      </c>
      <c r="L545" s="3">
        <v>2920</v>
      </c>
      <c r="M545" s="3">
        <v>60</v>
      </c>
      <c r="N545" s="4">
        <v>44588</v>
      </c>
      <c r="O545" s="10">
        <v>330672.10769999999</v>
      </c>
      <c r="P545" s="1">
        <f>$C$3+F545*$C$4+H545*$C$6+J545*$C$8+K545*$C$9+L545*$C$10+M545*$C$11</f>
        <v>314816.23618178081</v>
      </c>
      <c r="Q545" s="1">
        <f>(O545-P545)/O545</f>
        <v>4.7950435337607344E-2</v>
      </c>
      <c r="R545" s="1"/>
      <c r="S545" s="1"/>
    </row>
    <row r="546" spans="1:19" x14ac:dyDescent="0.3">
      <c r="A546" s="2">
        <v>448</v>
      </c>
      <c r="B546" s="3" t="s">
        <v>37</v>
      </c>
      <c r="C546" s="3" t="s">
        <v>61</v>
      </c>
      <c r="D546" s="3" t="s">
        <v>14</v>
      </c>
      <c r="E546" s="3" t="s">
        <v>23</v>
      </c>
      <c r="F546" s="3">
        <f>IF(D546="Urban",1,0)</f>
        <v>0</v>
      </c>
      <c r="G546" s="3">
        <v>23849</v>
      </c>
      <c r="H546" s="3">
        <v>1</v>
      </c>
      <c r="I546" s="3">
        <v>82701</v>
      </c>
      <c r="J546" s="3">
        <f>IF(E546="Cold",1,0)</f>
        <v>0</v>
      </c>
      <c r="K546" s="3">
        <f>IF(E546="Hot",1,0)</f>
        <v>0</v>
      </c>
      <c r="L546" s="3">
        <v>2853</v>
      </c>
      <c r="M546" s="3">
        <v>56</v>
      </c>
      <c r="N546" s="4">
        <v>44374</v>
      </c>
      <c r="O546" s="10">
        <v>355835.38799999998</v>
      </c>
      <c r="P546" s="1">
        <f>$C$3+F546*$C$4+H546*$C$6+J546*$C$8+K546*$C$9+L546*$C$10+M546*$C$11</f>
        <v>338784.48514434369</v>
      </c>
      <c r="Q546" s="1">
        <f>(O546-P546)/O546</f>
        <v>4.7917951476080523E-2</v>
      </c>
      <c r="R546" s="1"/>
      <c r="S546" s="1"/>
    </row>
    <row r="547" spans="1:19" x14ac:dyDescent="0.3">
      <c r="A547" s="2">
        <v>885</v>
      </c>
      <c r="B547" s="3" t="s">
        <v>12</v>
      </c>
      <c r="C547" s="3" t="s">
        <v>76</v>
      </c>
      <c r="D547" s="3" t="s">
        <v>14</v>
      </c>
      <c r="E547" s="3" t="s">
        <v>23</v>
      </c>
      <c r="F547" s="3">
        <f>IF(D547="Urban",1,0)</f>
        <v>0</v>
      </c>
      <c r="G547" s="3">
        <v>25694</v>
      </c>
      <c r="H547" s="3">
        <v>5</v>
      </c>
      <c r="I547" s="3">
        <v>93675</v>
      </c>
      <c r="J547" s="3">
        <f>IF(E547="Cold",1,0)</f>
        <v>0</v>
      </c>
      <c r="K547" s="3">
        <f>IF(E547="Hot",1,0)</f>
        <v>0</v>
      </c>
      <c r="L547" s="3">
        <v>2376</v>
      </c>
      <c r="M547" s="3">
        <v>95</v>
      </c>
      <c r="N547" s="4">
        <v>44509</v>
      </c>
      <c r="O547" s="10">
        <v>354419.1875</v>
      </c>
      <c r="P547" s="1">
        <f>$C$3+F547*$C$4+H547*$C$6+J547*$C$8+K547*$C$9+L547*$C$10+M547*$C$11</f>
        <v>337485.55262803438</v>
      </c>
      <c r="Q547" s="1">
        <f>(O547-P547)/O547</f>
        <v>4.7778550002927321E-2</v>
      </c>
      <c r="R547" s="1"/>
      <c r="S547" s="1"/>
    </row>
    <row r="548" spans="1:19" x14ac:dyDescent="0.3">
      <c r="A548" s="2">
        <v>712</v>
      </c>
      <c r="B548" s="3" t="s">
        <v>74</v>
      </c>
      <c r="C548" s="3" t="s">
        <v>221</v>
      </c>
      <c r="D548" s="3" t="s">
        <v>18</v>
      </c>
      <c r="E548" s="3" t="s">
        <v>21</v>
      </c>
      <c r="F548" s="3">
        <f>IF(D548="Urban",1,0)</f>
        <v>1</v>
      </c>
      <c r="G548" s="3">
        <v>20750</v>
      </c>
      <c r="H548" s="3">
        <v>4</v>
      </c>
      <c r="I548" s="3">
        <v>94279</v>
      </c>
      <c r="J548" s="3">
        <f>IF(E548="Cold",1,0)</f>
        <v>0</v>
      </c>
      <c r="K548" s="3">
        <f>IF(E548="Hot",1,0)</f>
        <v>1</v>
      </c>
      <c r="L548" s="3">
        <v>1960</v>
      </c>
      <c r="M548" s="3">
        <v>63</v>
      </c>
      <c r="N548" s="4">
        <v>44956</v>
      </c>
      <c r="O548" s="10">
        <v>384618.8873</v>
      </c>
      <c r="P548" s="1">
        <f>$C$3+F548*$C$4+H548*$C$6+J548*$C$8+K548*$C$9+L548*$C$10+M548*$C$11</f>
        <v>366272.69734834606</v>
      </c>
      <c r="Q548" s="1">
        <f>(O548-P548)/O548</f>
        <v>4.7699659474455404E-2</v>
      </c>
      <c r="R548" s="1"/>
      <c r="S548" s="1"/>
    </row>
    <row r="549" spans="1:19" x14ac:dyDescent="0.3">
      <c r="A549" s="2">
        <v>846</v>
      </c>
      <c r="B549" s="3" t="s">
        <v>108</v>
      </c>
      <c r="C549" s="3" t="s">
        <v>109</v>
      </c>
      <c r="D549" s="3" t="s">
        <v>18</v>
      </c>
      <c r="E549" s="3" t="s">
        <v>21</v>
      </c>
      <c r="F549" s="3">
        <f>IF(D549="Urban",1,0)</f>
        <v>1</v>
      </c>
      <c r="G549" s="3">
        <v>7270</v>
      </c>
      <c r="H549" s="3">
        <v>5</v>
      </c>
      <c r="I549" s="3">
        <v>78652</v>
      </c>
      <c r="J549" s="3">
        <f>IF(E549="Cold",1,0)</f>
        <v>0</v>
      </c>
      <c r="K549" s="3">
        <f>IF(E549="Hot",1,0)</f>
        <v>1</v>
      </c>
      <c r="L549" s="3">
        <v>2922</v>
      </c>
      <c r="M549" s="3">
        <v>20</v>
      </c>
      <c r="N549" s="4">
        <v>44669</v>
      </c>
      <c r="O549" s="10">
        <v>389786.47279999999</v>
      </c>
      <c r="P549" s="1">
        <f>$C$3+F549*$C$4+H549*$C$6+J549*$C$8+K549*$C$9+L549*$C$10+M549*$C$11</f>
        <v>371267.3910432891</v>
      </c>
      <c r="Q549" s="1">
        <f>(O549-P549)/O549</f>
        <v>4.7510837468731394E-2</v>
      </c>
      <c r="R549" s="1"/>
      <c r="S549" s="1"/>
    </row>
    <row r="550" spans="1:19" x14ac:dyDescent="0.3">
      <c r="A550" s="2">
        <v>703</v>
      </c>
      <c r="B550" s="3" t="s">
        <v>31</v>
      </c>
      <c r="C550" s="3" t="s">
        <v>63</v>
      </c>
      <c r="D550" s="3" t="s">
        <v>18</v>
      </c>
      <c r="E550" s="3" t="s">
        <v>21</v>
      </c>
      <c r="F550" s="3">
        <f>IF(D550="Urban",1,0)</f>
        <v>1</v>
      </c>
      <c r="G550" s="3">
        <v>731</v>
      </c>
      <c r="H550" s="3">
        <v>7</v>
      </c>
      <c r="I550" s="3">
        <v>65861</v>
      </c>
      <c r="J550" s="3">
        <f>IF(E550="Cold",1,0)</f>
        <v>0</v>
      </c>
      <c r="K550" s="3">
        <f>IF(E550="Hot",1,0)</f>
        <v>1</v>
      </c>
      <c r="L550" s="3">
        <v>2969</v>
      </c>
      <c r="M550" s="3">
        <v>92</v>
      </c>
      <c r="N550" s="4">
        <v>43843</v>
      </c>
      <c r="O550" s="10">
        <v>411981.05190000002</v>
      </c>
      <c r="P550" s="1">
        <f>$C$3+F550*$C$4+H550*$C$6+J550*$C$8+K550*$C$9+L550*$C$10+M550*$C$11</f>
        <v>392497.73947422393</v>
      </c>
      <c r="Q550" s="1">
        <f>(O550-P550)/O550</f>
        <v>4.7291768240121074E-2</v>
      </c>
      <c r="R550" s="1"/>
      <c r="S550" s="1"/>
    </row>
    <row r="551" spans="1:19" x14ac:dyDescent="0.3">
      <c r="A551" s="2">
        <v>873</v>
      </c>
      <c r="B551" s="3" t="s">
        <v>53</v>
      </c>
      <c r="C551" s="3" t="s">
        <v>225</v>
      </c>
      <c r="D551" s="3" t="s">
        <v>14</v>
      </c>
      <c r="E551" s="3" t="s">
        <v>21</v>
      </c>
      <c r="F551" s="3">
        <f>IF(D551="Urban",1,0)</f>
        <v>0</v>
      </c>
      <c r="G551" s="3">
        <v>26924</v>
      </c>
      <c r="H551" s="3">
        <v>7</v>
      </c>
      <c r="I551" s="3">
        <v>63642</v>
      </c>
      <c r="J551" s="3">
        <f>IF(E551="Cold",1,0)</f>
        <v>0</v>
      </c>
      <c r="K551" s="3">
        <f>IF(E551="Hot",1,0)</f>
        <v>1</v>
      </c>
      <c r="L551" s="3">
        <v>2519</v>
      </c>
      <c r="M551" s="3">
        <v>77</v>
      </c>
      <c r="N551" s="4">
        <v>44324</v>
      </c>
      <c r="O551" s="10">
        <v>350742.1764</v>
      </c>
      <c r="P551" s="1">
        <f>$C$3+F551*$C$4+H551*$C$6+J551*$C$8+K551*$C$9+L551*$C$10+M551*$C$11</f>
        <v>334175.38633238059</v>
      </c>
      <c r="Q551" s="1">
        <f>(O551-P551)/O551</f>
        <v>4.7233527024494487E-2</v>
      </c>
      <c r="R551" s="1"/>
      <c r="S551" s="1"/>
    </row>
    <row r="552" spans="1:19" x14ac:dyDescent="0.3">
      <c r="A552" s="2">
        <v>762</v>
      </c>
      <c r="B552" s="3" t="s">
        <v>35</v>
      </c>
      <c r="C552" s="3" t="s">
        <v>139</v>
      </c>
      <c r="D552" s="3" t="s">
        <v>18</v>
      </c>
      <c r="E552" s="3" t="s">
        <v>15</v>
      </c>
      <c r="F552" s="3">
        <f>IF(D552="Urban",1,0)</f>
        <v>1</v>
      </c>
      <c r="G552" s="3">
        <v>14040</v>
      </c>
      <c r="H552" s="3">
        <v>7</v>
      </c>
      <c r="I552" s="3">
        <v>70811</v>
      </c>
      <c r="J552" s="3">
        <f>IF(E552="Cold",1,0)</f>
        <v>1</v>
      </c>
      <c r="K552" s="3">
        <f>IF(E552="Hot",1,0)</f>
        <v>0</v>
      </c>
      <c r="L552" s="3">
        <v>1366</v>
      </c>
      <c r="M552" s="3">
        <v>82</v>
      </c>
      <c r="N552" s="4">
        <v>44460</v>
      </c>
      <c r="O552" s="10">
        <v>353900.74680000002</v>
      </c>
      <c r="P552" s="1">
        <f>$C$3+F552*$C$4+H552*$C$6+J552*$C$8+K552*$C$9+L552*$C$10+M552*$C$11</f>
        <v>337202.46529235068</v>
      </c>
      <c r="Q552" s="1">
        <f>(O552-P552)/O552</f>
        <v>4.7183515883016898E-2</v>
      </c>
      <c r="R552" s="1"/>
      <c r="S552" s="1"/>
    </row>
    <row r="553" spans="1:19" x14ac:dyDescent="0.3">
      <c r="A553" s="2">
        <v>59</v>
      </c>
      <c r="B553" s="3" t="s">
        <v>55</v>
      </c>
      <c r="C553" s="3" t="s">
        <v>67</v>
      </c>
      <c r="D553" s="3" t="s">
        <v>14</v>
      </c>
      <c r="E553" s="3" t="s">
        <v>21</v>
      </c>
      <c r="F553" s="3">
        <f>IF(D553="Urban",1,0)</f>
        <v>0</v>
      </c>
      <c r="G553" s="3">
        <v>13514</v>
      </c>
      <c r="H553" s="3">
        <v>6</v>
      </c>
      <c r="I553" s="3">
        <v>64826</v>
      </c>
      <c r="J553" s="3">
        <f>IF(E553="Cold",1,0)</f>
        <v>0</v>
      </c>
      <c r="K553" s="3">
        <f>IF(E553="Hot",1,0)</f>
        <v>1</v>
      </c>
      <c r="L553" s="3">
        <v>2131</v>
      </c>
      <c r="M553" s="3">
        <v>90</v>
      </c>
      <c r="N553" s="4">
        <v>44756</v>
      </c>
      <c r="O553" s="10">
        <v>347792.55239999999</v>
      </c>
      <c r="P553" s="1">
        <f>$C$3+F553*$C$4+H553*$C$6+J553*$C$8+K553*$C$9+L553*$C$10+M553*$C$11</f>
        <v>331389.13874730543</v>
      </c>
      <c r="Q553" s="1">
        <f>(O553-P553)/O553</f>
        <v>4.7164361454838766E-2</v>
      </c>
      <c r="R553" s="1"/>
      <c r="S553" s="1"/>
    </row>
    <row r="554" spans="1:19" x14ac:dyDescent="0.3">
      <c r="A554" s="2">
        <v>798</v>
      </c>
      <c r="B554" s="3" t="s">
        <v>33</v>
      </c>
      <c r="C554" s="3" t="s">
        <v>91</v>
      </c>
      <c r="D554" s="3" t="s">
        <v>14</v>
      </c>
      <c r="E554" s="3" t="s">
        <v>21</v>
      </c>
      <c r="F554" s="3">
        <f>IF(D554="Urban",1,0)</f>
        <v>0</v>
      </c>
      <c r="G554" s="3">
        <v>7097</v>
      </c>
      <c r="H554" s="3">
        <v>3</v>
      </c>
      <c r="I554" s="3">
        <v>86965</v>
      </c>
      <c r="J554" s="3">
        <f>IF(E554="Cold",1,0)</f>
        <v>0</v>
      </c>
      <c r="K554" s="3">
        <f>IF(E554="Hot",1,0)</f>
        <v>1</v>
      </c>
      <c r="L554" s="3">
        <v>2796</v>
      </c>
      <c r="M554" s="3">
        <v>51</v>
      </c>
      <c r="N554" s="4">
        <v>44695</v>
      </c>
      <c r="O554" s="10">
        <v>352021.81479999999</v>
      </c>
      <c r="P554" s="1">
        <f>$C$3+F554*$C$4+H554*$C$6+J554*$C$8+K554*$C$9+L554*$C$10+M554*$C$11</f>
        <v>335489.89913770952</v>
      </c>
      <c r="Q554" s="1">
        <f>(O554-P554)/O554</f>
        <v>4.6962759031519176E-2</v>
      </c>
      <c r="R554" s="1"/>
      <c r="S554" s="1"/>
    </row>
    <row r="555" spans="1:19" x14ac:dyDescent="0.3">
      <c r="A555" s="2">
        <v>906</v>
      </c>
      <c r="B555" s="3" t="s">
        <v>19</v>
      </c>
      <c r="C555" s="3" t="s">
        <v>218</v>
      </c>
      <c r="D555" s="3" t="s">
        <v>14</v>
      </c>
      <c r="E555" s="3" t="s">
        <v>21</v>
      </c>
      <c r="F555" s="3">
        <f>IF(D555="Urban",1,0)</f>
        <v>0</v>
      </c>
      <c r="G555" s="3">
        <v>18034</v>
      </c>
      <c r="H555" s="3">
        <v>3</v>
      </c>
      <c r="I555" s="3">
        <v>59066</v>
      </c>
      <c r="J555" s="3">
        <f>IF(E555="Cold",1,0)</f>
        <v>0</v>
      </c>
      <c r="K555" s="3">
        <f>IF(E555="Hot",1,0)</f>
        <v>1</v>
      </c>
      <c r="L555" s="3">
        <v>1688</v>
      </c>
      <c r="M555" s="3">
        <v>83</v>
      </c>
      <c r="N555" s="4">
        <v>44904</v>
      </c>
      <c r="O555" s="10">
        <v>339163.23</v>
      </c>
      <c r="P555" s="1">
        <f>$C$3+F555*$C$4+H555*$C$6+J555*$C$8+K555*$C$9+L555*$C$10+M555*$C$11</f>
        <v>323240.84802848718</v>
      </c>
      <c r="Q555" s="1">
        <f>(O555-P555)/O555</f>
        <v>4.6946073639860093E-2</v>
      </c>
      <c r="R555" s="1"/>
      <c r="S555" s="1"/>
    </row>
    <row r="556" spans="1:19" x14ac:dyDescent="0.3">
      <c r="A556" s="2">
        <v>149</v>
      </c>
      <c r="B556" s="3" t="s">
        <v>53</v>
      </c>
      <c r="C556" s="3" t="s">
        <v>141</v>
      </c>
      <c r="D556" s="3" t="s">
        <v>14</v>
      </c>
      <c r="E556" s="3" t="s">
        <v>23</v>
      </c>
      <c r="F556" s="3">
        <f>IF(D556="Urban",1,0)</f>
        <v>0</v>
      </c>
      <c r="G556" s="3">
        <v>582</v>
      </c>
      <c r="H556" s="3">
        <v>5</v>
      </c>
      <c r="I556" s="3">
        <v>79125</v>
      </c>
      <c r="J556" s="3">
        <f>IF(E556="Cold",1,0)</f>
        <v>0</v>
      </c>
      <c r="K556" s="3">
        <f>IF(E556="Hot",1,0)</f>
        <v>0</v>
      </c>
      <c r="L556" s="3">
        <v>1563</v>
      </c>
      <c r="M556" s="3">
        <v>92</v>
      </c>
      <c r="N556" s="4">
        <v>44181</v>
      </c>
      <c r="O556" s="10">
        <v>336083.75170000002</v>
      </c>
      <c r="P556" s="1">
        <f>$C$3+F556*$C$4+H556*$C$6+J556*$C$8+K556*$C$9+L556*$C$10+M556*$C$11</f>
        <v>320335.78032434348</v>
      </c>
      <c r="Q556" s="1">
        <f>(O556-P556)/O556</f>
        <v>4.6857282733839899E-2</v>
      </c>
      <c r="R556" s="1"/>
      <c r="S556" s="1"/>
    </row>
    <row r="557" spans="1:19" x14ac:dyDescent="0.3">
      <c r="A557" s="2">
        <v>344</v>
      </c>
      <c r="B557" s="3" t="s">
        <v>24</v>
      </c>
      <c r="C557" s="3" t="s">
        <v>100</v>
      </c>
      <c r="D557" s="3" t="s">
        <v>14</v>
      </c>
      <c r="E557" s="3" t="s">
        <v>15</v>
      </c>
      <c r="F557" s="3">
        <f>IF(D557="Urban",1,0)</f>
        <v>0</v>
      </c>
      <c r="G557" s="3">
        <v>4970</v>
      </c>
      <c r="H557" s="3">
        <v>8</v>
      </c>
      <c r="I557" s="3">
        <v>66063</v>
      </c>
      <c r="J557" s="3">
        <f>IF(E557="Cold",1,0)</f>
        <v>1</v>
      </c>
      <c r="K557" s="3">
        <f>IF(E557="Hot",1,0)</f>
        <v>0</v>
      </c>
      <c r="L557" s="3">
        <v>2849</v>
      </c>
      <c r="M557" s="3">
        <v>80</v>
      </c>
      <c r="N557" s="4">
        <v>44628</v>
      </c>
      <c r="O557" s="10">
        <v>336251.57179999998</v>
      </c>
      <c r="P557" s="1">
        <f>$C$3+F557*$C$4+H557*$C$6+J557*$C$8+K557*$C$9+L557*$C$10+M557*$C$11</f>
        <v>320513.98389249144</v>
      </c>
      <c r="Q557" s="1">
        <f>(O557-P557)/O557</f>
        <v>4.6803016632050554E-2</v>
      </c>
      <c r="R557" s="1"/>
      <c r="S557" s="1"/>
    </row>
    <row r="558" spans="1:19" x14ac:dyDescent="0.3">
      <c r="A558" s="2">
        <v>766</v>
      </c>
      <c r="B558" s="3" t="s">
        <v>72</v>
      </c>
      <c r="C558" s="3" t="s">
        <v>73</v>
      </c>
      <c r="D558" s="3" t="s">
        <v>14</v>
      </c>
      <c r="E558" s="3" t="s">
        <v>23</v>
      </c>
      <c r="F558" s="3">
        <f>IF(D558="Urban",1,0)</f>
        <v>0</v>
      </c>
      <c r="G558" s="3">
        <v>26204</v>
      </c>
      <c r="H558" s="3">
        <v>3</v>
      </c>
      <c r="I558" s="3">
        <v>93087</v>
      </c>
      <c r="J558" s="3">
        <f>IF(E558="Cold",1,0)</f>
        <v>0</v>
      </c>
      <c r="K558" s="3">
        <f>IF(E558="Hot",1,0)</f>
        <v>0</v>
      </c>
      <c r="L558" s="3">
        <v>2651</v>
      </c>
      <c r="M558" s="3">
        <v>82</v>
      </c>
      <c r="N558" s="4">
        <v>44494</v>
      </c>
      <c r="O558" s="10">
        <v>357564.99969999999</v>
      </c>
      <c r="P558" s="1">
        <f>$C$3+F558*$C$4+H558*$C$6+J558*$C$8+K558*$C$9+L558*$C$10+M558*$C$11</f>
        <v>340866.94644895889</v>
      </c>
      <c r="Q558" s="1">
        <f>(O558-P558)/O558</f>
        <v>4.6699350509839907E-2</v>
      </c>
      <c r="R558" s="1"/>
      <c r="S558" s="1"/>
    </row>
    <row r="559" spans="1:19" x14ac:dyDescent="0.3">
      <c r="A559" s="2">
        <v>251</v>
      </c>
      <c r="B559" s="3" t="s">
        <v>72</v>
      </c>
      <c r="C559" s="3" t="s">
        <v>147</v>
      </c>
      <c r="D559" s="3" t="s">
        <v>18</v>
      </c>
      <c r="E559" s="3" t="s">
        <v>21</v>
      </c>
      <c r="F559" s="3">
        <f>IF(D559="Urban",1,0)</f>
        <v>1</v>
      </c>
      <c r="G559" s="3">
        <v>17946</v>
      </c>
      <c r="H559" s="3">
        <v>6</v>
      </c>
      <c r="I559" s="3">
        <v>92191</v>
      </c>
      <c r="J559" s="3">
        <f>IF(E559="Cold",1,0)</f>
        <v>0</v>
      </c>
      <c r="K559" s="3">
        <f>IF(E559="Hot",1,0)</f>
        <v>1</v>
      </c>
      <c r="L559" s="3">
        <v>2401</v>
      </c>
      <c r="M559" s="3">
        <v>85</v>
      </c>
      <c r="N559" s="4">
        <v>45290</v>
      </c>
      <c r="O559" s="10">
        <v>398541.61469999998</v>
      </c>
      <c r="P559" s="1">
        <f>$C$3+F559*$C$4+H559*$C$6+J559*$C$8+K559*$C$9+L559*$C$10+M559*$C$11</f>
        <v>379954.6221113003</v>
      </c>
      <c r="Q559" s="1">
        <f>(O559-P559)/O559</f>
        <v>4.6637520156310244E-2</v>
      </c>
      <c r="R559" s="1"/>
      <c r="S559" s="1"/>
    </row>
    <row r="560" spans="1:19" x14ac:dyDescent="0.3">
      <c r="A560" s="2">
        <v>360</v>
      </c>
      <c r="B560" s="3" t="s">
        <v>55</v>
      </c>
      <c r="C560" s="3" t="s">
        <v>193</v>
      </c>
      <c r="D560" s="3" t="s">
        <v>18</v>
      </c>
      <c r="E560" s="3" t="s">
        <v>15</v>
      </c>
      <c r="F560" s="3">
        <f>IF(D560="Urban",1,0)</f>
        <v>1</v>
      </c>
      <c r="G560" s="3">
        <v>18022</v>
      </c>
      <c r="H560" s="3">
        <v>8</v>
      </c>
      <c r="I560" s="3">
        <v>77706</v>
      </c>
      <c r="J560" s="3">
        <f>IF(E560="Cold",1,0)</f>
        <v>1</v>
      </c>
      <c r="K560" s="3">
        <f>IF(E560="Hot",1,0)</f>
        <v>0</v>
      </c>
      <c r="L560" s="3">
        <v>1777</v>
      </c>
      <c r="M560" s="3">
        <v>36</v>
      </c>
      <c r="N560" s="4">
        <v>44831</v>
      </c>
      <c r="O560" s="10">
        <v>346411.07549999998</v>
      </c>
      <c r="P560" s="1">
        <f>$C$3+F560*$C$4+H560*$C$6+J560*$C$8+K560*$C$9+L560*$C$10+M560*$C$11</f>
        <v>330276.13396260736</v>
      </c>
      <c r="Q560" s="1">
        <f>(O560-P560)/O560</f>
        <v>4.6577441307567601E-2</v>
      </c>
      <c r="R560" s="1"/>
      <c r="S560" s="1"/>
    </row>
    <row r="561" spans="1:19" x14ac:dyDescent="0.3">
      <c r="A561" s="2">
        <v>304</v>
      </c>
      <c r="B561" s="3" t="s">
        <v>26</v>
      </c>
      <c r="C561" s="3" t="s">
        <v>93</v>
      </c>
      <c r="D561" s="3" t="s">
        <v>14</v>
      </c>
      <c r="E561" s="3" t="s">
        <v>15</v>
      </c>
      <c r="F561" s="3">
        <f>IF(D561="Urban",1,0)</f>
        <v>0</v>
      </c>
      <c r="G561" s="3">
        <v>19468</v>
      </c>
      <c r="H561" s="3">
        <v>6</v>
      </c>
      <c r="I561" s="3">
        <v>88059</v>
      </c>
      <c r="J561" s="3">
        <f>IF(E561="Cold",1,0)</f>
        <v>1</v>
      </c>
      <c r="K561" s="3">
        <f>IF(E561="Hot",1,0)</f>
        <v>0</v>
      </c>
      <c r="L561" s="3">
        <v>2450</v>
      </c>
      <c r="M561" s="3">
        <v>76</v>
      </c>
      <c r="N561" s="4">
        <v>44591</v>
      </c>
      <c r="O561" s="10">
        <v>328519.43770000001</v>
      </c>
      <c r="P561" s="1">
        <f>$C$3+F561*$C$4+H561*$C$6+J561*$C$8+K561*$C$9+L561*$C$10+M561*$C$11</f>
        <v>313218.39584761404</v>
      </c>
      <c r="Q561" s="1">
        <f>(O561-P561)/O561</f>
        <v>4.657575807236921E-2</v>
      </c>
      <c r="R561" s="1"/>
      <c r="S561" s="1"/>
    </row>
    <row r="562" spans="1:19" x14ac:dyDescent="0.3">
      <c r="A562" s="2">
        <v>707</v>
      </c>
      <c r="B562" s="3" t="s">
        <v>55</v>
      </c>
      <c r="C562" s="3" t="s">
        <v>169</v>
      </c>
      <c r="D562" s="3" t="s">
        <v>14</v>
      </c>
      <c r="E562" s="3" t="s">
        <v>15</v>
      </c>
      <c r="F562" s="3">
        <f>IF(D562="Urban",1,0)</f>
        <v>0</v>
      </c>
      <c r="G562" s="3">
        <v>8202</v>
      </c>
      <c r="H562" s="3">
        <v>7</v>
      </c>
      <c r="I562" s="3">
        <v>78618</v>
      </c>
      <c r="J562" s="3">
        <f>IF(E562="Cold",1,0)</f>
        <v>1</v>
      </c>
      <c r="K562" s="3">
        <f>IF(E562="Hot",1,0)</f>
        <v>0</v>
      </c>
      <c r="L562" s="3">
        <v>1579</v>
      </c>
      <c r="M562" s="3">
        <v>38</v>
      </c>
      <c r="N562" s="4">
        <v>44183</v>
      </c>
      <c r="O562" s="10">
        <v>297004.90259999997</v>
      </c>
      <c r="P562" s="1">
        <f>$C$3+F562*$C$4+H562*$C$6+J562*$C$8+K562*$C$9+L562*$C$10+M562*$C$11</f>
        <v>283172.96580392553</v>
      </c>
      <c r="Q562" s="1">
        <f>(O562-P562)/O562</f>
        <v>4.6571409007019011E-2</v>
      </c>
      <c r="R562" s="1"/>
      <c r="S562" s="1"/>
    </row>
    <row r="563" spans="1:19" x14ac:dyDescent="0.3">
      <c r="A563" s="2">
        <v>697</v>
      </c>
      <c r="B563" s="3" t="s">
        <v>19</v>
      </c>
      <c r="C563" s="3" t="s">
        <v>129</v>
      </c>
      <c r="D563" s="3" t="s">
        <v>14</v>
      </c>
      <c r="E563" s="3" t="s">
        <v>15</v>
      </c>
      <c r="F563" s="3">
        <f>IF(D563="Urban",1,0)</f>
        <v>0</v>
      </c>
      <c r="G563" s="3">
        <v>18298</v>
      </c>
      <c r="H563" s="3">
        <v>7</v>
      </c>
      <c r="I563" s="3">
        <v>72259</v>
      </c>
      <c r="J563" s="3">
        <f>IF(E563="Cold",1,0)</f>
        <v>1</v>
      </c>
      <c r="K563" s="3">
        <f>IF(E563="Hot",1,0)</f>
        <v>0</v>
      </c>
      <c r="L563" s="3">
        <v>2748</v>
      </c>
      <c r="M563" s="3">
        <v>52</v>
      </c>
      <c r="N563" s="4">
        <v>44683</v>
      </c>
      <c r="O563" s="10">
        <v>325921.16360000003</v>
      </c>
      <c r="P563" s="1">
        <f>$C$3+F563*$C$4+H563*$C$6+J563*$C$8+K563*$C$9+L563*$C$10+M563*$C$11</f>
        <v>310817.97851102153</v>
      </c>
      <c r="Q563" s="1">
        <f>(O563-P563)/O563</f>
        <v>4.6339994991900849E-2</v>
      </c>
      <c r="R563" s="1"/>
      <c r="S563" s="1"/>
    </row>
    <row r="564" spans="1:19" x14ac:dyDescent="0.3">
      <c r="A564" s="2">
        <v>983</v>
      </c>
      <c r="B564" s="3" t="s">
        <v>16</v>
      </c>
      <c r="C564" s="3" t="s">
        <v>22</v>
      </c>
      <c r="D564" s="3" t="s">
        <v>18</v>
      </c>
      <c r="E564" s="3" t="s">
        <v>21</v>
      </c>
      <c r="F564" s="3">
        <f>IF(D564="Urban",1,0)</f>
        <v>1</v>
      </c>
      <c r="G564" s="3">
        <v>23490</v>
      </c>
      <c r="H564" s="3">
        <v>5</v>
      </c>
      <c r="I564" s="3">
        <v>51619</v>
      </c>
      <c r="J564" s="3">
        <f>IF(E564="Cold",1,0)</f>
        <v>0</v>
      </c>
      <c r="K564" s="3">
        <f>IF(E564="Hot",1,0)</f>
        <v>1</v>
      </c>
      <c r="L564" s="3">
        <v>1128</v>
      </c>
      <c r="M564" s="3">
        <v>82</v>
      </c>
      <c r="N564" s="4">
        <v>43921</v>
      </c>
      <c r="O564" s="10">
        <v>371777.57339999999</v>
      </c>
      <c r="P564" s="1">
        <f>$C$3+F564*$C$4+H564*$C$6+J564*$C$8+K564*$C$9+L564*$C$10+M564*$C$11</f>
        <v>354574.70414767781</v>
      </c>
      <c r="Q564" s="1">
        <f>(O564-P564)/O564</f>
        <v>4.6271939146295432E-2</v>
      </c>
      <c r="R564" s="1"/>
      <c r="S564" s="1"/>
    </row>
    <row r="565" spans="1:19" x14ac:dyDescent="0.3">
      <c r="A565" s="2">
        <v>490</v>
      </c>
      <c r="B565" s="3" t="s">
        <v>37</v>
      </c>
      <c r="C565" s="3" t="s">
        <v>114</v>
      </c>
      <c r="D565" s="3" t="s">
        <v>14</v>
      </c>
      <c r="E565" s="3" t="s">
        <v>23</v>
      </c>
      <c r="F565" s="3">
        <f>IF(D565="Urban",1,0)</f>
        <v>0</v>
      </c>
      <c r="G565" s="3">
        <v>10605</v>
      </c>
      <c r="H565" s="3">
        <v>5</v>
      </c>
      <c r="I565" s="3">
        <v>78380</v>
      </c>
      <c r="J565" s="3">
        <f>IF(E565="Cold",1,0)</f>
        <v>0</v>
      </c>
      <c r="K565" s="3">
        <f>IF(E565="Hot",1,0)</f>
        <v>0</v>
      </c>
      <c r="L565" s="3">
        <v>2521</v>
      </c>
      <c r="M565" s="3">
        <v>97</v>
      </c>
      <c r="N565" s="4">
        <v>44408</v>
      </c>
      <c r="O565" s="10">
        <v>357440.88540000003</v>
      </c>
      <c r="P565" s="1">
        <f>$C$3+F565*$C$4+H565*$C$6+J565*$C$8+K565*$C$9+L565*$C$10+M565*$C$11</f>
        <v>340995.7850425886</v>
      </c>
      <c r="Q565" s="1">
        <f>(O565-P565)/O565</f>
        <v>4.600788837854481E-2</v>
      </c>
      <c r="R565" s="1"/>
      <c r="S565" s="1"/>
    </row>
    <row r="566" spans="1:19" x14ac:dyDescent="0.3">
      <c r="A566" s="2">
        <v>603</v>
      </c>
      <c r="B566" s="3" t="s">
        <v>33</v>
      </c>
      <c r="C566" s="3" t="s">
        <v>91</v>
      </c>
      <c r="D566" s="3" t="s">
        <v>18</v>
      </c>
      <c r="E566" s="3" t="s">
        <v>23</v>
      </c>
      <c r="F566" s="3">
        <f>IF(D566="Urban",1,0)</f>
        <v>1</v>
      </c>
      <c r="G566" s="3">
        <v>10985</v>
      </c>
      <c r="H566" s="3">
        <v>2</v>
      </c>
      <c r="I566" s="3">
        <v>50699</v>
      </c>
      <c r="J566" s="3">
        <f>IF(E566="Cold",1,0)</f>
        <v>0</v>
      </c>
      <c r="K566" s="3">
        <f>IF(E566="Hot",1,0)</f>
        <v>0</v>
      </c>
      <c r="L566" s="3">
        <v>2454</v>
      </c>
      <c r="M566" s="3">
        <v>66</v>
      </c>
      <c r="N566" s="4">
        <v>44319</v>
      </c>
      <c r="O566" s="10">
        <v>395830.51770000003</v>
      </c>
      <c r="P566" s="1">
        <f>$C$3+F566*$C$4+H566*$C$6+J566*$C$8+K566*$C$9+L566*$C$10+M566*$C$11</f>
        <v>377672.05443806207</v>
      </c>
      <c r="Q566" s="1">
        <f>(O566-P566)/O566</f>
        <v>4.5874338763592391E-2</v>
      </c>
      <c r="R566" s="1"/>
      <c r="S566" s="1"/>
    </row>
    <row r="567" spans="1:19" x14ac:dyDescent="0.3">
      <c r="A567" s="2">
        <v>67</v>
      </c>
      <c r="B567" s="3" t="s">
        <v>33</v>
      </c>
      <c r="C567" s="3" t="s">
        <v>88</v>
      </c>
      <c r="D567" s="3" t="s">
        <v>18</v>
      </c>
      <c r="E567" s="3" t="s">
        <v>23</v>
      </c>
      <c r="F567" s="3">
        <f>IF(D567="Urban",1,0)</f>
        <v>1</v>
      </c>
      <c r="G567" s="3">
        <v>9892</v>
      </c>
      <c r="H567" s="3">
        <v>1</v>
      </c>
      <c r="I567" s="3">
        <v>72407</v>
      </c>
      <c r="J567" s="3">
        <f>IF(E567="Cold",1,0)</f>
        <v>0</v>
      </c>
      <c r="K567" s="3">
        <f>IF(E567="Hot",1,0)</f>
        <v>0</v>
      </c>
      <c r="L567" s="3">
        <v>2396</v>
      </c>
      <c r="M567" s="3">
        <v>58</v>
      </c>
      <c r="N567" s="4">
        <v>45416</v>
      </c>
      <c r="O567" s="10">
        <v>393006.32669999998</v>
      </c>
      <c r="P567" s="1">
        <f>$C$3+F567*$C$4+H567*$C$6+J567*$C$8+K567*$C$9+L567*$C$10+M567*$C$11</f>
        <v>374998.802890839</v>
      </c>
      <c r="Q567" s="1">
        <f>(O567-P567)/O567</f>
        <v>4.5819933639152224E-2</v>
      </c>
      <c r="R567" s="1"/>
      <c r="S567" s="1"/>
    </row>
    <row r="568" spans="1:19" x14ac:dyDescent="0.3">
      <c r="A568" s="2">
        <v>960</v>
      </c>
      <c r="B568" s="3" t="s">
        <v>12</v>
      </c>
      <c r="C568" s="3" t="s">
        <v>126</v>
      </c>
      <c r="D568" s="3" t="s">
        <v>18</v>
      </c>
      <c r="E568" s="3" t="s">
        <v>23</v>
      </c>
      <c r="F568" s="3">
        <f>IF(D568="Urban",1,0)</f>
        <v>1</v>
      </c>
      <c r="G568" s="3">
        <v>25197</v>
      </c>
      <c r="H568" s="3">
        <v>3</v>
      </c>
      <c r="I568" s="3">
        <v>82753</v>
      </c>
      <c r="J568" s="3">
        <f>IF(E568="Cold",1,0)</f>
        <v>0</v>
      </c>
      <c r="K568" s="3">
        <f>IF(E568="Hot",1,0)</f>
        <v>0</v>
      </c>
      <c r="L568" s="3">
        <v>1787</v>
      </c>
      <c r="M568" s="3">
        <v>76</v>
      </c>
      <c r="N568" s="4">
        <v>44873</v>
      </c>
      <c r="O568" s="10">
        <v>384058.11570000002</v>
      </c>
      <c r="P568" s="1">
        <f>$C$3+F568*$C$4+H568*$C$6+J568*$C$8+K568*$C$9+L568*$C$10+M568*$C$11</f>
        <v>366492.90430543496</v>
      </c>
      <c r="Q568" s="1">
        <f>(O568-P568)/O568</f>
        <v>4.5735816212476049E-2</v>
      </c>
      <c r="R568" s="1"/>
      <c r="S568" s="1"/>
    </row>
    <row r="569" spans="1:19" x14ac:dyDescent="0.3">
      <c r="A569" s="2">
        <v>715</v>
      </c>
      <c r="B569" s="3" t="s">
        <v>26</v>
      </c>
      <c r="C569" s="3" t="s">
        <v>69</v>
      </c>
      <c r="D569" s="3" t="s">
        <v>14</v>
      </c>
      <c r="E569" s="3" t="s">
        <v>15</v>
      </c>
      <c r="F569" s="3">
        <f>IF(D569="Urban",1,0)</f>
        <v>0</v>
      </c>
      <c r="G569" s="3">
        <v>21244</v>
      </c>
      <c r="H569" s="3">
        <v>8</v>
      </c>
      <c r="I569" s="3">
        <v>50702</v>
      </c>
      <c r="J569" s="3">
        <f>IF(E569="Cold",1,0)</f>
        <v>1</v>
      </c>
      <c r="K569" s="3">
        <f>IF(E569="Hot",1,0)</f>
        <v>0</v>
      </c>
      <c r="L569" s="3">
        <v>1457</v>
      </c>
      <c r="M569" s="3">
        <v>30</v>
      </c>
      <c r="N569" s="4">
        <v>44434</v>
      </c>
      <c r="O569" s="10">
        <v>290604.08960000001</v>
      </c>
      <c r="P569" s="1">
        <f>$C$3+F569*$C$4+H569*$C$6+J569*$C$8+K569*$C$9+L569*$C$10+M569*$C$11</f>
        <v>277322.26770427375</v>
      </c>
      <c r="Q569" s="1">
        <f>(O569-P569)/O569</f>
        <v>4.5704180949442008E-2</v>
      </c>
      <c r="R569" s="1"/>
      <c r="S569" s="1"/>
    </row>
    <row r="570" spans="1:19" x14ac:dyDescent="0.3">
      <c r="A570" s="2">
        <v>941</v>
      </c>
      <c r="B570" s="3" t="s">
        <v>12</v>
      </c>
      <c r="C570" s="3" t="s">
        <v>140</v>
      </c>
      <c r="D570" s="3" t="s">
        <v>14</v>
      </c>
      <c r="E570" s="3" t="s">
        <v>15</v>
      </c>
      <c r="F570" s="3">
        <f>IF(D570="Urban",1,0)</f>
        <v>0</v>
      </c>
      <c r="G570" s="3">
        <v>24597</v>
      </c>
      <c r="H570" s="3">
        <v>0</v>
      </c>
      <c r="I570" s="3">
        <v>98070</v>
      </c>
      <c r="J570" s="3">
        <f>IF(E570="Cold",1,0)</f>
        <v>1</v>
      </c>
      <c r="K570" s="3">
        <f>IF(E570="Hot",1,0)</f>
        <v>0</v>
      </c>
      <c r="L570" s="3">
        <v>2046</v>
      </c>
      <c r="M570" s="3">
        <v>39</v>
      </c>
      <c r="N570" s="4">
        <v>44320</v>
      </c>
      <c r="O570" s="10">
        <v>313772.9351</v>
      </c>
      <c r="P570" s="1">
        <f>$C$3+F570*$C$4+H570*$C$6+J570*$C$8+K570*$C$9+L570*$C$10+M570*$C$11</f>
        <v>299451.82208619273</v>
      </c>
      <c r="Q570" s="1">
        <f>(O570-P570)/O570</f>
        <v>4.5641645316678164E-2</v>
      </c>
      <c r="R570" s="1"/>
      <c r="S570" s="1"/>
    </row>
    <row r="571" spans="1:19" x14ac:dyDescent="0.3">
      <c r="A571" s="2">
        <v>882</v>
      </c>
      <c r="B571" s="3" t="s">
        <v>24</v>
      </c>
      <c r="C571" s="3" t="s">
        <v>100</v>
      </c>
      <c r="D571" s="3" t="s">
        <v>14</v>
      </c>
      <c r="E571" s="3" t="s">
        <v>15</v>
      </c>
      <c r="F571" s="3">
        <f>IF(D571="Urban",1,0)</f>
        <v>0</v>
      </c>
      <c r="G571" s="3">
        <v>9863</v>
      </c>
      <c r="H571" s="3">
        <v>8</v>
      </c>
      <c r="I571" s="3">
        <v>80851</v>
      </c>
      <c r="J571" s="3">
        <f>IF(E571="Cold",1,0)</f>
        <v>1</v>
      </c>
      <c r="K571" s="3">
        <f>IF(E571="Hot",1,0)</f>
        <v>0</v>
      </c>
      <c r="L571" s="3">
        <v>2818</v>
      </c>
      <c r="M571" s="3">
        <v>70</v>
      </c>
      <c r="N571" s="4">
        <v>45245</v>
      </c>
      <c r="O571" s="10">
        <v>331946.42070000002</v>
      </c>
      <c r="P571" s="1">
        <f>$C$3+F571*$C$4+H571*$C$6+J571*$C$8+K571*$C$9+L571*$C$10+M571*$C$11</f>
        <v>316813.01499387738</v>
      </c>
      <c r="Q571" s="1">
        <f>(O571-P571)/O571</f>
        <v>4.5589904762972588E-2</v>
      </c>
      <c r="R571" s="1"/>
      <c r="S571" s="1"/>
    </row>
    <row r="572" spans="1:19" x14ac:dyDescent="0.3">
      <c r="A572" s="2">
        <v>674</v>
      </c>
      <c r="B572" s="3" t="s">
        <v>33</v>
      </c>
      <c r="C572" s="3" t="s">
        <v>68</v>
      </c>
      <c r="D572" s="3" t="s">
        <v>14</v>
      </c>
      <c r="E572" s="3" t="s">
        <v>15</v>
      </c>
      <c r="F572" s="3">
        <f>IF(D572="Urban",1,0)</f>
        <v>0</v>
      </c>
      <c r="G572" s="3">
        <v>8206</v>
      </c>
      <c r="H572" s="3">
        <v>5</v>
      </c>
      <c r="I572" s="3">
        <v>99868</v>
      </c>
      <c r="J572" s="3">
        <f>IF(E572="Cold",1,0)</f>
        <v>1</v>
      </c>
      <c r="K572" s="3">
        <f>IF(E572="Hot",1,0)</f>
        <v>0</v>
      </c>
      <c r="L572" s="3">
        <v>2219</v>
      </c>
      <c r="M572" s="3">
        <v>45</v>
      </c>
      <c r="N572" s="4">
        <v>45483</v>
      </c>
      <c r="O572" s="10">
        <v>314299.07339999999</v>
      </c>
      <c r="P572" s="1">
        <f>$C$3+F572*$C$4+H572*$C$6+J572*$C$8+K572*$C$9+L572*$C$10+M572*$C$11</f>
        <v>300003.28377909481</v>
      </c>
      <c r="Q572" s="1">
        <f>(O572-P572)/O572</f>
        <v>4.5484669955457732E-2</v>
      </c>
      <c r="R572" s="1"/>
      <c r="S572" s="1"/>
    </row>
    <row r="573" spans="1:19" x14ac:dyDescent="0.3">
      <c r="A573" s="2">
        <v>179</v>
      </c>
      <c r="B573" s="3" t="s">
        <v>33</v>
      </c>
      <c r="C573" s="3" t="s">
        <v>68</v>
      </c>
      <c r="D573" s="3" t="s">
        <v>18</v>
      </c>
      <c r="E573" s="3" t="s">
        <v>21</v>
      </c>
      <c r="F573" s="3">
        <f>IF(D573="Urban",1,0)</f>
        <v>1</v>
      </c>
      <c r="G573" s="3">
        <v>11756</v>
      </c>
      <c r="H573" s="3">
        <v>9</v>
      </c>
      <c r="I573" s="3">
        <v>57074</v>
      </c>
      <c r="J573" s="3">
        <f>IF(E573="Cold",1,0)</f>
        <v>0</v>
      </c>
      <c r="K573" s="3">
        <f>IF(E573="Hot",1,0)</f>
        <v>1</v>
      </c>
      <c r="L573" s="3">
        <v>1026</v>
      </c>
      <c r="M573" s="3">
        <v>25</v>
      </c>
      <c r="N573" s="4">
        <v>44446</v>
      </c>
      <c r="O573" s="10">
        <v>346916.902</v>
      </c>
      <c r="P573" s="1">
        <f>$C$3+F573*$C$4+H573*$C$6+J573*$C$8+K573*$C$9+L573*$C$10+M573*$C$11</f>
        <v>331169.5824942097</v>
      </c>
      <c r="Q573" s="1">
        <f>(O573-P573)/O573</f>
        <v>4.5392194542860025E-2</v>
      </c>
      <c r="R573" s="1"/>
      <c r="S573" s="1"/>
    </row>
    <row r="574" spans="1:19" x14ac:dyDescent="0.3">
      <c r="A574" s="2">
        <v>82</v>
      </c>
      <c r="B574" s="3" t="s">
        <v>55</v>
      </c>
      <c r="C574" s="3" t="s">
        <v>98</v>
      </c>
      <c r="D574" s="3" t="s">
        <v>18</v>
      </c>
      <c r="E574" s="3" t="s">
        <v>15</v>
      </c>
      <c r="F574" s="3">
        <f>IF(D574="Urban",1,0)</f>
        <v>1</v>
      </c>
      <c r="G574" s="3">
        <v>26289</v>
      </c>
      <c r="H574" s="3">
        <v>9</v>
      </c>
      <c r="I574" s="3">
        <v>59323</v>
      </c>
      <c r="J574" s="3">
        <f>IF(E574="Cold",1,0)</f>
        <v>1</v>
      </c>
      <c r="K574" s="3">
        <f>IF(E574="Hot",1,0)</f>
        <v>0</v>
      </c>
      <c r="L574" s="3">
        <v>2725</v>
      </c>
      <c r="M574" s="3">
        <v>61</v>
      </c>
      <c r="N574" s="4">
        <v>44363</v>
      </c>
      <c r="O574" s="10">
        <v>372870.26429999998</v>
      </c>
      <c r="P574" s="1">
        <f>$C$3+F574*$C$4+H574*$C$6+J574*$C$8+K574*$C$9+L574*$C$10+M574*$C$11</f>
        <v>355951.0711745373</v>
      </c>
      <c r="Q574" s="1">
        <f>(O574-P574)/O574</f>
        <v>4.5375549474897303E-2</v>
      </c>
      <c r="R574" s="1"/>
      <c r="S574" s="1"/>
    </row>
    <row r="575" spans="1:19" x14ac:dyDescent="0.3">
      <c r="A575" s="2">
        <v>532</v>
      </c>
      <c r="B575" s="3" t="s">
        <v>16</v>
      </c>
      <c r="C575" s="3" t="s">
        <v>211</v>
      </c>
      <c r="D575" s="3" t="s">
        <v>18</v>
      </c>
      <c r="E575" s="3" t="s">
        <v>23</v>
      </c>
      <c r="F575" s="3">
        <f>IF(D575="Urban",1,0)</f>
        <v>1</v>
      </c>
      <c r="G575" s="3">
        <v>15068</v>
      </c>
      <c r="H575" s="3">
        <v>6</v>
      </c>
      <c r="I575" s="3">
        <v>86477</v>
      </c>
      <c r="J575" s="3">
        <f>IF(E575="Cold",1,0)</f>
        <v>0</v>
      </c>
      <c r="K575" s="3">
        <f>IF(E575="Hot",1,0)</f>
        <v>0</v>
      </c>
      <c r="L575" s="3">
        <v>1943</v>
      </c>
      <c r="M575" s="3">
        <v>24</v>
      </c>
      <c r="N575" s="4">
        <v>44687</v>
      </c>
      <c r="O575" s="10">
        <v>367255.04489999998</v>
      </c>
      <c r="P575" s="1">
        <f>$C$3+F575*$C$4+H575*$C$6+J575*$C$8+K575*$C$9+L575*$C$10+M575*$C$11</f>
        <v>350727.94954630674</v>
      </c>
      <c r="Q575" s="1">
        <f>(O575-P575)/O575</f>
        <v>4.5001683661536646E-2</v>
      </c>
      <c r="R575" s="1"/>
      <c r="S575" s="1"/>
    </row>
    <row r="576" spans="1:19" x14ac:dyDescent="0.3">
      <c r="A576" s="2">
        <v>253</v>
      </c>
      <c r="B576" s="3" t="s">
        <v>44</v>
      </c>
      <c r="C576" s="3" t="s">
        <v>65</v>
      </c>
      <c r="D576" s="3" t="s">
        <v>14</v>
      </c>
      <c r="E576" s="3" t="s">
        <v>15</v>
      </c>
      <c r="F576" s="3">
        <f>IF(D576="Urban",1,0)</f>
        <v>0</v>
      </c>
      <c r="G576" s="3">
        <v>12984</v>
      </c>
      <c r="H576" s="3">
        <v>6</v>
      </c>
      <c r="I576" s="3">
        <v>66818</v>
      </c>
      <c r="J576" s="3">
        <f>IF(E576="Cold",1,0)</f>
        <v>1</v>
      </c>
      <c r="K576" s="3">
        <f>IF(E576="Hot",1,0)</f>
        <v>0</v>
      </c>
      <c r="L576" s="3">
        <v>2139</v>
      </c>
      <c r="M576" s="3">
        <v>39</v>
      </c>
      <c r="N576" s="4">
        <v>44558</v>
      </c>
      <c r="O576" s="10">
        <v>309523.42969999998</v>
      </c>
      <c r="P576" s="1">
        <f>$C$3+F576*$C$4+H576*$C$6+J576*$C$8+K576*$C$9+L576*$C$10+M576*$C$11</f>
        <v>295607.24187362526</v>
      </c>
      <c r="Q576" s="1">
        <f>(O576-P576)/O576</f>
        <v>4.4960046610567531E-2</v>
      </c>
      <c r="R576" s="1"/>
      <c r="S576" s="1"/>
    </row>
    <row r="577" spans="1:19" x14ac:dyDescent="0.3">
      <c r="A577" s="2">
        <v>69</v>
      </c>
      <c r="B577" s="3" t="s">
        <v>33</v>
      </c>
      <c r="C577" s="3" t="s">
        <v>79</v>
      </c>
      <c r="D577" s="3" t="s">
        <v>18</v>
      </c>
      <c r="E577" s="3" t="s">
        <v>23</v>
      </c>
      <c r="F577" s="3">
        <f>IF(D577="Urban",1,0)</f>
        <v>1</v>
      </c>
      <c r="G577" s="3">
        <v>18108</v>
      </c>
      <c r="H577" s="3">
        <v>4</v>
      </c>
      <c r="I577" s="3">
        <v>58299</v>
      </c>
      <c r="J577" s="3">
        <f>IF(E577="Cold",1,0)</f>
        <v>0</v>
      </c>
      <c r="K577" s="3">
        <f>IF(E577="Hot",1,0)</f>
        <v>0</v>
      </c>
      <c r="L577" s="3">
        <v>2607</v>
      </c>
      <c r="M577" s="3">
        <v>31</v>
      </c>
      <c r="N577" s="4">
        <v>45216</v>
      </c>
      <c r="O577" s="10">
        <v>385356.67580000003</v>
      </c>
      <c r="P577" s="1">
        <f>$C$3+F577*$C$4+H577*$C$6+J577*$C$8+K577*$C$9+L577*$C$10+M577*$C$11</f>
        <v>368037.23673787341</v>
      </c>
      <c r="Q577" s="1">
        <f>(O577-P577)/O577</f>
        <v>4.4943918581847542E-2</v>
      </c>
      <c r="R577" s="1"/>
      <c r="S577" s="1"/>
    </row>
    <row r="578" spans="1:19" x14ac:dyDescent="0.3">
      <c r="A578" s="2">
        <v>234</v>
      </c>
      <c r="B578" s="3" t="s">
        <v>31</v>
      </c>
      <c r="C578" s="3" t="s">
        <v>170</v>
      </c>
      <c r="D578" s="3" t="s">
        <v>14</v>
      </c>
      <c r="E578" s="3" t="s">
        <v>15</v>
      </c>
      <c r="F578" s="3">
        <f>IF(D578="Urban",1,0)</f>
        <v>0</v>
      </c>
      <c r="G578" s="3">
        <v>20853</v>
      </c>
      <c r="H578" s="3">
        <v>3</v>
      </c>
      <c r="I578" s="3">
        <v>71767</v>
      </c>
      <c r="J578" s="3">
        <f>IF(E578="Cold",1,0)</f>
        <v>1</v>
      </c>
      <c r="K578" s="3">
        <f>IF(E578="Hot",1,0)</f>
        <v>0</v>
      </c>
      <c r="L578" s="3">
        <v>2526</v>
      </c>
      <c r="M578" s="3">
        <v>80</v>
      </c>
      <c r="N578" s="4">
        <v>44137</v>
      </c>
      <c r="O578" s="10">
        <v>333805.2892</v>
      </c>
      <c r="P578" s="1">
        <f>$C$3+F578*$C$4+H578*$C$6+J578*$C$8+K578*$C$9+L578*$C$10+M578*$C$11</f>
        <v>318818.34479356627</v>
      </c>
      <c r="Q578" s="1">
        <f>(O578-P578)/O578</f>
        <v>4.4897264636973071E-2</v>
      </c>
      <c r="R578" s="1"/>
      <c r="S578" s="1"/>
    </row>
    <row r="579" spans="1:19" x14ac:dyDescent="0.3">
      <c r="A579" s="2">
        <v>543</v>
      </c>
      <c r="B579" s="3" t="s">
        <v>72</v>
      </c>
      <c r="C579" s="3" t="s">
        <v>151</v>
      </c>
      <c r="D579" s="3" t="s">
        <v>18</v>
      </c>
      <c r="E579" s="3" t="s">
        <v>21</v>
      </c>
      <c r="F579" s="3">
        <f>IF(D579="Urban",1,0)</f>
        <v>1</v>
      </c>
      <c r="G579" s="3">
        <v>16942</v>
      </c>
      <c r="H579" s="3">
        <v>7</v>
      </c>
      <c r="I579" s="3">
        <v>68324</v>
      </c>
      <c r="J579" s="3">
        <f>IF(E579="Cold",1,0)</f>
        <v>0</v>
      </c>
      <c r="K579" s="3">
        <f>IF(E579="Hot",1,0)</f>
        <v>1</v>
      </c>
      <c r="L579" s="3">
        <v>2928</v>
      </c>
      <c r="M579" s="3">
        <v>63</v>
      </c>
      <c r="N579" s="4">
        <v>43871</v>
      </c>
      <c r="O579" s="10">
        <v>400666.90960000001</v>
      </c>
      <c r="P579" s="1">
        <f>$C$3+F579*$C$4+H579*$C$6+J579*$C$8+K579*$C$9+L579*$C$10+M579*$C$11</f>
        <v>382740.82944665273</v>
      </c>
      <c r="Q579" s="1">
        <f>(O579-P579)/O579</f>
        <v>4.4740605535015424E-2</v>
      </c>
      <c r="R579" s="1"/>
      <c r="S579" s="1"/>
    </row>
    <row r="580" spans="1:19" x14ac:dyDescent="0.3">
      <c r="A580" s="2">
        <v>924</v>
      </c>
      <c r="B580" s="3" t="s">
        <v>57</v>
      </c>
      <c r="C580" s="3" t="s">
        <v>168</v>
      </c>
      <c r="D580" s="3" t="s">
        <v>14</v>
      </c>
      <c r="E580" s="3" t="s">
        <v>23</v>
      </c>
      <c r="F580" s="3">
        <f>IF(D580="Urban",1,0)</f>
        <v>0</v>
      </c>
      <c r="G580" s="3">
        <v>15604</v>
      </c>
      <c r="H580" s="3">
        <v>7</v>
      </c>
      <c r="I580" s="3">
        <v>78790</v>
      </c>
      <c r="J580" s="3">
        <f>IF(E580="Cold",1,0)</f>
        <v>0</v>
      </c>
      <c r="K580" s="3">
        <f>IF(E580="Hot",1,0)</f>
        <v>0</v>
      </c>
      <c r="L580" s="3">
        <v>1680</v>
      </c>
      <c r="M580" s="3">
        <v>91</v>
      </c>
      <c r="N580" s="4">
        <v>44330</v>
      </c>
      <c r="O580" s="10">
        <v>335471.51169999997</v>
      </c>
      <c r="P580" s="1">
        <f>$C$3+F580*$C$4+H580*$C$6+J580*$C$8+K580*$C$9+L580*$C$10+M580*$C$11</f>
        <v>320462.3299128348</v>
      </c>
      <c r="Q580" s="1">
        <f>(O580-P580)/O580</f>
        <v>4.4740555497860997E-2</v>
      </c>
      <c r="R580" s="1"/>
      <c r="S580" s="1"/>
    </row>
    <row r="581" spans="1:19" x14ac:dyDescent="0.3">
      <c r="A581" s="2">
        <v>520</v>
      </c>
      <c r="B581" s="3" t="s">
        <v>35</v>
      </c>
      <c r="C581" s="3" t="s">
        <v>191</v>
      </c>
      <c r="D581" s="3" t="s">
        <v>14</v>
      </c>
      <c r="E581" s="3" t="s">
        <v>15</v>
      </c>
      <c r="F581" s="3">
        <f>IF(D581="Urban",1,0)</f>
        <v>0</v>
      </c>
      <c r="G581" s="3">
        <v>13900</v>
      </c>
      <c r="H581" s="3">
        <v>7</v>
      </c>
      <c r="I581" s="3">
        <v>95540</v>
      </c>
      <c r="J581" s="3">
        <f>IF(E581="Cold",1,0)</f>
        <v>1</v>
      </c>
      <c r="K581" s="3">
        <f>IF(E581="Hot",1,0)</f>
        <v>0</v>
      </c>
      <c r="L581" s="3">
        <v>2182</v>
      </c>
      <c r="M581" s="3">
        <v>54</v>
      </c>
      <c r="N581" s="4">
        <v>44775</v>
      </c>
      <c r="O581" s="10">
        <v>314182.70169999998</v>
      </c>
      <c r="P581" s="1">
        <f>$C$3+F581*$C$4+H581*$C$6+J581*$C$8+K581*$C$9+L581*$C$10+M581*$C$11</f>
        <v>300138.7478898039</v>
      </c>
      <c r="Q581" s="1">
        <f>(O581-P581)/O581</f>
        <v>4.469995876350337E-2</v>
      </c>
      <c r="R581" s="1"/>
      <c r="S581" s="1"/>
    </row>
    <row r="582" spans="1:19" x14ac:dyDescent="0.3">
      <c r="A582" s="2">
        <v>158</v>
      </c>
      <c r="B582" s="3" t="s">
        <v>29</v>
      </c>
      <c r="C582" s="3" t="s">
        <v>132</v>
      </c>
      <c r="D582" s="3" t="s">
        <v>14</v>
      </c>
      <c r="E582" s="3" t="s">
        <v>23</v>
      </c>
      <c r="F582" s="3">
        <f>IF(D582="Urban",1,0)</f>
        <v>0</v>
      </c>
      <c r="G582" s="3">
        <v>12100</v>
      </c>
      <c r="H582" s="3">
        <v>7</v>
      </c>
      <c r="I582" s="3">
        <v>94621</v>
      </c>
      <c r="J582" s="3">
        <f>IF(E582="Cold",1,0)</f>
        <v>0</v>
      </c>
      <c r="K582" s="3">
        <f>IF(E582="Hot",1,0)</f>
        <v>0</v>
      </c>
      <c r="L582" s="3">
        <v>2124</v>
      </c>
      <c r="M582" s="3">
        <v>24</v>
      </c>
      <c r="N582" s="4">
        <v>45214</v>
      </c>
      <c r="O582" s="10">
        <v>323095.76850000001</v>
      </c>
      <c r="P582" s="1">
        <f>$C$3+F582*$C$4+H582*$C$6+J582*$C$8+K582*$C$9+L582*$C$10+M582*$C$11</f>
        <v>308671.84822237736</v>
      </c>
      <c r="Q582" s="1">
        <f>(O582-P582)/O582</f>
        <v>4.4642863459917595E-2</v>
      </c>
      <c r="R582" s="1"/>
      <c r="S582" s="1"/>
    </row>
    <row r="583" spans="1:19" x14ac:dyDescent="0.3">
      <c r="A583" s="2">
        <v>283</v>
      </c>
      <c r="B583" s="3" t="s">
        <v>72</v>
      </c>
      <c r="C583" s="3" t="s">
        <v>145</v>
      </c>
      <c r="D583" s="3" t="s">
        <v>14</v>
      </c>
      <c r="E583" s="3" t="s">
        <v>15</v>
      </c>
      <c r="F583" s="3">
        <f>IF(D583="Urban",1,0)</f>
        <v>0</v>
      </c>
      <c r="G583" s="3">
        <v>18628</v>
      </c>
      <c r="H583" s="3">
        <v>6</v>
      </c>
      <c r="I583" s="3">
        <v>96096</v>
      </c>
      <c r="J583" s="3">
        <f>IF(E583="Cold",1,0)</f>
        <v>1</v>
      </c>
      <c r="K583" s="3">
        <f>IF(E583="Hot",1,0)</f>
        <v>0</v>
      </c>
      <c r="L583" s="3">
        <v>1392</v>
      </c>
      <c r="M583" s="3">
        <v>40</v>
      </c>
      <c r="N583" s="4">
        <v>43935</v>
      </c>
      <c r="O583" s="10">
        <v>294133.06109999999</v>
      </c>
      <c r="P583" s="1">
        <f>$C$3+F583*$C$4+H583*$C$6+J583*$C$8+K583*$C$9+L583*$C$10+M583*$C$11</f>
        <v>281007.55504600081</v>
      </c>
      <c r="Q583" s="1">
        <f>(O583-P583)/O583</f>
        <v>4.4624381920591864E-2</v>
      </c>
      <c r="R583" s="1"/>
      <c r="S583" s="1"/>
    </row>
    <row r="584" spans="1:19" x14ac:dyDescent="0.3">
      <c r="A584" s="2">
        <v>731</v>
      </c>
      <c r="B584" s="3" t="s">
        <v>122</v>
      </c>
      <c r="C584" s="3" t="s">
        <v>222</v>
      </c>
      <c r="D584" s="3" t="s">
        <v>14</v>
      </c>
      <c r="E584" s="3" t="s">
        <v>15</v>
      </c>
      <c r="F584" s="3">
        <f>IF(D584="Urban",1,0)</f>
        <v>0</v>
      </c>
      <c r="G584" s="3">
        <v>6871</v>
      </c>
      <c r="H584" s="3">
        <v>4</v>
      </c>
      <c r="I584" s="3">
        <v>57719</v>
      </c>
      <c r="J584" s="3">
        <f>IF(E584="Cold",1,0)</f>
        <v>1</v>
      </c>
      <c r="K584" s="3">
        <f>IF(E584="Hot",1,0)</f>
        <v>0</v>
      </c>
      <c r="L584" s="3">
        <v>2107</v>
      </c>
      <c r="M584" s="3">
        <v>46</v>
      </c>
      <c r="N584" s="4">
        <v>44772</v>
      </c>
      <c r="O584" s="10">
        <v>312963.52350000001</v>
      </c>
      <c r="P584" s="1">
        <f>$C$3+F584*$C$4+H584*$C$6+J584*$C$8+K584*$C$9+L584*$C$10+M584*$C$11</f>
        <v>299026.42178966844</v>
      </c>
      <c r="Q584" s="1">
        <f>(O584-P584)/O584</f>
        <v>4.4532671266182135E-2</v>
      </c>
      <c r="R584" s="1"/>
      <c r="S584" s="1"/>
    </row>
    <row r="585" spans="1:19" x14ac:dyDescent="0.3">
      <c r="A585" s="2">
        <v>689</v>
      </c>
      <c r="B585" s="3" t="s">
        <v>57</v>
      </c>
      <c r="C585" s="3" t="s">
        <v>206</v>
      </c>
      <c r="D585" s="3" t="s">
        <v>18</v>
      </c>
      <c r="E585" s="3" t="s">
        <v>15</v>
      </c>
      <c r="F585" s="3">
        <f>IF(D585="Urban",1,0)</f>
        <v>1</v>
      </c>
      <c r="G585" s="3">
        <v>6661</v>
      </c>
      <c r="H585" s="3">
        <v>0</v>
      </c>
      <c r="I585" s="3">
        <v>88311</v>
      </c>
      <c r="J585" s="3">
        <f>IF(E585="Cold",1,0)</f>
        <v>1</v>
      </c>
      <c r="K585" s="3">
        <f>IF(E585="Hot",1,0)</f>
        <v>0</v>
      </c>
      <c r="L585" s="3">
        <v>2552</v>
      </c>
      <c r="M585" s="3">
        <v>38</v>
      </c>
      <c r="N585" s="4">
        <v>44382</v>
      </c>
      <c r="O585" s="10">
        <v>370429.66609999997</v>
      </c>
      <c r="P585" s="1">
        <f>$C$3+F585*$C$4+H585*$C$6+J585*$C$8+K585*$C$9+L585*$C$10+M585*$C$11</f>
        <v>353960.08954240201</v>
      </c>
      <c r="Q585" s="1">
        <f>(O585-P585)/O585</f>
        <v>4.4460738609288078E-2</v>
      </c>
      <c r="R585" s="1"/>
      <c r="S585" s="1"/>
    </row>
    <row r="586" spans="1:19" x14ac:dyDescent="0.3">
      <c r="A586" s="2">
        <v>544</v>
      </c>
      <c r="B586" s="3" t="s">
        <v>29</v>
      </c>
      <c r="C586" s="3" t="s">
        <v>83</v>
      </c>
      <c r="D586" s="3" t="s">
        <v>14</v>
      </c>
      <c r="E586" s="3" t="s">
        <v>15</v>
      </c>
      <c r="F586" s="3">
        <f>IF(D586="Urban",1,0)</f>
        <v>0</v>
      </c>
      <c r="G586" s="3">
        <v>9787</v>
      </c>
      <c r="H586" s="3">
        <v>9</v>
      </c>
      <c r="I586" s="3">
        <v>70703</v>
      </c>
      <c r="J586" s="3">
        <f>IF(E586="Cold",1,0)</f>
        <v>1</v>
      </c>
      <c r="K586" s="3">
        <f>IF(E586="Hot",1,0)</f>
        <v>0</v>
      </c>
      <c r="L586" s="3">
        <v>1121</v>
      </c>
      <c r="M586" s="3">
        <v>30</v>
      </c>
      <c r="N586" s="4">
        <v>44977</v>
      </c>
      <c r="O586" s="10">
        <v>282177.29070000001</v>
      </c>
      <c r="P586" s="1">
        <f>$C$3+F586*$C$4+H586*$C$6+J586*$C$8+K586*$C$9+L586*$C$10+M586*$C$11</f>
        <v>269666.60102035943</v>
      </c>
      <c r="Q586" s="1">
        <f>(O586-P586)/O586</f>
        <v>4.4336274009170569E-2</v>
      </c>
      <c r="R586" s="1"/>
      <c r="S586" s="1"/>
    </row>
    <row r="587" spans="1:19" x14ac:dyDescent="0.3">
      <c r="A587" s="2">
        <v>213</v>
      </c>
      <c r="B587" s="3" t="s">
        <v>12</v>
      </c>
      <c r="C587" s="3" t="s">
        <v>76</v>
      </c>
      <c r="D587" s="3" t="s">
        <v>18</v>
      </c>
      <c r="E587" s="3" t="s">
        <v>23</v>
      </c>
      <c r="F587" s="3">
        <f>IF(D587="Urban",1,0)</f>
        <v>1</v>
      </c>
      <c r="G587" s="3">
        <v>5666</v>
      </c>
      <c r="H587" s="3">
        <v>1</v>
      </c>
      <c r="I587" s="3">
        <v>95633</v>
      </c>
      <c r="J587" s="3">
        <f>IF(E587="Cold",1,0)</f>
        <v>0</v>
      </c>
      <c r="K587" s="3">
        <f>IF(E587="Hot",1,0)</f>
        <v>0</v>
      </c>
      <c r="L587" s="3">
        <v>1082</v>
      </c>
      <c r="M587" s="3">
        <v>28</v>
      </c>
      <c r="N587" s="4">
        <v>44867</v>
      </c>
      <c r="O587" s="10">
        <v>355204.64</v>
      </c>
      <c r="P587" s="1">
        <f>$C$3+F587*$C$4+H587*$C$6+J587*$C$8+K587*$C$9+L587*$C$10+M587*$C$11</f>
        <v>339528.337310781</v>
      </c>
      <c r="Q587" s="1">
        <f>(O587-P587)/O587</f>
        <v>4.4133158534243835E-2</v>
      </c>
      <c r="R587" s="1"/>
      <c r="S587" s="1"/>
    </row>
    <row r="588" spans="1:19" x14ac:dyDescent="0.3">
      <c r="A588" s="2">
        <v>247</v>
      </c>
      <c r="B588" s="3" t="s">
        <v>16</v>
      </c>
      <c r="C588" s="3" t="s">
        <v>176</v>
      </c>
      <c r="D588" s="3" t="s">
        <v>18</v>
      </c>
      <c r="E588" s="3" t="s">
        <v>21</v>
      </c>
      <c r="F588" s="3">
        <f>IF(D588="Urban",1,0)</f>
        <v>1</v>
      </c>
      <c r="G588" s="3">
        <v>4119</v>
      </c>
      <c r="H588" s="3">
        <v>2</v>
      </c>
      <c r="I588" s="3">
        <v>65275</v>
      </c>
      <c r="J588" s="3">
        <f>IF(E588="Cold",1,0)</f>
        <v>0</v>
      </c>
      <c r="K588" s="3">
        <f>IF(E588="Hot",1,0)</f>
        <v>1</v>
      </c>
      <c r="L588" s="3">
        <v>1346</v>
      </c>
      <c r="M588" s="3">
        <v>34</v>
      </c>
      <c r="N588" s="4">
        <v>45329</v>
      </c>
      <c r="O588" s="10">
        <v>362982.96899999998</v>
      </c>
      <c r="P588" s="1">
        <f>$C$3+F588*$C$4+H588*$C$6+J588*$C$8+K588*$C$9+L588*$C$10+M588*$C$11</f>
        <v>346980.59258799034</v>
      </c>
      <c r="Q588" s="1">
        <f>(O588-P588)/O588</f>
        <v>4.408574996258198E-2</v>
      </c>
      <c r="R588" s="1"/>
      <c r="S588" s="1"/>
    </row>
    <row r="589" spans="1:19" x14ac:dyDescent="0.3">
      <c r="A589" s="2">
        <v>575</v>
      </c>
      <c r="B589" s="3" t="s">
        <v>74</v>
      </c>
      <c r="C589" s="3" t="s">
        <v>89</v>
      </c>
      <c r="D589" s="3" t="s">
        <v>14</v>
      </c>
      <c r="E589" s="3" t="s">
        <v>23</v>
      </c>
      <c r="F589" s="3">
        <f>IF(D589="Urban",1,0)</f>
        <v>0</v>
      </c>
      <c r="G589" s="3">
        <v>26863</v>
      </c>
      <c r="H589" s="3">
        <v>7</v>
      </c>
      <c r="I589" s="3">
        <v>63405</v>
      </c>
      <c r="J589" s="3">
        <f>IF(E589="Cold",1,0)</f>
        <v>0</v>
      </c>
      <c r="K589" s="3">
        <f>IF(E589="Hot",1,0)</f>
        <v>0</v>
      </c>
      <c r="L589" s="3">
        <v>2155</v>
      </c>
      <c r="M589" s="3">
        <v>93</v>
      </c>
      <c r="N589" s="4">
        <v>44903</v>
      </c>
      <c r="O589" s="10">
        <v>345800.5564</v>
      </c>
      <c r="P589" s="1">
        <f>$C$3+F589*$C$4+H589*$C$6+J589*$C$8+K589*$C$9+L589*$C$10+M589*$C$11</f>
        <v>330558.3890528527</v>
      </c>
      <c r="Q589" s="1">
        <f>(O589-P589)/O589</f>
        <v>4.4077914465574596E-2</v>
      </c>
      <c r="R589" s="1"/>
      <c r="S589" s="1"/>
    </row>
    <row r="590" spans="1:19" x14ac:dyDescent="0.3">
      <c r="A590" s="2">
        <v>486</v>
      </c>
      <c r="B590" s="3" t="s">
        <v>29</v>
      </c>
      <c r="C590" s="3" t="s">
        <v>110</v>
      </c>
      <c r="D590" s="3" t="s">
        <v>14</v>
      </c>
      <c r="E590" s="3" t="s">
        <v>21</v>
      </c>
      <c r="F590" s="3">
        <f>IF(D590="Urban",1,0)</f>
        <v>0</v>
      </c>
      <c r="G590" s="3">
        <v>14305</v>
      </c>
      <c r="H590" s="3">
        <v>8</v>
      </c>
      <c r="I590" s="3">
        <v>61872</v>
      </c>
      <c r="J590" s="3">
        <f>IF(E590="Cold",1,0)</f>
        <v>0</v>
      </c>
      <c r="K590" s="3">
        <f>IF(E590="Hot",1,0)</f>
        <v>1</v>
      </c>
      <c r="L590" s="3">
        <v>1206</v>
      </c>
      <c r="M590" s="3">
        <v>86</v>
      </c>
      <c r="N590" s="4">
        <v>45080</v>
      </c>
      <c r="O590" s="10">
        <v>324075.9901</v>
      </c>
      <c r="P590" s="1">
        <f>$C$3+F590*$C$4+H590*$C$6+J590*$C$8+K590*$C$9+L590*$C$10+M590*$C$11</f>
        <v>309795.75142564764</v>
      </c>
      <c r="Q590" s="1">
        <f>(O590-P590)/O590</f>
        <v>4.4064475958079788E-2</v>
      </c>
      <c r="R590" s="1"/>
      <c r="S590" s="1"/>
    </row>
    <row r="591" spans="1:19" x14ac:dyDescent="0.3">
      <c r="A591" s="2">
        <v>108</v>
      </c>
      <c r="B591" s="3" t="s">
        <v>28</v>
      </c>
      <c r="C591" s="3" t="s">
        <v>115</v>
      </c>
      <c r="D591" s="3" t="s">
        <v>18</v>
      </c>
      <c r="E591" s="3" t="s">
        <v>21</v>
      </c>
      <c r="F591" s="3">
        <f>IF(D591="Urban",1,0)</f>
        <v>1</v>
      </c>
      <c r="G591" s="3">
        <v>11228</v>
      </c>
      <c r="H591" s="3">
        <v>2</v>
      </c>
      <c r="I591" s="3">
        <v>63337</v>
      </c>
      <c r="J591" s="3">
        <f>IF(E591="Cold",1,0)</f>
        <v>0</v>
      </c>
      <c r="K591" s="3">
        <f>IF(E591="Hot",1,0)</f>
        <v>1</v>
      </c>
      <c r="L591" s="3">
        <v>1997</v>
      </c>
      <c r="M591" s="3">
        <v>77</v>
      </c>
      <c r="N591" s="4">
        <v>45080</v>
      </c>
      <c r="O591" s="10">
        <v>390304.65059999999</v>
      </c>
      <c r="P591" s="1">
        <f>$C$3+F591*$C$4+H591*$C$6+J591*$C$8+K591*$C$9+L591*$C$10+M591*$C$11</f>
        <v>373226.52399073559</v>
      </c>
      <c r="Q591" s="1">
        <f>(O591-P591)/O591</f>
        <v>4.3755888081299758E-2</v>
      </c>
      <c r="R591" s="1"/>
      <c r="S591" s="1"/>
    </row>
    <row r="592" spans="1:19" x14ac:dyDescent="0.3">
      <c r="A592" s="2">
        <v>931</v>
      </c>
      <c r="B592" s="3" t="s">
        <v>26</v>
      </c>
      <c r="C592" s="3" t="s">
        <v>159</v>
      </c>
      <c r="D592" s="3" t="s">
        <v>18</v>
      </c>
      <c r="E592" s="3" t="s">
        <v>21</v>
      </c>
      <c r="F592" s="3">
        <f>IF(D592="Urban",1,0)</f>
        <v>1</v>
      </c>
      <c r="G592" s="3">
        <v>28970</v>
      </c>
      <c r="H592" s="3">
        <v>3</v>
      </c>
      <c r="I592" s="3">
        <v>93799</v>
      </c>
      <c r="J592" s="3">
        <f>IF(E592="Cold",1,0)</f>
        <v>0</v>
      </c>
      <c r="K592" s="3">
        <f>IF(E592="Hot",1,0)</f>
        <v>1</v>
      </c>
      <c r="L592" s="3">
        <v>1793</v>
      </c>
      <c r="M592" s="3">
        <v>63</v>
      </c>
      <c r="N592" s="4">
        <v>44493</v>
      </c>
      <c r="O592" s="10">
        <v>380461.75280000002</v>
      </c>
      <c r="P592" s="1">
        <f>$C$3+F592*$C$4+H592*$C$6+J592*$C$8+K592*$C$9+L592*$C$10+M592*$C$11</f>
        <v>363889.96753859898</v>
      </c>
      <c r="Q592" s="1">
        <f>(O592-P592)/O592</f>
        <v>4.355703336653774E-2</v>
      </c>
      <c r="R592" s="1"/>
      <c r="S592" s="1"/>
    </row>
    <row r="593" spans="1:19" x14ac:dyDescent="0.3">
      <c r="A593" s="2">
        <v>432</v>
      </c>
      <c r="B593" s="3" t="s">
        <v>74</v>
      </c>
      <c r="C593" s="3" t="s">
        <v>89</v>
      </c>
      <c r="D593" s="3" t="s">
        <v>14</v>
      </c>
      <c r="E593" s="3" t="s">
        <v>23</v>
      </c>
      <c r="F593" s="3">
        <f>IF(D593="Urban",1,0)</f>
        <v>0</v>
      </c>
      <c r="G593" s="3">
        <v>1456</v>
      </c>
      <c r="H593" s="3">
        <v>2</v>
      </c>
      <c r="I593" s="3">
        <v>94497</v>
      </c>
      <c r="J593" s="3">
        <f>IF(E593="Cold",1,0)</f>
        <v>0</v>
      </c>
      <c r="K593" s="3">
        <f>IF(E593="Hot",1,0)</f>
        <v>0</v>
      </c>
      <c r="L593" s="3">
        <v>2339</v>
      </c>
      <c r="M593" s="3">
        <v>48</v>
      </c>
      <c r="N593" s="4">
        <v>44845</v>
      </c>
      <c r="O593" s="10">
        <v>339901.32819999999</v>
      </c>
      <c r="P593" s="1">
        <f>$C$3+F593*$C$4+H593*$C$6+J593*$C$8+K593*$C$9+L593*$C$10+M593*$C$11</f>
        <v>325110.62317686831</v>
      </c>
      <c r="Q593" s="1">
        <f>(O593-P593)/O593</f>
        <v>4.3514702050321916E-2</v>
      </c>
      <c r="R593" s="1"/>
      <c r="S593" s="1"/>
    </row>
    <row r="594" spans="1:19" x14ac:dyDescent="0.3">
      <c r="A594" s="2">
        <v>649</v>
      </c>
      <c r="B594" s="3" t="s">
        <v>74</v>
      </c>
      <c r="C594" s="3" t="s">
        <v>89</v>
      </c>
      <c r="D594" s="3" t="s">
        <v>14</v>
      </c>
      <c r="E594" s="3" t="s">
        <v>23</v>
      </c>
      <c r="F594" s="3">
        <f>IF(D594="Urban",1,0)</f>
        <v>0</v>
      </c>
      <c r="G594" s="3">
        <v>21504</v>
      </c>
      <c r="H594" s="3">
        <v>8</v>
      </c>
      <c r="I594" s="3">
        <v>82398</v>
      </c>
      <c r="J594" s="3">
        <f>IF(E594="Cold",1,0)</f>
        <v>0</v>
      </c>
      <c r="K594" s="3">
        <f>IF(E594="Hot",1,0)</f>
        <v>0</v>
      </c>
      <c r="L594" s="3">
        <v>1889</v>
      </c>
      <c r="M594" s="3">
        <v>60</v>
      </c>
      <c r="N594" s="4">
        <v>45370</v>
      </c>
      <c r="O594" s="10">
        <v>328340.9791</v>
      </c>
      <c r="P594" s="1">
        <f>$C$3+F594*$C$4+H594*$C$6+J594*$C$8+K594*$C$9+L594*$C$10+M594*$C$11</f>
        <v>314128.12483623147</v>
      </c>
      <c r="Q594" s="1">
        <f>(O594-P594)/O594</f>
        <v>4.3286873002348708E-2</v>
      </c>
      <c r="R594" s="1"/>
      <c r="S594" s="1"/>
    </row>
    <row r="595" spans="1:19" x14ac:dyDescent="0.3">
      <c r="A595" s="2">
        <v>198</v>
      </c>
      <c r="B595" s="3" t="s">
        <v>53</v>
      </c>
      <c r="C595" s="3" t="s">
        <v>157</v>
      </c>
      <c r="D595" s="3" t="s">
        <v>18</v>
      </c>
      <c r="E595" s="3" t="s">
        <v>21</v>
      </c>
      <c r="F595" s="3">
        <f>IF(D595="Urban",1,0)</f>
        <v>1</v>
      </c>
      <c r="G595" s="3">
        <v>7142</v>
      </c>
      <c r="H595" s="3">
        <v>0</v>
      </c>
      <c r="I595" s="3">
        <v>83170</v>
      </c>
      <c r="J595" s="3">
        <f>IF(E595="Cold",1,0)</f>
        <v>0</v>
      </c>
      <c r="K595" s="3">
        <f>IF(E595="Hot",1,0)</f>
        <v>1</v>
      </c>
      <c r="L595" s="3">
        <v>1936</v>
      </c>
      <c r="M595" s="3">
        <v>72</v>
      </c>
      <c r="N595" s="4">
        <v>44793</v>
      </c>
      <c r="O595" s="10">
        <v>389213.48839999997</v>
      </c>
      <c r="P595" s="1">
        <f>$C$3+F595*$C$4+H595*$C$6+J595*$C$8+K595*$C$9+L595*$C$10+M595*$C$11</f>
        <v>372368.18904404424</v>
      </c>
      <c r="Q595" s="1">
        <f>(O595-P595)/O595</f>
        <v>4.328035861553594E-2</v>
      </c>
      <c r="R595" s="1"/>
      <c r="S595" s="1"/>
    </row>
    <row r="596" spans="1:19" x14ac:dyDescent="0.3">
      <c r="A596" s="2">
        <v>271</v>
      </c>
      <c r="B596" s="3" t="s">
        <v>28</v>
      </c>
      <c r="C596" s="3" t="s">
        <v>46</v>
      </c>
      <c r="D596" s="3" t="s">
        <v>18</v>
      </c>
      <c r="E596" s="3" t="s">
        <v>21</v>
      </c>
      <c r="F596" s="3">
        <f>IF(D596="Urban",1,0)</f>
        <v>1</v>
      </c>
      <c r="G596" s="3">
        <v>24306</v>
      </c>
      <c r="H596" s="3">
        <v>2</v>
      </c>
      <c r="I596" s="3">
        <v>54690</v>
      </c>
      <c r="J596" s="3">
        <f>IF(E596="Cold",1,0)</f>
        <v>0</v>
      </c>
      <c r="K596" s="3">
        <f>IF(E596="Hot",1,0)</f>
        <v>1</v>
      </c>
      <c r="L596" s="3">
        <v>1359</v>
      </c>
      <c r="M596" s="3">
        <v>63</v>
      </c>
      <c r="N596" s="4">
        <v>43886</v>
      </c>
      <c r="O596" s="10">
        <v>372272.13050000003</v>
      </c>
      <c r="P596" s="1">
        <f>$C$3+F596*$C$4+H596*$C$6+J596*$C$8+K596*$C$9+L596*$C$10+M596*$C$11</f>
        <v>356178.7051964312</v>
      </c>
      <c r="Q596" s="1">
        <f>(O596-P596)/O596</f>
        <v>4.3230271581043936E-2</v>
      </c>
      <c r="R596" s="1"/>
      <c r="S596" s="1"/>
    </row>
    <row r="597" spans="1:19" x14ac:dyDescent="0.3">
      <c r="A597" s="2">
        <v>589</v>
      </c>
      <c r="B597" s="3" t="s">
        <v>24</v>
      </c>
      <c r="C597" s="3" t="s">
        <v>25</v>
      </c>
      <c r="D597" s="3" t="s">
        <v>18</v>
      </c>
      <c r="E597" s="3" t="s">
        <v>15</v>
      </c>
      <c r="F597" s="3">
        <f>IF(D597="Urban",1,0)</f>
        <v>1</v>
      </c>
      <c r="G597" s="3">
        <v>25042</v>
      </c>
      <c r="H597" s="3">
        <v>1</v>
      </c>
      <c r="I597" s="3">
        <v>61218</v>
      </c>
      <c r="J597" s="3">
        <f>IF(E597="Cold",1,0)</f>
        <v>1</v>
      </c>
      <c r="K597" s="3">
        <f>IF(E597="Hot",1,0)</f>
        <v>0</v>
      </c>
      <c r="L597" s="3">
        <v>1404</v>
      </c>
      <c r="M597" s="3">
        <v>98</v>
      </c>
      <c r="N597" s="4">
        <v>44966</v>
      </c>
      <c r="O597" s="10">
        <v>364337.67599999998</v>
      </c>
      <c r="P597" s="1">
        <f>$C$3+F597*$C$4+H597*$C$6+J597*$C$8+K597*$C$9+L597*$C$10+M597*$C$11</f>
        <v>348593.09966831509</v>
      </c>
      <c r="Q597" s="1">
        <f>(O597-P597)/O597</f>
        <v>4.321424153697706E-2</v>
      </c>
      <c r="R597" s="1"/>
      <c r="S597" s="1"/>
    </row>
    <row r="598" spans="1:19" x14ac:dyDescent="0.3">
      <c r="A598" s="2">
        <v>414</v>
      </c>
      <c r="B598" s="3" t="s">
        <v>29</v>
      </c>
      <c r="C598" s="3" t="s">
        <v>107</v>
      </c>
      <c r="D598" s="3" t="s">
        <v>14</v>
      </c>
      <c r="E598" s="3" t="s">
        <v>15</v>
      </c>
      <c r="F598" s="3">
        <f>IF(D598="Urban",1,0)</f>
        <v>0</v>
      </c>
      <c r="G598" s="3">
        <v>16021</v>
      </c>
      <c r="H598" s="3">
        <v>9</v>
      </c>
      <c r="I598" s="3">
        <v>53177</v>
      </c>
      <c r="J598" s="3">
        <f>IF(E598="Cold",1,0)</f>
        <v>1</v>
      </c>
      <c r="K598" s="3">
        <f>IF(E598="Hot",1,0)</f>
        <v>0</v>
      </c>
      <c r="L598" s="3">
        <v>1364</v>
      </c>
      <c r="M598" s="3">
        <v>88</v>
      </c>
      <c r="N598" s="4">
        <v>44951</v>
      </c>
      <c r="O598" s="10">
        <v>305591.54229999997</v>
      </c>
      <c r="P598" s="1">
        <f>$C$3+F598*$C$4+H598*$C$6+J598*$C$8+K598*$C$9+L598*$C$10+M598*$C$11</f>
        <v>292393.50623550068</v>
      </c>
      <c r="Q598" s="1">
        <f>(O598-P598)/O598</f>
        <v>4.3188486059417004E-2</v>
      </c>
      <c r="R598" s="1"/>
      <c r="S598" s="1"/>
    </row>
    <row r="599" spans="1:19" x14ac:dyDescent="0.3">
      <c r="A599" s="2">
        <v>178</v>
      </c>
      <c r="B599" s="3" t="s">
        <v>53</v>
      </c>
      <c r="C599" s="3" t="s">
        <v>149</v>
      </c>
      <c r="D599" s="3" t="s">
        <v>14</v>
      </c>
      <c r="E599" s="3" t="s">
        <v>15</v>
      </c>
      <c r="F599" s="3">
        <f>IF(D599="Urban",1,0)</f>
        <v>0</v>
      </c>
      <c r="G599" s="3">
        <v>9025</v>
      </c>
      <c r="H599" s="3">
        <v>7</v>
      </c>
      <c r="I599" s="3">
        <v>61047</v>
      </c>
      <c r="J599" s="3">
        <f>IF(E599="Cold",1,0)</f>
        <v>1</v>
      </c>
      <c r="K599" s="3">
        <f>IF(E599="Hot",1,0)</f>
        <v>0</v>
      </c>
      <c r="L599" s="3">
        <v>1035</v>
      </c>
      <c r="M599" s="3">
        <v>32</v>
      </c>
      <c r="N599" s="4">
        <v>44198</v>
      </c>
      <c r="O599" s="10">
        <v>282657.56410000002</v>
      </c>
      <c r="P599" s="1">
        <f>$C$3+F599*$C$4+H599*$C$6+J599*$C$8+K599*$C$9+L599*$C$10+M599*$C$11</f>
        <v>270466.95003579149</v>
      </c>
      <c r="Q599" s="1">
        <f>(O599-P599)/O599</f>
        <v>4.3128561243440368E-2</v>
      </c>
      <c r="R599" s="1"/>
      <c r="S599" s="1"/>
    </row>
    <row r="600" spans="1:19" x14ac:dyDescent="0.3">
      <c r="A600" s="2">
        <v>186</v>
      </c>
      <c r="B600" s="3" t="s">
        <v>29</v>
      </c>
      <c r="C600" s="3" t="s">
        <v>135</v>
      </c>
      <c r="D600" s="3" t="s">
        <v>14</v>
      </c>
      <c r="E600" s="3" t="s">
        <v>23</v>
      </c>
      <c r="F600" s="3">
        <f>IF(D600="Urban",1,0)</f>
        <v>0</v>
      </c>
      <c r="G600" s="3">
        <v>26327</v>
      </c>
      <c r="H600" s="3">
        <v>5</v>
      </c>
      <c r="I600" s="3">
        <v>59432</v>
      </c>
      <c r="J600" s="3">
        <f>IF(E600="Cold",1,0)</f>
        <v>0</v>
      </c>
      <c r="K600" s="3">
        <f>IF(E600="Hot",1,0)</f>
        <v>0</v>
      </c>
      <c r="L600" s="3">
        <v>1458</v>
      </c>
      <c r="M600" s="3">
        <v>53</v>
      </c>
      <c r="N600" s="4">
        <v>44890</v>
      </c>
      <c r="O600" s="10">
        <v>319922.82339999999</v>
      </c>
      <c r="P600" s="1">
        <f>$C$3+F600*$C$4+H600*$C$6+J600*$C$8+K600*$C$9+L600*$C$10+M600*$C$11</f>
        <v>306219.3187256119</v>
      </c>
      <c r="Q600" s="1">
        <f>(O600-P600)/O600</f>
        <v>4.2833782625300798E-2</v>
      </c>
      <c r="R600" s="1"/>
      <c r="S600" s="1"/>
    </row>
    <row r="601" spans="1:19" x14ac:dyDescent="0.3">
      <c r="A601" s="2">
        <v>858</v>
      </c>
      <c r="B601" s="3" t="s">
        <v>108</v>
      </c>
      <c r="C601" s="3" t="s">
        <v>161</v>
      </c>
      <c r="D601" s="3" t="s">
        <v>18</v>
      </c>
      <c r="E601" s="3" t="s">
        <v>21</v>
      </c>
      <c r="F601" s="3">
        <f>IF(D601="Urban",1,0)</f>
        <v>1</v>
      </c>
      <c r="G601" s="3">
        <v>5788</v>
      </c>
      <c r="H601" s="3">
        <v>4</v>
      </c>
      <c r="I601" s="3">
        <v>74231</v>
      </c>
      <c r="J601" s="3">
        <f>IF(E601="Cold",1,0)</f>
        <v>0</v>
      </c>
      <c r="K601" s="3">
        <f>IF(E601="Hot",1,0)</f>
        <v>1</v>
      </c>
      <c r="L601" s="3">
        <v>1774</v>
      </c>
      <c r="M601" s="3">
        <v>25</v>
      </c>
      <c r="N601" s="4">
        <v>44069</v>
      </c>
      <c r="O601" s="10">
        <v>366529.6888</v>
      </c>
      <c r="P601" s="1">
        <f>$C$3+F601*$C$4+H601*$C$6+J601*$C$8+K601*$C$9+L601*$C$10+M601*$C$11</f>
        <v>350847.94467701687</v>
      </c>
      <c r="Q601" s="1">
        <f>(O601-P601)/O601</f>
        <v>4.278437627883401E-2</v>
      </c>
      <c r="R601" s="1"/>
      <c r="S601" s="1"/>
    </row>
    <row r="602" spans="1:19" x14ac:dyDescent="0.3">
      <c r="A602" s="2">
        <v>888</v>
      </c>
      <c r="B602" s="3" t="s">
        <v>74</v>
      </c>
      <c r="C602" s="3" t="s">
        <v>106</v>
      </c>
      <c r="D602" s="3" t="s">
        <v>18</v>
      </c>
      <c r="E602" s="3" t="s">
        <v>15</v>
      </c>
      <c r="F602" s="3">
        <f>IF(D602="Urban",1,0)</f>
        <v>1</v>
      </c>
      <c r="G602" s="3">
        <v>15026</v>
      </c>
      <c r="H602" s="3">
        <v>3</v>
      </c>
      <c r="I602" s="3">
        <v>88060</v>
      </c>
      <c r="J602" s="3">
        <f>IF(E602="Cold",1,0)</f>
        <v>1</v>
      </c>
      <c r="K602" s="3">
        <f>IF(E602="Hot",1,0)</f>
        <v>0</v>
      </c>
      <c r="L602" s="3">
        <v>1354</v>
      </c>
      <c r="M602" s="3">
        <v>64</v>
      </c>
      <c r="N602" s="4">
        <v>45207</v>
      </c>
      <c r="O602" s="10">
        <v>350187.75319999998</v>
      </c>
      <c r="P602" s="1">
        <f>$C$3+F602*$C$4+H602*$C$6+J602*$C$8+K602*$C$9+L602*$C$10+M602*$C$11</f>
        <v>335215.23071217543</v>
      </c>
      <c r="Q602" s="1">
        <f>(O602-P602)/O602</f>
        <v>4.2755699909566541E-2</v>
      </c>
      <c r="R602" s="1"/>
      <c r="S602" s="1"/>
    </row>
    <row r="603" spans="1:19" x14ac:dyDescent="0.3">
      <c r="A603" s="2">
        <v>476</v>
      </c>
      <c r="B603" s="3" t="s">
        <v>33</v>
      </c>
      <c r="C603" s="3" t="s">
        <v>184</v>
      </c>
      <c r="D603" s="3" t="s">
        <v>14</v>
      </c>
      <c r="E603" s="3" t="s">
        <v>15</v>
      </c>
      <c r="F603" s="3">
        <f>IF(D603="Urban",1,0)</f>
        <v>0</v>
      </c>
      <c r="G603" s="3">
        <v>1294</v>
      </c>
      <c r="H603" s="3">
        <v>0</v>
      </c>
      <c r="I603" s="3">
        <v>51985</v>
      </c>
      <c r="J603" s="3">
        <f>IF(E603="Cold",1,0)</f>
        <v>1</v>
      </c>
      <c r="K603" s="3">
        <f>IF(E603="Hot",1,0)</f>
        <v>0</v>
      </c>
      <c r="L603" s="3">
        <v>2317</v>
      </c>
      <c r="M603" s="3">
        <v>38</v>
      </c>
      <c r="N603" s="4">
        <v>43982</v>
      </c>
      <c r="O603" s="10">
        <v>318062.62339999998</v>
      </c>
      <c r="P603" s="1">
        <f>$C$3+F603*$C$4+H603*$C$6+J603*$C$8+K603*$C$9+L603*$C$10+M603*$C$11</f>
        <v>304551.95278860291</v>
      </c>
      <c r="Q603" s="1">
        <f>(O603-P603)/O603</f>
        <v>4.2478020419286631E-2</v>
      </c>
      <c r="R603" s="1"/>
      <c r="S603" s="1"/>
    </row>
    <row r="604" spans="1:19" x14ac:dyDescent="0.3">
      <c r="A604" s="2">
        <v>410</v>
      </c>
      <c r="B604" s="3" t="s">
        <v>57</v>
      </c>
      <c r="C604" s="3" t="s">
        <v>162</v>
      </c>
      <c r="D604" s="3" t="s">
        <v>14</v>
      </c>
      <c r="E604" s="3" t="s">
        <v>21</v>
      </c>
      <c r="F604" s="3">
        <f>IF(D604="Urban",1,0)</f>
        <v>0</v>
      </c>
      <c r="G604" s="3">
        <v>3441</v>
      </c>
      <c r="H604" s="3">
        <v>2</v>
      </c>
      <c r="I604" s="3">
        <v>67381</v>
      </c>
      <c r="J604" s="3">
        <f>IF(E604="Cold",1,0)</f>
        <v>0</v>
      </c>
      <c r="K604" s="3">
        <f>IF(E604="Hot",1,0)</f>
        <v>1</v>
      </c>
      <c r="L604" s="3">
        <v>2235</v>
      </c>
      <c r="M604" s="3">
        <v>42</v>
      </c>
      <c r="N604" s="4">
        <v>45368</v>
      </c>
      <c r="O604" s="10">
        <v>336747.45449999999</v>
      </c>
      <c r="P604" s="1">
        <f>$C$3+F604*$C$4+H604*$C$6+J604*$C$8+K604*$C$9+L604*$C$10+M604*$C$11</f>
        <v>322470.02106408164</v>
      </c>
      <c r="Q604" s="1">
        <f>(O604-P604)/O604</f>
        <v>4.2398044128105966E-2</v>
      </c>
      <c r="R604" s="1"/>
      <c r="S604" s="1"/>
    </row>
    <row r="605" spans="1:19" x14ac:dyDescent="0.3">
      <c r="A605" s="2">
        <v>658</v>
      </c>
      <c r="B605" s="3" t="s">
        <v>33</v>
      </c>
      <c r="C605" s="3" t="s">
        <v>34</v>
      </c>
      <c r="D605" s="3" t="s">
        <v>18</v>
      </c>
      <c r="E605" s="3" t="s">
        <v>15</v>
      </c>
      <c r="F605" s="3">
        <f>IF(D605="Urban",1,0)</f>
        <v>1</v>
      </c>
      <c r="G605" s="3">
        <v>18202</v>
      </c>
      <c r="H605" s="3">
        <v>6</v>
      </c>
      <c r="I605" s="3">
        <v>53485</v>
      </c>
      <c r="J605" s="3">
        <f>IF(E605="Cold",1,0)</f>
        <v>1</v>
      </c>
      <c r="K605" s="3">
        <f>IF(E605="Hot",1,0)</f>
        <v>0</v>
      </c>
      <c r="L605" s="3">
        <v>2018</v>
      </c>
      <c r="M605" s="3">
        <v>79</v>
      </c>
      <c r="N605" s="4">
        <v>44191</v>
      </c>
      <c r="O605" s="10">
        <v>365709.40039999998</v>
      </c>
      <c r="P605" s="1">
        <f>$C$3+F605*$C$4+H605*$C$6+J605*$C$8+K605*$C$9+L605*$C$10+M605*$C$11</f>
        <v>350239.86989393336</v>
      </c>
      <c r="Q605" s="1">
        <f>(O605-P605)/O605</f>
        <v>4.2300062533658159E-2</v>
      </c>
      <c r="R605" s="1"/>
      <c r="S605" s="1"/>
    </row>
    <row r="606" spans="1:19" x14ac:dyDescent="0.3">
      <c r="A606" s="2">
        <v>799</v>
      </c>
      <c r="B606" s="3" t="s">
        <v>57</v>
      </c>
      <c r="C606" s="3" t="s">
        <v>116</v>
      </c>
      <c r="D606" s="3" t="s">
        <v>18</v>
      </c>
      <c r="E606" s="3" t="s">
        <v>21</v>
      </c>
      <c r="F606" s="3">
        <f>IF(D606="Urban",1,0)</f>
        <v>1</v>
      </c>
      <c r="G606" s="3">
        <v>23694</v>
      </c>
      <c r="H606" s="3">
        <v>6</v>
      </c>
      <c r="I606" s="3">
        <v>66029</v>
      </c>
      <c r="J606" s="3">
        <f>IF(E606="Cold",1,0)</f>
        <v>0</v>
      </c>
      <c r="K606" s="3">
        <f>IF(E606="Hot",1,0)</f>
        <v>1</v>
      </c>
      <c r="L606" s="3">
        <v>2888</v>
      </c>
      <c r="M606" s="3">
        <v>60</v>
      </c>
      <c r="N606" s="4">
        <v>45123</v>
      </c>
      <c r="O606" s="10">
        <v>398833.5514</v>
      </c>
      <c r="P606" s="1">
        <f>$C$3+F606*$C$4+H606*$C$6+J606*$C$8+K606*$C$9+L606*$C$10+M606*$C$11</f>
        <v>381967.95497544482</v>
      </c>
      <c r="Q606" s="1">
        <f>(O606-P606)/O606</f>
        <v>4.2287305983543626E-2</v>
      </c>
      <c r="R606" s="1"/>
      <c r="S606" s="1"/>
    </row>
    <row r="607" spans="1:19" x14ac:dyDescent="0.3">
      <c r="A607" s="2">
        <v>956</v>
      </c>
      <c r="B607" s="3" t="s">
        <v>24</v>
      </c>
      <c r="C607" s="3" t="s">
        <v>39</v>
      </c>
      <c r="D607" s="3" t="s">
        <v>18</v>
      </c>
      <c r="E607" s="3" t="s">
        <v>21</v>
      </c>
      <c r="F607" s="3">
        <f>IF(D607="Urban",1,0)</f>
        <v>1</v>
      </c>
      <c r="G607" s="3">
        <v>3206</v>
      </c>
      <c r="H607" s="3">
        <v>4</v>
      </c>
      <c r="I607" s="3">
        <v>60917</v>
      </c>
      <c r="J607" s="3">
        <f>IF(E607="Cold",1,0)</f>
        <v>0</v>
      </c>
      <c r="K607" s="3">
        <f>IF(E607="Hot",1,0)</f>
        <v>1</v>
      </c>
      <c r="L607" s="3">
        <v>2619</v>
      </c>
      <c r="M607" s="3">
        <v>26</v>
      </c>
      <c r="N607" s="4">
        <v>45438</v>
      </c>
      <c r="O607" s="10">
        <v>384251.24829999998</v>
      </c>
      <c r="P607" s="1">
        <f>$C$3+F607*$C$4+H607*$C$6+J607*$C$8+K607*$C$9+L607*$C$10+M607*$C$11</f>
        <v>368019.88253708405</v>
      </c>
      <c r="Q607" s="1">
        <f>(O607-P607)/O607</f>
        <v>4.224154335145703E-2</v>
      </c>
      <c r="R607" s="1"/>
      <c r="S607" s="1"/>
    </row>
    <row r="608" spans="1:19" x14ac:dyDescent="0.3">
      <c r="A608" s="2">
        <v>914</v>
      </c>
      <c r="B608" s="3" t="s">
        <v>31</v>
      </c>
      <c r="C608" s="3" t="s">
        <v>185</v>
      </c>
      <c r="D608" s="3" t="s">
        <v>18</v>
      </c>
      <c r="E608" s="3" t="s">
        <v>15</v>
      </c>
      <c r="F608" s="3">
        <f>IF(D608="Urban",1,0)</f>
        <v>1</v>
      </c>
      <c r="G608" s="3">
        <v>14735</v>
      </c>
      <c r="H608" s="3">
        <v>1</v>
      </c>
      <c r="I608" s="3">
        <v>62219</v>
      </c>
      <c r="J608" s="3">
        <f>IF(E608="Cold",1,0)</f>
        <v>1</v>
      </c>
      <c r="K608" s="3">
        <f>IF(E608="Hot",1,0)</f>
        <v>0</v>
      </c>
      <c r="L608" s="3">
        <v>2024</v>
      </c>
      <c r="M608" s="3">
        <v>54</v>
      </c>
      <c r="N608" s="4">
        <v>45217</v>
      </c>
      <c r="O608" s="10">
        <v>362717.45069999999</v>
      </c>
      <c r="P608" s="1">
        <f>$C$3+F608*$C$4+H608*$C$6+J608*$C$8+K608*$C$9+L608*$C$10+M608*$C$11</f>
        <v>347404.34965120343</v>
      </c>
      <c r="Q608" s="1">
        <f>(O608-P608)/O608</f>
        <v>4.2217712490105329E-2</v>
      </c>
      <c r="R608" s="1"/>
      <c r="S608" s="1"/>
    </row>
    <row r="609" spans="1:19" x14ac:dyDescent="0.3">
      <c r="A609" s="2">
        <v>191</v>
      </c>
      <c r="B609" s="3" t="s">
        <v>74</v>
      </c>
      <c r="C609" s="3" t="s">
        <v>153</v>
      </c>
      <c r="D609" s="3" t="s">
        <v>14</v>
      </c>
      <c r="E609" s="3" t="s">
        <v>15</v>
      </c>
      <c r="F609" s="3">
        <f>IF(D609="Urban",1,0)</f>
        <v>0</v>
      </c>
      <c r="G609" s="3">
        <v>2084</v>
      </c>
      <c r="H609" s="3">
        <v>8</v>
      </c>
      <c r="I609" s="3">
        <v>55868</v>
      </c>
      <c r="J609" s="3">
        <f>IF(E609="Cold",1,0)</f>
        <v>1</v>
      </c>
      <c r="K609" s="3">
        <f>IF(E609="Hot",1,0)</f>
        <v>0</v>
      </c>
      <c r="L609" s="3">
        <v>1502</v>
      </c>
      <c r="M609" s="3">
        <v>51</v>
      </c>
      <c r="N609" s="4">
        <v>45485</v>
      </c>
      <c r="O609" s="10">
        <v>297205.92420000001</v>
      </c>
      <c r="P609" s="1">
        <f>$C$3+F609*$C$4+H609*$C$6+J609*$C$8+K609*$C$9+L609*$C$10+M609*$C$11</f>
        <v>284693.16567263048</v>
      </c>
      <c r="Q609" s="1">
        <f>(O609-P609)/O609</f>
        <v>4.2101309255697293E-2</v>
      </c>
      <c r="R609" s="1"/>
      <c r="S609" s="1"/>
    </row>
    <row r="610" spans="1:19" x14ac:dyDescent="0.3">
      <c r="A610" s="2">
        <v>942</v>
      </c>
      <c r="B610" s="3" t="s">
        <v>26</v>
      </c>
      <c r="C610" s="3" t="s">
        <v>48</v>
      </c>
      <c r="D610" s="3" t="s">
        <v>18</v>
      </c>
      <c r="E610" s="3" t="s">
        <v>23</v>
      </c>
      <c r="F610" s="3">
        <f>IF(D610="Urban",1,0)</f>
        <v>1</v>
      </c>
      <c r="G610" s="3">
        <v>9346</v>
      </c>
      <c r="H610" s="3">
        <v>5</v>
      </c>
      <c r="I610" s="3">
        <v>99671</v>
      </c>
      <c r="J610" s="3">
        <f>IF(E610="Cold",1,0)</f>
        <v>0</v>
      </c>
      <c r="K610" s="3">
        <f>IF(E610="Hot",1,0)</f>
        <v>0</v>
      </c>
      <c r="L610" s="3">
        <v>2160</v>
      </c>
      <c r="M610" s="3">
        <v>44</v>
      </c>
      <c r="N610" s="4">
        <v>44289</v>
      </c>
      <c r="O610" s="10">
        <v>378068.67719999998</v>
      </c>
      <c r="P610" s="1">
        <f>$C$3+F610*$C$4+H610*$C$6+J610*$C$8+K610*$C$9+L610*$C$10+M610*$C$11</f>
        <v>362173.32785378571</v>
      </c>
      <c r="Q610" s="1">
        <f>(O610-P610)/O610</f>
        <v>4.2043550034179519E-2</v>
      </c>
      <c r="R610" s="1"/>
      <c r="S610" s="1"/>
    </row>
    <row r="611" spans="1:19" x14ac:dyDescent="0.3">
      <c r="A611" s="2">
        <v>554</v>
      </c>
      <c r="B611" s="3" t="s">
        <v>31</v>
      </c>
      <c r="C611" s="3" t="s">
        <v>146</v>
      </c>
      <c r="D611" s="3" t="s">
        <v>14</v>
      </c>
      <c r="E611" s="3" t="s">
        <v>21</v>
      </c>
      <c r="F611" s="3">
        <f>IF(D611="Urban",1,0)</f>
        <v>0</v>
      </c>
      <c r="G611" s="3">
        <v>12618</v>
      </c>
      <c r="H611" s="3">
        <v>6</v>
      </c>
      <c r="I611" s="3">
        <v>90350</v>
      </c>
      <c r="J611" s="3">
        <f>IF(E611="Cold",1,0)</f>
        <v>0</v>
      </c>
      <c r="K611" s="3">
        <f>IF(E611="Hot",1,0)</f>
        <v>1</v>
      </c>
      <c r="L611" s="3">
        <v>2318</v>
      </c>
      <c r="M611" s="3">
        <v>33</v>
      </c>
      <c r="N611" s="4">
        <v>44809</v>
      </c>
      <c r="O611" s="10">
        <v>331388.69900000002</v>
      </c>
      <c r="P611" s="1">
        <f>$C$3+F611*$C$4+H611*$C$6+J611*$C$8+K611*$C$9+L611*$C$10+M611*$C$11</f>
        <v>317551.9953586937</v>
      </c>
      <c r="Q611" s="1">
        <f>(O611-P611)/O611</f>
        <v>4.175369794763676E-2</v>
      </c>
      <c r="R611" s="1"/>
      <c r="S611" s="1"/>
    </row>
    <row r="612" spans="1:19" x14ac:dyDescent="0.3">
      <c r="A612" s="2">
        <v>201</v>
      </c>
      <c r="B612" s="3" t="s">
        <v>40</v>
      </c>
      <c r="C612" s="3" t="s">
        <v>42</v>
      </c>
      <c r="D612" s="3" t="s">
        <v>14</v>
      </c>
      <c r="E612" s="3" t="s">
        <v>23</v>
      </c>
      <c r="F612" s="3">
        <f>IF(D612="Urban",1,0)</f>
        <v>0</v>
      </c>
      <c r="G612" s="3">
        <v>29556</v>
      </c>
      <c r="H612" s="3">
        <v>3</v>
      </c>
      <c r="I612" s="3">
        <v>59084</v>
      </c>
      <c r="J612" s="3">
        <f>IF(E612="Cold",1,0)</f>
        <v>0</v>
      </c>
      <c r="K612" s="3">
        <f>IF(E612="Hot",1,0)</f>
        <v>0</v>
      </c>
      <c r="L612" s="3">
        <v>2525</v>
      </c>
      <c r="M612" s="3">
        <v>68</v>
      </c>
      <c r="N612" s="4">
        <v>44580</v>
      </c>
      <c r="O612" s="10">
        <v>348555.10690000001</v>
      </c>
      <c r="P612" s="1">
        <f>$C$3+F612*$C$4+H612*$C$6+J612*$C$8+K612*$C$9+L612*$C$10+M612*$C$11</f>
        <v>334037.13760446495</v>
      </c>
      <c r="Q612" s="1">
        <f>(O612-P612)/O612</f>
        <v>4.1651862239678067E-2</v>
      </c>
      <c r="R612" s="1"/>
      <c r="S612" s="1"/>
    </row>
    <row r="613" spans="1:19" x14ac:dyDescent="0.3">
      <c r="A613" s="2">
        <v>729</v>
      </c>
      <c r="B613" s="3" t="s">
        <v>24</v>
      </c>
      <c r="C613" s="3" t="s">
        <v>100</v>
      </c>
      <c r="D613" s="3" t="s">
        <v>14</v>
      </c>
      <c r="E613" s="3" t="s">
        <v>21</v>
      </c>
      <c r="F613" s="3">
        <f>IF(D613="Urban",1,0)</f>
        <v>0</v>
      </c>
      <c r="G613" s="3">
        <v>8309</v>
      </c>
      <c r="H613" s="3">
        <v>7</v>
      </c>
      <c r="I613" s="3">
        <v>71296</v>
      </c>
      <c r="J613" s="3">
        <f>IF(E613="Cold",1,0)</f>
        <v>0</v>
      </c>
      <c r="K613" s="3">
        <f>IF(E613="Hot",1,0)</f>
        <v>1</v>
      </c>
      <c r="L613" s="3">
        <v>2990</v>
      </c>
      <c r="M613" s="3">
        <v>97</v>
      </c>
      <c r="N613" s="4">
        <v>43870</v>
      </c>
      <c r="O613" s="10">
        <v>364934.26939999999</v>
      </c>
      <c r="P613" s="1">
        <f>$C$3+F613*$C$4+H613*$C$6+J613*$C$8+K613*$C$9+L613*$C$10+M613*$C$11</f>
        <v>349739.75785904704</v>
      </c>
      <c r="Q613" s="1">
        <f>(O613-P613)/O613</f>
        <v>4.163629676635941E-2</v>
      </c>
      <c r="R613" s="1"/>
      <c r="S613" s="1"/>
    </row>
    <row r="614" spans="1:19" x14ac:dyDescent="0.3">
      <c r="A614" s="2">
        <v>175</v>
      </c>
      <c r="B614" s="3" t="s">
        <v>53</v>
      </c>
      <c r="C614" s="3" t="s">
        <v>141</v>
      </c>
      <c r="D614" s="3" t="s">
        <v>18</v>
      </c>
      <c r="E614" s="3" t="s">
        <v>23</v>
      </c>
      <c r="F614" s="3">
        <f>IF(D614="Urban",1,0)</f>
        <v>1</v>
      </c>
      <c r="G614" s="3">
        <v>13601</v>
      </c>
      <c r="H614" s="3">
        <v>5</v>
      </c>
      <c r="I614" s="3">
        <v>82420</v>
      </c>
      <c r="J614" s="3">
        <f>IF(E614="Cold",1,0)</f>
        <v>0</v>
      </c>
      <c r="K614" s="3">
        <f>IF(E614="Hot",1,0)</f>
        <v>0</v>
      </c>
      <c r="L614" s="3">
        <v>1824</v>
      </c>
      <c r="M614" s="3">
        <v>85</v>
      </c>
      <c r="N614" s="4">
        <v>44197</v>
      </c>
      <c r="O614" s="10">
        <v>384037.30410000001</v>
      </c>
      <c r="P614" s="1">
        <f>$C$3+F614*$C$4+H614*$C$6+J614*$C$8+K614*$C$9+L614*$C$10+M614*$C$11</f>
        <v>368105.19016670249</v>
      </c>
      <c r="Q614" s="1">
        <f>(O614-P614)/O614</f>
        <v>4.1485849846370472E-2</v>
      </c>
      <c r="R614" s="1"/>
      <c r="S614" s="1"/>
    </row>
    <row r="615" spans="1:19" x14ac:dyDescent="0.3">
      <c r="A615" s="2">
        <v>208</v>
      </c>
      <c r="B615" s="3" t="s">
        <v>33</v>
      </c>
      <c r="C615" s="3" t="s">
        <v>34</v>
      </c>
      <c r="D615" s="3" t="s">
        <v>18</v>
      </c>
      <c r="E615" s="3" t="s">
        <v>21</v>
      </c>
      <c r="F615" s="3">
        <f>IF(D615="Urban",1,0)</f>
        <v>1</v>
      </c>
      <c r="G615" s="3">
        <v>28781</v>
      </c>
      <c r="H615" s="3">
        <v>6</v>
      </c>
      <c r="I615" s="3">
        <v>54553</v>
      </c>
      <c r="J615" s="3">
        <f>IF(E615="Cold",1,0)</f>
        <v>0</v>
      </c>
      <c r="K615" s="3">
        <f>IF(E615="Hot",1,0)</f>
        <v>1</v>
      </c>
      <c r="L615" s="3">
        <v>1837</v>
      </c>
      <c r="M615" s="3">
        <v>71</v>
      </c>
      <c r="N615" s="4">
        <v>45324</v>
      </c>
      <c r="O615" s="10">
        <v>380110.6556</v>
      </c>
      <c r="P615" s="1">
        <f>$C$3+F615*$C$4+H615*$C$6+J615*$C$8+K615*$C$9+L615*$C$10+M615*$C$11</f>
        <v>364383.62506755447</v>
      </c>
      <c r="Q615" s="1">
        <f>(O615-P615)/O615</f>
        <v>4.1374874134008692E-2</v>
      </c>
      <c r="R615" s="1"/>
      <c r="S615" s="1"/>
    </row>
    <row r="616" spans="1:19" x14ac:dyDescent="0.3">
      <c r="A616" s="2">
        <v>622</v>
      </c>
      <c r="B616" s="3" t="s">
        <v>57</v>
      </c>
      <c r="C616" s="3" t="s">
        <v>78</v>
      </c>
      <c r="D616" s="3" t="s">
        <v>18</v>
      </c>
      <c r="E616" s="3" t="s">
        <v>15</v>
      </c>
      <c r="F616" s="3">
        <f>IF(D616="Urban",1,0)</f>
        <v>1</v>
      </c>
      <c r="G616" s="3">
        <v>21571</v>
      </c>
      <c r="H616" s="3">
        <v>6</v>
      </c>
      <c r="I616" s="3">
        <v>65328</v>
      </c>
      <c r="J616" s="3">
        <f>IF(E616="Cold",1,0)</f>
        <v>1</v>
      </c>
      <c r="K616" s="3">
        <f>IF(E616="Hot",1,0)</f>
        <v>0</v>
      </c>
      <c r="L616" s="3">
        <v>2704</v>
      </c>
      <c r="M616" s="3">
        <v>72</v>
      </c>
      <c r="N616" s="4">
        <v>44665</v>
      </c>
      <c r="O616" s="10">
        <v>377324.26760000002</v>
      </c>
      <c r="P616" s="1">
        <f>$C$3+F616*$C$4+H616*$C$6+J616*$C$8+K616*$C$9+L616*$C$10+M616*$C$11</f>
        <v>361772.79643342074</v>
      </c>
      <c r="Q616" s="1">
        <f>(O616-P616)/O616</f>
        <v>4.1215136427602744E-2</v>
      </c>
      <c r="R616" s="1"/>
      <c r="S616" s="1"/>
    </row>
    <row r="617" spans="1:19" x14ac:dyDescent="0.3">
      <c r="A617" s="2">
        <v>385</v>
      </c>
      <c r="B617" s="3" t="s">
        <v>74</v>
      </c>
      <c r="C617" s="3" t="s">
        <v>89</v>
      </c>
      <c r="D617" s="3" t="s">
        <v>18</v>
      </c>
      <c r="E617" s="3" t="s">
        <v>21</v>
      </c>
      <c r="F617" s="3">
        <f>IF(D617="Urban",1,0)</f>
        <v>1</v>
      </c>
      <c r="G617" s="3">
        <v>4537</v>
      </c>
      <c r="H617" s="3">
        <v>3</v>
      </c>
      <c r="I617" s="3">
        <v>71508</v>
      </c>
      <c r="J617" s="3">
        <f>IF(E617="Cold",1,0)</f>
        <v>0</v>
      </c>
      <c r="K617" s="3">
        <f>IF(E617="Hot",1,0)</f>
        <v>1</v>
      </c>
      <c r="L617" s="3">
        <v>2005</v>
      </c>
      <c r="M617" s="3">
        <v>58</v>
      </c>
      <c r="N617" s="4">
        <v>43936</v>
      </c>
      <c r="O617" s="10">
        <v>382213.96919999999</v>
      </c>
      <c r="P617" s="1">
        <f>$C$3+F617*$C$4+H617*$C$6+J617*$C$8+K617*$C$9+L617*$C$10+M617*$C$11</f>
        <v>366579.7121197253</v>
      </c>
      <c r="Q617" s="1">
        <f>(O617-P617)/O617</f>
        <v>4.0904462788208036E-2</v>
      </c>
      <c r="R617" s="1"/>
      <c r="S617" s="1"/>
    </row>
    <row r="618" spans="1:19" x14ac:dyDescent="0.3">
      <c r="A618" s="2">
        <v>857</v>
      </c>
      <c r="B618" s="3" t="s">
        <v>72</v>
      </c>
      <c r="C618" s="3" t="s">
        <v>167</v>
      </c>
      <c r="D618" s="3" t="s">
        <v>14</v>
      </c>
      <c r="E618" s="3" t="s">
        <v>23</v>
      </c>
      <c r="F618" s="3">
        <f>IF(D618="Urban",1,0)</f>
        <v>0</v>
      </c>
      <c r="G618" s="3">
        <v>6759</v>
      </c>
      <c r="H618" s="3">
        <v>9</v>
      </c>
      <c r="I618" s="3">
        <v>95495</v>
      </c>
      <c r="J618" s="3">
        <f>IF(E618="Cold",1,0)</f>
        <v>0</v>
      </c>
      <c r="K618" s="3">
        <f>IF(E618="Hot",1,0)</f>
        <v>0</v>
      </c>
      <c r="L618" s="3">
        <v>2211</v>
      </c>
      <c r="M618" s="3">
        <v>62</v>
      </c>
      <c r="N618" s="4">
        <v>45408</v>
      </c>
      <c r="O618" s="10">
        <v>333871.70899999997</v>
      </c>
      <c r="P618" s="1">
        <f>$C$3+F618*$C$4+H618*$C$6+J618*$C$8+K618*$C$9+L618*$C$10+M618*$C$11</f>
        <v>320220.6575673651</v>
      </c>
      <c r="Q618" s="1">
        <f>(O618-P618)/O618</f>
        <v>4.0887116412235094E-2</v>
      </c>
      <c r="R618" s="1"/>
      <c r="S618" s="1"/>
    </row>
    <row r="619" spans="1:19" x14ac:dyDescent="0.3">
      <c r="A619" s="2">
        <v>771</v>
      </c>
      <c r="B619" s="3" t="s">
        <v>31</v>
      </c>
      <c r="C619" s="3" t="s">
        <v>63</v>
      </c>
      <c r="D619" s="3" t="s">
        <v>14</v>
      </c>
      <c r="E619" s="3" t="s">
        <v>15</v>
      </c>
      <c r="F619" s="3">
        <f>IF(D619="Urban",1,0)</f>
        <v>0</v>
      </c>
      <c r="G619" s="3">
        <v>2872</v>
      </c>
      <c r="H619" s="3">
        <v>2</v>
      </c>
      <c r="I619" s="3">
        <v>54377</v>
      </c>
      <c r="J619" s="3">
        <f>IF(E619="Cold",1,0)</f>
        <v>1</v>
      </c>
      <c r="K619" s="3">
        <f>IF(E619="Hot",1,0)</f>
        <v>0</v>
      </c>
      <c r="L619" s="3">
        <v>2549</v>
      </c>
      <c r="M619" s="3">
        <v>70</v>
      </c>
      <c r="N619" s="4">
        <v>45261</v>
      </c>
      <c r="O619" s="10">
        <v>330593.13410000002</v>
      </c>
      <c r="P619" s="1">
        <f>$C$3+F619*$C$4+H619*$C$6+J619*$C$8+K619*$C$9+L619*$C$10+M619*$C$11</f>
        <v>317145.1542861975</v>
      </c>
      <c r="Q619" s="1">
        <f>(O619-P619)/O619</f>
        <v>4.0678339707244757E-2</v>
      </c>
      <c r="R619" s="1"/>
      <c r="S619" s="1"/>
    </row>
    <row r="620" spans="1:19" x14ac:dyDescent="0.3">
      <c r="A620" s="2">
        <v>230</v>
      </c>
      <c r="B620" s="3" t="s">
        <v>37</v>
      </c>
      <c r="C620" s="3" t="s">
        <v>118</v>
      </c>
      <c r="D620" s="3" t="s">
        <v>14</v>
      </c>
      <c r="E620" s="3" t="s">
        <v>21</v>
      </c>
      <c r="F620" s="3">
        <f>IF(D620="Urban",1,0)</f>
        <v>0</v>
      </c>
      <c r="G620" s="3">
        <v>3349</v>
      </c>
      <c r="H620" s="3">
        <v>3</v>
      </c>
      <c r="I620" s="3">
        <v>74857</v>
      </c>
      <c r="J620" s="3">
        <f>IF(E620="Cold",1,0)</f>
        <v>0</v>
      </c>
      <c r="K620" s="3">
        <f>IF(E620="Hot",1,0)</f>
        <v>1</v>
      </c>
      <c r="L620" s="3">
        <v>2519</v>
      </c>
      <c r="M620" s="3">
        <v>22</v>
      </c>
      <c r="N620" s="4">
        <v>44043</v>
      </c>
      <c r="O620" s="10">
        <v>334609.76980000001</v>
      </c>
      <c r="P620" s="1">
        <f>$C$3+F620*$C$4+H620*$C$6+J620*$C$8+K620*$C$9+L620*$C$10+M620*$C$11</f>
        <v>321023.1251488977</v>
      </c>
      <c r="Q620" s="1">
        <f>(O620-P620)/O620</f>
        <v>4.060444696287021E-2</v>
      </c>
      <c r="R620" s="1"/>
      <c r="S620" s="1"/>
    </row>
    <row r="621" spans="1:19" x14ac:dyDescent="0.3">
      <c r="A621" s="2">
        <v>973</v>
      </c>
      <c r="B621" s="3" t="s">
        <v>122</v>
      </c>
      <c r="C621" s="3" t="s">
        <v>138</v>
      </c>
      <c r="D621" s="3" t="s">
        <v>18</v>
      </c>
      <c r="E621" s="3" t="s">
        <v>21</v>
      </c>
      <c r="F621" s="3">
        <f>IF(D621="Urban",1,0)</f>
        <v>1</v>
      </c>
      <c r="G621" s="3">
        <v>26345</v>
      </c>
      <c r="H621" s="3">
        <v>8</v>
      </c>
      <c r="I621" s="3">
        <v>63903</v>
      </c>
      <c r="J621" s="3">
        <f>IF(E621="Cold",1,0)</f>
        <v>0</v>
      </c>
      <c r="K621" s="3">
        <f>IF(E621="Hot",1,0)</f>
        <v>1</v>
      </c>
      <c r="L621" s="3">
        <v>2196</v>
      </c>
      <c r="M621" s="3">
        <v>74</v>
      </c>
      <c r="N621" s="4">
        <v>44043</v>
      </c>
      <c r="O621" s="10">
        <v>386255.902</v>
      </c>
      <c r="P621" s="1">
        <f>$C$3+F621*$C$4+H621*$C$6+J621*$C$8+K621*$C$9+L621*$C$10+M621*$C$11</f>
        <v>370572.70105235954</v>
      </c>
      <c r="Q621" s="1">
        <f>(O621-P621)/O621</f>
        <v>4.0603136072314215E-2</v>
      </c>
      <c r="R621" s="1"/>
      <c r="S621" s="1"/>
    </row>
    <row r="622" spans="1:19" x14ac:dyDescent="0.3">
      <c r="A622" s="2">
        <v>808</v>
      </c>
      <c r="B622" s="3" t="s">
        <v>40</v>
      </c>
      <c r="C622" s="3" t="s">
        <v>41</v>
      </c>
      <c r="D622" s="3" t="s">
        <v>18</v>
      </c>
      <c r="E622" s="3" t="s">
        <v>15</v>
      </c>
      <c r="F622" s="3">
        <f>IF(D622="Urban",1,0)</f>
        <v>1</v>
      </c>
      <c r="G622" s="3">
        <v>20633</v>
      </c>
      <c r="H622" s="3">
        <v>2</v>
      </c>
      <c r="I622" s="3">
        <v>50404</v>
      </c>
      <c r="J622" s="3">
        <f>IF(E622="Cold",1,0)</f>
        <v>1</v>
      </c>
      <c r="K622" s="3">
        <f>IF(E622="Hot",1,0)</f>
        <v>0</v>
      </c>
      <c r="L622" s="3">
        <v>1339</v>
      </c>
      <c r="M622" s="3">
        <v>45</v>
      </c>
      <c r="N622" s="4">
        <v>45035</v>
      </c>
      <c r="O622" s="10">
        <v>343953.71870000003</v>
      </c>
      <c r="P622" s="1">
        <f>$C$3+F622*$C$4+H622*$C$6+J622*$C$8+K622*$C$9+L622*$C$10+M622*$C$11</f>
        <v>330009.60198415344</v>
      </c>
      <c r="Q622" s="1">
        <f>(O622-P622)/O622</f>
        <v>4.0540677299694454E-2</v>
      </c>
      <c r="R622" s="1"/>
      <c r="S622" s="1"/>
    </row>
    <row r="623" spans="1:19" x14ac:dyDescent="0.3">
      <c r="A623" s="2">
        <v>78</v>
      </c>
      <c r="B623" s="3" t="s">
        <v>12</v>
      </c>
      <c r="C623" s="3" t="s">
        <v>95</v>
      </c>
      <c r="D623" s="3" t="s">
        <v>14</v>
      </c>
      <c r="E623" s="3" t="s">
        <v>23</v>
      </c>
      <c r="F623" s="3">
        <f>IF(D623="Urban",1,0)</f>
        <v>0</v>
      </c>
      <c r="G623" s="3">
        <v>14671</v>
      </c>
      <c r="H623" s="3">
        <v>2</v>
      </c>
      <c r="I623" s="3">
        <v>54325</v>
      </c>
      <c r="J623" s="3">
        <f>IF(E623="Cold",1,0)</f>
        <v>0</v>
      </c>
      <c r="K623" s="3">
        <f>IF(E623="Hot",1,0)</f>
        <v>0</v>
      </c>
      <c r="L623" s="3">
        <v>1581</v>
      </c>
      <c r="M623" s="3">
        <v>34</v>
      </c>
      <c r="N623" s="4">
        <v>44741</v>
      </c>
      <c r="O623" s="10">
        <v>318567.10359999997</v>
      </c>
      <c r="P623" s="1">
        <f>$C$3+F623*$C$4+H623*$C$6+J623*$C$8+K623*$C$9+L623*$C$10+M623*$C$11</f>
        <v>305667.95830057713</v>
      </c>
      <c r="Q623" s="1">
        <f>(O623-P623)/O623</f>
        <v>4.0491140339522634E-2</v>
      </c>
      <c r="R623" s="1"/>
      <c r="S623" s="1"/>
    </row>
    <row r="624" spans="1:19" x14ac:dyDescent="0.3">
      <c r="A624" s="2">
        <v>498</v>
      </c>
      <c r="B624" s="3" t="s">
        <v>29</v>
      </c>
      <c r="C624" s="3" t="s">
        <v>83</v>
      </c>
      <c r="D624" s="3" t="s">
        <v>14</v>
      </c>
      <c r="E624" s="3" t="s">
        <v>21</v>
      </c>
      <c r="F624" s="3">
        <f>IF(D624="Urban",1,0)</f>
        <v>0</v>
      </c>
      <c r="G624" s="3">
        <v>9361</v>
      </c>
      <c r="H624" s="3">
        <v>6</v>
      </c>
      <c r="I624" s="3">
        <v>90381</v>
      </c>
      <c r="J624" s="3">
        <f>IF(E624="Cold",1,0)</f>
        <v>0</v>
      </c>
      <c r="K624" s="3">
        <f>IF(E624="Hot",1,0)</f>
        <v>1</v>
      </c>
      <c r="L624" s="3">
        <v>2587</v>
      </c>
      <c r="M624" s="3">
        <v>65</v>
      </c>
      <c r="N624" s="4">
        <v>44474</v>
      </c>
      <c r="O624" s="10">
        <v>346696.5295</v>
      </c>
      <c r="P624" s="1">
        <f>$C$3+F624*$C$4+H624*$C$6+J624*$C$8+K624*$C$9+L624*$C$10+M624*$C$11</f>
        <v>332783.80304027</v>
      </c>
      <c r="Q624" s="1">
        <f>(O624-P624)/O624</f>
        <v>4.0129407928584437E-2</v>
      </c>
      <c r="R624" s="1"/>
      <c r="S624" s="1"/>
    </row>
    <row r="625" spans="1:19" x14ac:dyDescent="0.3">
      <c r="A625" s="2">
        <v>557</v>
      </c>
      <c r="B625" s="3" t="s">
        <v>53</v>
      </c>
      <c r="C625" s="3" t="s">
        <v>212</v>
      </c>
      <c r="D625" s="3" t="s">
        <v>18</v>
      </c>
      <c r="E625" s="3" t="s">
        <v>21</v>
      </c>
      <c r="F625" s="3">
        <f>IF(D625="Urban",1,0)</f>
        <v>1</v>
      </c>
      <c r="G625" s="3">
        <v>16975</v>
      </c>
      <c r="H625" s="3">
        <v>1</v>
      </c>
      <c r="I625" s="3">
        <v>75436</v>
      </c>
      <c r="J625" s="3">
        <f>IF(E625="Cold",1,0)</f>
        <v>0</v>
      </c>
      <c r="K625" s="3">
        <f>IF(E625="Hot",1,0)</f>
        <v>1</v>
      </c>
      <c r="L625" s="3">
        <v>2933</v>
      </c>
      <c r="M625" s="3">
        <v>52</v>
      </c>
      <c r="N625" s="4">
        <v>44002</v>
      </c>
      <c r="O625" s="10">
        <v>401214.09820000001</v>
      </c>
      <c r="P625" s="1">
        <f>$C$3+F625*$C$4+H625*$C$6+J625*$C$8+K625*$C$9+L625*$C$10+M625*$C$11</f>
        <v>385150.67026599863</v>
      </c>
      <c r="Q625" s="1">
        <f>(O625-P625)/O625</f>
        <v>4.0037047566543797E-2</v>
      </c>
      <c r="R625" s="1"/>
      <c r="S625" s="1"/>
    </row>
    <row r="626" spans="1:19" x14ac:dyDescent="0.3">
      <c r="A626" s="2">
        <v>447</v>
      </c>
      <c r="B626" s="3" t="s">
        <v>37</v>
      </c>
      <c r="C626" s="3" t="s">
        <v>202</v>
      </c>
      <c r="D626" s="3" t="s">
        <v>14</v>
      </c>
      <c r="E626" s="3" t="s">
        <v>23</v>
      </c>
      <c r="F626" s="3">
        <f>IF(D626="Urban",1,0)</f>
        <v>0</v>
      </c>
      <c r="G626" s="3">
        <v>9666</v>
      </c>
      <c r="H626" s="3">
        <v>5</v>
      </c>
      <c r="I626" s="3">
        <v>86861</v>
      </c>
      <c r="J626" s="3">
        <f>IF(E626="Cold",1,0)</f>
        <v>0</v>
      </c>
      <c r="K626" s="3">
        <f>IF(E626="Hot",1,0)</f>
        <v>0</v>
      </c>
      <c r="L626" s="3">
        <v>2598</v>
      </c>
      <c r="M626" s="3">
        <v>61</v>
      </c>
      <c r="N626" s="4">
        <v>44290</v>
      </c>
      <c r="O626" s="10">
        <v>345106.1925</v>
      </c>
      <c r="P626" s="1">
        <f>$C$3+F626*$C$4+H626*$C$6+J626*$C$8+K626*$C$9+L626*$C$10+M626*$C$11</f>
        <v>331436.19676643395</v>
      </c>
      <c r="Q626" s="1">
        <f>(O626-P626)/O626</f>
        <v>3.9610983606346205E-2</v>
      </c>
      <c r="R626" s="1"/>
      <c r="S626" s="1"/>
    </row>
    <row r="627" spans="1:19" x14ac:dyDescent="0.3">
      <c r="A627" s="2">
        <v>549</v>
      </c>
      <c r="B627" s="3" t="s">
        <v>12</v>
      </c>
      <c r="C627" s="3" t="s">
        <v>76</v>
      </c>
      <c r="D627" s="3" t="s">
        <v>18</v>
      </c>
      <c r="E627" s="3" t="s">
        <v>15</v>
      </c>
      <c r="F627" s="3">
        <f>IF(D627="Urban",1,0)</f>
        <v>1</v>
      </c>
      <c r="G627" s="3">
        <v>7873</v>
      </c>
      <c r="H627" s="3">
        <v>0</v>
      </c>
      <c r="I627" s="3">
        <v>91494</v>
      </c>
      <c r="J627" s="3">
        <f>IF(E627="Cold",1,0)</f>
        <v>1</v>
      </c>
      <c r="K627" s="3">
        <f>IF(E627="Hot",1,0)</f>
        <v>0</v>
      </c>
      <c r="L627" s="3">
        <v>2908</v>
      </c>
      <c r="M627" s="3">
        <v>96</v>
      </c>
      <c r="N627" s="4">
        <v>44271</v>
      </c>
      <c r="O627" s="10">
        <v>394543.54639999999</v>
      </c>
      <c r="P627" s="1">
        <f>$C$3+F627*$C$4+H627*$C$6+J627*$C$8+K627*$C$9+L627*$C$10+M627*$C$11</f>
        <v>378942.14148474752</v>
      </c>
      <c r="Q627" s="1">
        <f>(O627-P627)/O627</f>
        <v>3.9542922593987381E-2</v>
      </c>
      <c r="R627" s="1"/>
      <c r="S627" s="1"/>
    </row>
    <row r="628" spans="1:19" x14ac:dyDescent="0.3">
      <c r="A628" s="2">
        <v>126</v>
      </c>
      <c r="B628" s="3" t="s">
        <v>12</v>
      </c>
      <c r="C628" s="3" t="s">
        <v>126</v>
      </c>
      <c r="D628" s="3" t="s">
        <v>14</v>
      </c>
      <c r="E628" s="3" t="s">
        <v>21</v>
      </c>
      <c r="F628" s="3">
        <f>IF(D628="Urban",1,0)</f>
        <v>0</v>
      </c>
      <c r="G628" s="3">
        <v>13182</v>
      </c>
      <c r="H628" s="3">
        <v>8</v>
      </c>
      <c r="I628" s="3">
        <v>99457</v>
      </c>
      <c r="J628" s="3">
        <f>IF(E628="Cold",1,0)</f>
        <v>0</v>
      </c>
      <c r="K628" s="3">
        <f>IF(E628="Hot",1,0)</f>
        <v>1</v>
      </c>
      <c r="L628" s="3">
        <v>1486</v>
      </c>
      <c r="M628" s="3">
        <v>55</v>
      </c>
      <c r="N628" s="4">
        <v>44288</v>
      </c>
      <c r="O628" s="10">
        <v>318369.33419999998</v>
      </c>
      <c r="P628" s="1">
        <f>$C$3+F628*$C$4+H628*$C$6+J628*$C$8+K628*$C$9+L628*$C$10+M628*$C$11</f>
        <v>305828.59460190445</v>
      </c>
      <c r="Q628" s="1">
        <f>(O628-P628)/O628</f>
        <v>3.9390538757785719E-2</v>
      </c>
      <c r="R628" s="1"/>
      <c r="S628" s="1"/>
    </row>
    <row r="629" spans="1:19" x14ac:dyDescent="0.3">
      <c r="A629" s="2">
        <v>379</v>
      </c>
      <c r="B629" s="3" t="s">
        <v>122</v>
      </c>
      <c r="C629" s="3" t="s">
        <v>195</v>
      </c>
      <c r="D629" s="3" t="s">
        <v>18</v>
      </c>
      <c r="E629" s="3" t="s">
        <v>21</v>
      </c>
      <c r="F629" s="3">
        <f>IF(D629="Urban",1,0)</f>
        <v>1</v>
      </c>
      <c r="G629" s="3">
        <v>15634</v>
      </c>
      <c r="H629" s="3">
        <v>2</v>
      </c>
      <c r="I629" s="3">
        <v>93410</v>
      </c>
      <c r="J629" s="3">
        <f>IF(E629="Cold",1,0)</f>
        <v>0</v>
      </c>
      <c r="K629" s="3">
        <f>IF(E629="Hot",1,0)</f>
        <v>1</v>
      </c>
      <c r="L629" s="3">
        <v>2922</v>
      </c>
      <c r="M629" s="3">
        <v>56</v>
      </c>
      <c r="N629" s="4">
        <v>45091</v>
      </c>
      <c r="O629" s="10">
        <v>400913.8872</v>
      </c>
      <c r="P629" s="1">
        <f>$C$3+F629*$C$4+H629*$C$6+J629*$C$8+K629*$C$9+L629*$C$10+M629*$C$11</f>
        <v>385213.96518510557</v>
      </c>
      <c r="Q629" s="1">
        <f>(O629-P629)/O629</f>
        <v>3.9160334715625258E-2</v>
      </c>
      <c r="R629" s="1"/>
      <c r="S629" s="1"/>
    </row>
    <row r="630" spans="1:19" x14ac:dyDescent="0.3">
      <c r="A630" s="2">
        <v>531</v>
      </c>
      <c r="B630" s="3" t="s">
        <v>40</v>
      </c>
      <c r="C630" s="3" t="s">
        <v>210</v>
      </c>
      <c r="D630" s="3" t="s">
        <v>14</v>
      </c>
      <c r="E630" s="3" t="s">
        <v>21</v>
      </c>
      <c r="F630" s="3">
        <f>IF(D630="Urban",1,0)</f>
        <v>0</v>
      </c>
      <c r="G630" s="3">
        <v>16050</v>
      </c>
      <c r="H630" s="3">
        <v>1</v>
      </c>
      <c r="I630" s="3">
        <v>97828</v>
      </c>
      <c r="J630" s="3">
        <f>IF(E630="Cold",1,0)</f>
        <v>0</v>
      </c>
      <c r="K630" s="3">
        <f>IF(E630="Hot",1,0)</f>
        <v>1</v>
      </c>
      <c r="L630" s="3">
        <v>2327</v>
      </c>
      <c r="M630" s="3">
        <v>95</v>
      </c>
      <c r="N630" s="4">
        <v>44158</v>
      </c>
      <c r="O630" s="10">
        <v>355417.31880000001</v>
      </c>
      <c r="P630" s="1">
        <f>$C$3+F630*$C$4+H630*$C$6+J630*$C$8+K630*$C$9+L630*$C$10+M630*$C$11</f>
        <v>341592.35911669029</v>
      </c>
      <c r="Q630" s="1">
        <f>(O630-P630)/O630</f>
        <v>3.8897822227648059E-2</v>
      </c>
      <c r="R630" s="1"/>
      <c r="S630" s="1"/>
    </row>
    <row r="631" spans="1:19" x14ac:dyDescent="0.3">
      <c r="A631" s="2">
        <v>535</v>
      </c>
      <c r="B631" s="3" t="s">
        <v>26</v>
      </c>
      <c r="C631" s="3" t="s">
        <v>93</v>
      </c>
      <c r="D631" s="3" t="s">
        <v>14</v>
      </c>
      <c r="E631" s="3" t="s">
        <v>23</v>
      </c>
      <c r="F631" s="3">
        <f>IF(D631="Urban",1,0)</f>
        <v>0</v>
      </c>
      <c r="G631" s="3">
        <v>1349</v>
      </c>
      <c r="H631" s="3">
        <v>5</v>
      </c>
      <c r="I631" s="3">
        <v>66250</v>
      </c>
      <c r="J631" s="3">
        <f>IF(E631="Cold",1,0)</f>
        <v>0</v>
      </c>
      <c r="K631" s="3">
        <f>IF(E631="Hot",1,0)</f>
        <v>0</v>
      </c>
      <c r="L631" s="3">
        <v>2541</v>
      </c>
      <c r="M631" s="3">
        <v>47</v>
      </c>
      <c r="N631" s="4">
        <v>45362</v>
      </c>
      <c r="O631" s="10">
        <v>339163.53330000001</v>
      </c>
      <c r="P631" s="1">
        <f>$C$3+F631*$C$4+H631*$C$6+J631*$C$8+K631*$C$9+L631*$C$10+M631*$C$11</f>
        <v>325983.42441908247</v>
      </c>
      <c r="Q631" s="1">
        <f>(O631-P631)/O631</f>
        <v>3.8860630895891014E-2</v>
      </c>
      <c r="R631" s="1"/>
      <c r="S631" s="1"/>
    </row>
    <row r="632" spans="1:19" x14ac:dyDescent="0.3">
      <c r="A632" s="2">
        <v>161</v>
      </c>
      <c r="B632" s="3" t="s">
        <v>44</v>
      </c>
      <c r="C632" s="3" t="s">
        <v>144</v>
      </c>
      <c r="D632" s="3" t="s">
        <v>14</v>
      </c>
      <c r="E632" s="3" t="s">
        <v>15</v>
      </c>
      <c r="F632" s="3">
        <f>IF(D632="Urban",1,0)</f>
        <v>0</v>
      </c>
      <c r="G632" s="3">
        <v>11893</v>
      </c>
      <c r="H632" s="3">
        <v>0</v>
      </c>
      <c r="I632" s="3">
        <v>59281</v>
      </c>
      <c r="J632" s="3">
        <f>IF(E632="Cold",1,0)</f>
        <v>1</v>
      </c>
      <c r="K632" s="3">
        <f>IF(E632="Hot",1,0)</f>
        <v>0</v>
      </c>
      <c r="L632" s="3">
        <v>1018</v>
      </c>
      <c r="M632" s="3">
        <v>63</v>
      </c>
      <c r="N632" s="4">
        <v>44347</v>
      </c>
      <c r="O632" s="10">
        <v>297879.27510000003</v>
      </c>
      <c r="P632" s="1">
        <f>$C$3+F632*$C$4+H632*$C$6+J632*$C$8+K632*$C$9+L632*$C$10+M632*$C$11</f>
        <v>286333.4947696809</v>
      </c>
      <c r="Q632" s="1">
        <f>(O632-P632)/O632</f>
        <v>3.875993160800844E-2</v>
      </c>
      <c r="R632" s="1"/>
      <c r="S632" s="1"/>
    </row>
    <row r="633" spans="1:19" x14ac:dyDescent="0.3">
      <c r="A633" s="2">
        <v>125</v>
      </c>
      <c r="B633" s="3" t="s">
        <v>12</v>
      </c>
      <c r="C633" s="3" t="s">
        <v>126</v>
      </c>
      <c r="D633" s="3" t="s">
        <v>14</v>
      </c>
      <c r="E633" s="3" t="s">
        <v>21</v>
      </c>
      <c r="F633" s="3">
        <f>IF(D633="Urban",1,0)</f>
        <v>0</v>
      </c>
      <c r="G633" s="3">
        <v>14453</v>
      </c>
      <c r="H633" s="3">
        <v>9</v>
      </c>
      <c r="I633" s="3">
        <v>51064</v>
      </c>
      <c r="J633" s="3">
        <f>IF(E633="Cold",1,0)</f>
        <v>0</v>
      </c>
      <c r="K633" s="3">
        <f>IF(E633="Hot",1,0)</f>
        <v>1</v>
      </c>
      <c r="L633" s="3">
        <v>2274</v>
      </c>
      <c r="M633" s="3">
        <v>36</v>
      </c>
      <c r="N633" s="4">
        <v>44546</v>
      </c>
      <c r="O633" s="10">
        <v>327420.47499999998</v>
      </c>
      <c r="P633" s="1">
        <f>$C$3+F633*$C$4+H633*$C$6+J633*$C$8+K633*$C$9+L633*$C$10+M633*$C$11</f>
        <v>314748.28226380848</v>
      </c>
      <c r="Q633" s="1">
        <f>(O633-P633)/O633</f>
        <v>3.8703116340514446E-2</v>
      </c>
      <c r="R633" s="1"/>
      <c r="S633" s="1"/>
    </row>
    <row r="634" spans="1:19" x14ac:dyDescent="0.3">
      <c r="A634" s="2">
        <v>512</v>
      </c>
      <c r="B634" s="3" t="s">
        <v>35</v>
      </c>
      <c r="C634" s="3" t="s">
        <v>62</v>
      </c>
      <c r="D634" s="3" t="s">
        <v>18</v>
      </c>
      <c r="E634" s="3" t="s">
        <v>21</v>
      </c>
      <c r="F634" s="3">
        <f>IF(D634="Urban",1,0)</f>
        <v>1</v>
      </c>
      <c r="G634" s="3">
        <v>19083</v>
      </c>
      <c r="H634" s="3">
        <v>2</v>
      </c>
      <c r="I634" s="3">
        <v>57739</v>
      </c>
      <c r="J634" s="3">
        <f>IF(E634="Cold",1,0)</f>
        <v>0</v>
      </c>
      <c r="K634" s="3">
        <f>IF(E634="Hot",1,0)</f>
        <v>1</v>
      </c>
      <c r="L634" s="3">
        <v>2437</v>
      </c>
      <c r="M634" s="3">
        <v>46</v>
      </c>
      <c r="N634" s="4">
        <v>45169</v>
      </c>
      <c r="O634" s="10">
        <v>387422.22610000003</v>
      </c>
      <c r="P634" s="1">
        <f>$C$3+F634*$C$4+H634*$C$6+J634*$C$8+K634*$C$9+L634*$C$10+M634*$C$11</f>
        <v>372452.49527630809</v>
      </c>
      <c r="Q634" s="1">
        <f>(O634-P634)/O634</f>
        <v>3.8639318591463571E-2</v>
      </c>
      <c r="R634" s="1"/>
      <c r="S634" s="1"/>
    </row>
    <row r="635" spans="1:19" x14ac:dyDescent="0.3">
      <c r="A635" s="2">
        <v>216</v>
      </c>
      <c r="B635" s="3" t="s">
        <v>55</v>
      </c>
      <c r="C635" s="3" t="s">
        <v>67</v>
      </c>
      <c r="D635" s="3" t="s">
        <v>14</v>
      </c>
      <c r="E635" s="3" t="s">
        <v>23</v>
      </c>
      <c r="F635" s="3">
        <f>IF(D635="Urban",1,0)</f>
        <v>0</v>
      </c>
      <c r="G635" s="3">
        <v>27549</v>
      </c>
      <c r="H635" s="3">
        <v>3</v>
      </c>
      <c r="I635" s="3">
        <v>63141</v>
      </c>
      <c r="J635" s="3">
        <f>IF(E635="Cold",1,0)</f>
        <v>0</v>
      </c>
      <c r="K635" s="3">
        <f>IF(E635="Hot",1,0)</f>
        <v>0</v>
      </c>
      <c r="L635" s="3">
        <v>1040</v>
      </c>
      <c r="M635" s="3">
        <v>55</v>
      </c>
      <c r="N635" s="4">
        <v>45097</v>
      </c>
      <c r="O635" s="10">
        <v>312437.48210000002</v>
      </c>
      <c r="P635" s="1">
        <f>$C$3+F635*$C$4+H635*$C$6+J635*$C$8+K635*$C$9+L635*$C$10+M635*$C$11</f>
        <v>300393.92691421375</v>
      </c>
      <c r="Q635" s="1">
        <f>(O635-P635)/O635</f>
        <v>3.8547088220137311E-2</v>
      </c>
      <c r="R635" s="1"/>
      <c r="S635" s="1"/>
    </row>
    <row r="636" spans="1:19" x14ac:dyDescent="0.3">
      <c r="A636" s="2">
        <v>317</v>
      </c>
      <c r="B636" s="3" t="s">
        <v>31</v>
      </c>
      <c r="C636" s="3" t="s">
        <v>63</v>
      </c>
      <c r="D636" s="3" t="s">
        <v>14</v>
      </c>
      <c r="E636" s="3" t="s">
        <v>15</v>
      </c>
      <c r="F636" s="3">
        <f>IF(D636="Urban",1,0)</f>
        <v>0</v>
      </c>
      <c r="G636" s="3">
        <v>16081</v>
      </c>
      <c r="H636" s="3">
        <v>6</v>
      </c>
      <c r="I636" s="3">
        <v>71654</v>
      </c>
      <c r="J636" s="3">
        <f>IF(E636="Cold",1,0)</f>
        <v>1</v>
      </c>
      <c r="K636" s="3">
        <f>IF(E636="Hot",1,0)</f>
        <v>0</v>
      </c>
      <c r="L636" s="3">
        <v>1084</v>
      </c>
      <c r="M636" s="3">
        <v>62</v>
      </c>
      <c r="N636" s="4">
        <v>44421</v>
      </c>
      <c r="O636" s="10">
        <v>292926.94329999998</v>
      </c>
      <c r="P636" s="1">
        <f>$C$3+F636*$C$4+H636*$C$6+J636*$C$8+K636*$C$9+L636*$C$10+M636*$C$11</f>
        <v>281641.84415592306</v>
      </c>
      <c r="Q636" s="1">
        <f>(O636-P636)/O636</f>
        <v>3.8525302646944766E-2</v>
      </c>
      <c r="R636" s="1"/>
      <c r="S636" s="1"/>
    </row>
    <row r="637" spans="1:19" x14ac:dyDescent="0.3">
      <c r="A637" s="2">
        <v>679</v>
      </c>
      <c r="B637" s="3" t="s">
        <v>35</v>
      </c>
      <c r="C637" s="3" t="s">
        <v>62</v>
      </c>
      <c r="D637" s="3" t="s">
        <v>14</v>
      </c>
      <c r="E637" s="3" t="s">
        <v>23</v>
      </c>
      <c r="F637" s="3">
        <f>IF(D637="Urban",1,0)</f>
        <v>0</v>
      </c>
      <c r="G637" s="3">
        <v>12823</v>
      </c>
      <c r="H637" s="3">
        <v>7</v>
      </c>
      <c r="I637" s="3">
        <v>93685</v>
      </c>
      <c r="J637" s="3">
        <f>IF(E637="Cold",1,0)</f>
        <v>0</v>
      </c>
      <c r="K637" s="3">
        <f>IF(E637="Hot",1,0)</f>
        <v>0</v>
      </c>
      <c r="L637" s="3">
        <v>1162</v>
      </c>
      <c r="M637" s="3">
        <v>66</v>
      </c>
      <c r="N637" s="4">
        <v>44507</v>
      </c>
      <c r="O637" s="10">
        <v>314412.11739999999</v>
      </c>
      <c r="P637" s="1">
        <f>$C$3+F637*$C$4+H637*$C$6+J637*$C$8+K637*$C$9+L637*$C$10+M637*$C$11</f>
        <v>302418.82684033969</v>
      </c>
      <c r="Q637" s="1">
        <f>(O637-P637)/O637</f>
        <v>3.8145128307514445E-2</v>
      </c>
      <c r="R637" s="1"/>
      <c r="S637" s="1"/>
    </row>
    <row r="638" spans="1:19" x14ac:dyDescent="0.3">
      <c r="A638" s="2">
        <v>353</v>
      </c>
      <c r="B638" s="3" t="s">
        <v>31</v>
      </c>
      <c r="C638" s="3" t="s">
        <v>81</v>
      </c>
      <c r="D638" s="3" t="s">
        <v>18</v>
      </c>
      <c r="E638" s="3" t="s">
        <v>21</v>
      </c>
      <c r="F638" s="3">
        <f>IF(D638="Urban",1,0)</f>
        <v>1</v>
      </c>
      <c r="G638" s="3">
        <v>29027</v>
      </c>
      <c r="H638" s="3">
        <v>9</v>
      </c>
      <c r="I638" s="3">
        <v>67973</v>
      </c>
      <c r="J638" s="3">
        <f>IF(E638="Cold",1,0)</f>
        <v>0</v>
      </c>
      <c r="K638" s="3">
        <f>IF(E638="Hot",1,0)</f>
        <v>1</v>
      </c>
      <c r="L638" s="3">
        <v>1515</v>
      </c>
      <c r="M638" s="3">
        <v>56</v>
      </c>
      <c r="N638" s="4">
        <v>44940</v>
      </c>
      <c r="O638" s="10">
        <v>364326.04849999998</v>
      </c>
      <c r="P638" s="1">
        <f>$C$3+F638*$C$4+H638*$C$6+J638*$C$8+K638*$C$9+L638*$C$10+M638*$C$11</f>
        <v>350483.71129335172</v>
      </c>
      <c r="Q638" s="1">
        <f>(O638-P638)/O638</f>
        <v>3.7994365935786929E-2</v>
      </c>
      <c r="R638" s="1"/>
      <c r="S638" s="1"/>
    </row>
    <row r="639" spans="1:19" x14ac:dyDescent="0.3">
      <c r="A639" s="2">
        <v>809</v>
      </c>
      <c r="B639" s="3" t="s">
        <v>72</v>
      </c>
      <c r="C639" s="3" t="s">
        <v>167</v>
      </c>
      <c r="D639" s="3" t="s">
        <v>14</v>
      </c>
      <c r="E639" s="3" t="s">
        <v>23</v>
      </c>
      <c r="F639" s="3">
        <f>IF(D639="Urban",1,0)</f>
        <v>0</v>
      </c>
      <c r="G639" s="3">
        <v>5948</v>
      </c>
      <c r="H639" s="3">
        <v>3</v>
      </c>
      <c r="I639" s="3">
        <v>60821</v>
      </c>
      <c r="J639" s="3">
        <f>IF(E639="Cold",1,0)</f>
        <v>0</v>
      </c>
      <c r="K639" s="3">
        <f>IF(E639="Hot",1,0)</f>
        <v>0</v>
      </c>
      <c r="L639" s="3">
        <v>2812</v>
      </c>
      <c r="M639" s="3">
        <v>41</v>
      </c>
      <c r="N639" s="4">
        <v>44485</v>
      </c>
      <c r="O639" s="10">
        <v>344530.72830000002</v>
      </c>
      <c r="P639" s="1">
        <f>$C$3+F639*$C$4+H639*$C$6+J639*$C$8+K639*$C$9+L639*$C$10+M639*$C$11</f>
        <v>331442.60026647791</v>
      </c>
      <c r="Q639" s="1">
        <f>(O639-P639)/O639</f>
        <v>3.7988274944595439E-2</v>
      </c>
      <c r="R639" s="1"/>
      <c r="S639" s="1"/>
    </row>
    <row r="640" spans="1:19" x14ac:dyDescent="0.3">
      <c r="A640" s="2">
        <v>964</v>
      </c>
      <c r="B640" s="3" t="s">
        <v>53</v>
      </c>
      <c r="C640" s="3" t="s">
        <v>141</v>
      </c>
      <c r="D640" s="3" t="s">
        <v>14</v>
      </c>
      <c r="E640" s="3" t="s">
        <v>15</v>
      </c>
      <c r="F640" s="3">
        <f>IF(D640="Urban",1,0)</f>
        <v>0</v>
      </c>
      <c r="G640" s="3">
        <v>12907</v>
      </c>
      <c r="H640" s="3">
        <v>4</v>
      </c>
      <c r="I640" s="3">
        <v>51530</v>
      </c>
      <c r="J640" s="3">
        <f>IF(E640="Cold",1,0)</f>
        <v>1</v>
      </c>
      <c r="K640" s="3">
        <f>IF(E640="Hot",1,0)</f>
        <v>0</v>
      </c>
      <c r="L640" s="3">
        <v>1237</v>
      </c>
      <c r="M640" s="3">
        <v>84</v>
      </c>
      <c r="N640" s="4">
        <v>44881</v>
      </c>
      <c r="O640" s="10">
        <v>304927.4325</v>
      </c>
      <c r="P640" s="1">
        <f>$C$3+F640*$C$4+H640*$C$6+J640*$C$8+K640*$C$9+L640*$C$10+M640*$C$11</f>
        <v>293376.52893951372</v>
      </c>
      <c r="Q640" s="1">
        <f>(O640-P640)/O640</f>
        <v>3.788082779494191E-2</v>
      </c>
      <c r="R640" s="1"/>
      <c r="S640" s="1"/>
    </row>
    <row r="641" spans="1:19" x14ac:dyDescent="0.3">
      <c r="A641" s="2">
        <v>596</v>
      </c>
      <c r="B641" s="3" t="s">
        <v>72</v>
      </c>
      <c r="C641" s="3" t="s">
        <v>145</v>
      </c>
      <c r="D641" s="3" t="s">
        <v>14</v>
      </c>
      <c r="E641" s="3" t="s">
        <v>15</v>
      </c>
      <c r="F641" s="3">
        <f>IF(D641="Urban",1,0)</f>
        <v>0</v>
      </c>
      <c r="G641" s="3">
        <v>18330</v>
      </c>
      <c r="H641" s="3">
        <v>5</v>
      </c>
      <c r="I641" s="3">
        <v>55916</v>
      </c>
      <c r="J641" s="3">
        <f>IF(E641="Cold",1,0)</f>
        <v>1</v>
      </c>
      <c r="K641" s="3">
        <f>IF(E641="Hot",1,0)</f>
        <v>0</v>
      </c>
      <c r="L641" s="3">
        <v>2512</v>
      </c>
      <c r="M641" s="3">
        <v>80</v>
      </c>
      <c r="N641" s="4">
        <v>45049</v>
      </c>
      <c r="O641" s="10">
        <v>329091.8504</v>
      </c>
      <c r="P641" s="1">
        <f>$C$3+F641*$C$4+H641*$C$6+J641*$C$8+K641*$C$9+L641*$C$10+M641*$C$11</f>
        <v>316638.75077529874</v>
      </c>
      <c r="Q641" s="1">
        <f>(O641-P641)/O641</f>
        <v>3.7840802224561113E-2</v>
      </c>
      <c r="R641" s="1"/>
      <c r="S641" s="1"/>
    </row>
    <row r="642" spans="1:19" x14ac:dyDescent="0.3">
      <c r="A642" s="2">
        <v>504</v>
      </c>
      <c r="B642" s="3" t="s">
        <v>31</v>
      </c>
      <c r="C642" s="3" t="s">
        <v>32</v>
      </c>
      <c r="D642" s="3" t="s">
        <v>14</v>
      </c>
      <c r="E642" s="3" t="s">
        <v>15</v>
      </c>
      <c r="F642" s="3">
        <f>IF(D642="Urban",1,0)</f>
        <v>0</v>
      </c>
      <c r="G642" s="3">
        <v>25876</v>
      </c>
      <c r="H642" s="3">
        <v>3</v>
      </c>
      <c r="I642" s="3">
        <v>65947</v>
      </c>
      <c r="J642" s="3">
        <f>IF(E642="Cold",1,0)</f>
        <v>1</v>
      </c>
      <c r="K642" s="3">
        <f>IF(E642="Hot",1,0)</f>
        <v>0</v>
      </c>
      <c r="L642" s="3">
        <v>2186</v>
      </c>
      <c r="M642" s="3">
        <v>85</v>
      </c>
      <c r="N642" s="4">
        <v>44670</v>
      </c>
      <c r="O642" s="10">
        <v>325824.5393</v>
      </c>
      <c r="P642" s="1">
        <f>$C$3+F642*$C$4+H642*$C$6+J642*$C$8+K642*$C$9+L642*$C$10+M642*$C$11</f>
        <v>313574.09772498737</v>
      </c>
      <c r="Q642" s="1">
        <f>(O642-P642)/O642</f>
        <v>3.7598277899299509E-2</v>
      </c>
      <c r="R642" s="1"/>
      <c r="S642" s="1"/>
    </row>
    <row r="643" spans="1:19" x14ac:dyDescent="0.3">
      <c r="A643" s="2">
        <v>405</v>
      </c>
      <c r="B643" s="3" t="s">
        <v>55</v>
      </c>
      <c r="C643" s="3" t="s">
        <v>66</v>
      </c>
      <c r="D643" s="3" t="s">
        <v>14</v>
      </c>
      <c r="E643" s="3" t="s">
        <v>23</v>
      </c>
      <c r="F643" s="3">
        <f>IF(D643="Urban",1,0)</f>
        <v>0</v>
      </c>
      <c r="G643" s="3">
        <v>6472</v>
      </c>
      <c r="H643" s="3">
        <v>4</v>
      </c>
      <c r="I643" s="3">
        <v>63013</v>
      </c>
      <c r="J643" s="3">
        <f>IF(E643="Cold",1,0)</f>
        <v>0</v>
      </c>
      <c r="K643" s="3">
        <f>IF(E643="Hot",1,0)</f>
        <v>0</v>
      </c>
      <c r="L643" s="3">
        <v>2033</v>
      </c>
      <c r="M643" s="3">
        <v>33</v>
      </c>
      <c r="N643" s="4">
        <v>45486</v>
      </c>
      <c r="O643" s="10">
        <v>324670.18979999999</v>
      </c>
      <c r="P643" s="1">
        <f>$C$3+F643*$C$4+H643*$C$6+J643*$C$8+K643*$C$9+L643*$C$10+M643*$C$11</f>
        <v>312480.11986794835</v>
      </c>
      <c r="Q643" s="1">
        <f>(O643-P643)/O643</f>
        <v>3.7546009196473641E-2</v>
      </c>
      <c r="R643" s="1"/>
      <c r="S643" s="1"/>
    </row>
    <row r="644" spans="1:19" x14ac:dyDescent="0.3">
      <c r="A644" s="2">
        <v>507</v>
      </c>
      <c r="B644" s="3" t="s">
        <v>33</v>
      </c>
      <c r="C644" s="3" t="s">
        <v>80</v>
      </c>
      <c r="D644" s="3" t="s">
        <v>14</v>
      </c>
      <c r="E644" s="3" t="s">
        <v>15</v>
      </c>
      <c r="F644" s="3">
        <f>IF(D644="Urban",1,0)</f>
        <v>0</v>
      </c>
      <c r="G644" s="3">
        <v>4645</v>
      </c>
      <c r="H644" s="3">
        <v>6</v>
      </c>
      <c r="I644" s="3">
        <v>79767</v>
      </c>
      <c r="J644" s="3">
        <f>IF(E644="Cold",1,0)</f>
        <v>1</v>
      </c>
      <c r="K644" s="3">
        <f>IF(E644="Hot",1,0)</f>
        <v>0</v>
      </c>
      <c r="L644" s="3">
        <v>1859</v>
      </c>
      <c r="M644" s="3">
        <v>89</v>
      </c>
      <c r="N644" s="4">
        <v>43883</v>
      </c>
      <c r="O644" s="10">
        <v>317337.00060000003</v>
      </c>
      <c r="P644" s="1">
        <f>$C$3+F644*$C$4+H644*$C$6+J644*$C$8+K644*$C$9+L644*$C$10+M644*$C$11</f>
        <v>305430.76931949332</v>
      </c>
      <c r="Q644" s="1">
        <f>(O644-P644)/O644</f>
        <v>3.751920279701132E-2</v>
      </c>
      <c r="R644" s="1"/>
      <c r="S644" s="1"/>
    </row>
    <row r="645" spans="1:19" x14ac:dyDescent="0.3">
      <c r="A645" s="2">
        <v>998</v>
      </c>
      <c r="B645" s="3" t="s">
        <v>31</v>
      </c>
      <c r="C645" s="3" t="s">
        <v>63</v>
      </c>
      <c r="D645" s="3" t="s">
        <v>18</v>
      </c>
      <c r="E645" s="3" t="s">
        <v>21</v>
      </c>
      <c r="F645" s="3">
        <f>IF(D645="Urban",1,0)</f>
        <v>1</v>
      </c>
      <c r="G645" s="3">
        <v>8980</v>
      </c>
      <c r="H645" s="3">
        <v>8</v>
      </c>
      <c r="I645" s="3">
        <v>86523</v>
      </c>
      <c r="J645" s="3">
        <f>IF(E645="Cold",1,0)</f>
        <v>0</v>
      </c>
      <c r="K645" s="3">
        <f>IF(E645="Hot",1,0)</f>
        <v>1</v>
      </c>
      <c r="L645" s="3">
        <v>1697</v>
      </c>
      <c r="M645" s="3">
        <v>82</v>
      </c>
      <c r="N645" s="4">
        <v>44954</v>
      </c>
      <c r="O645" s="10">
        <v>377200.10080000001</v>
      </c>
      <c r="P645" s="1">
        <f>$C$3+F645*$C$4+H645*$C$6+J645*$C$8+K645*$C$9+L645*$C$10+M645*$C$11</f>
        <v>363079.97302337835</v>
      </c>
      <c r="Q645" s="1">
        <f>(O645-P645)/O645</f>
        <v>3.7434050910045952E-2</v>
      </c>
      <c r="R645" s="1"/>
      <c r="S645" s="1"/>
    </row>
    <row r="646" spans="1:19" x14ac:dyDescent="0.3">
      <c r="A646" s="2">
        <v>993</v>
      </c>
      <c r="B646" s="3" t="s">
        <v>53</v>
      </c>
      <c r="C646" s="3" t="s">
        <v>149</v>
      </c>
      <c r="D646" s="3" t="s">
        <v>18</v>
      </c>
      <c r="E646" s="3" t="s">
        <v>15</v>
      </c>
      <c r="F646" s="3">
        <f>IF(D646="Urban",1,0)</f>
        <v>1</v>
      </c>
      <c r="G646" s="3">
        <v>690</v>
      </c>
      <c r="H646" s="3">
        <v>0</v>
      </c>
      <c r="I646" s="3">
        <v>71845</v>
      </c>
      <c r="J646" s="3">
        <f>IF(E646="Cold",1,0)</f>
        <v>1</v>
      </c>
      <c r="K646" s="3">
        <f>IF(E646="Hot",1,0)</f>
        <v>0</v>
      </c>
      <c r="L646" s="3">
        <v>2487</v>
      </c>
      <c r="M646" s="3">
        <v>20</v>
      </c>
      <c r="N646" s="4">
        <v>44285</v>
      </c>
      <c r="O646" s="10">
        <v>360607.31550000003</v>
      </c>
      <c r="P646" s="1">
        <f>$C$3+F646*$C$4+H646*$C$6+J646*$C$8+K646*$C$9+L646*$C$10+M646*$C$11</f>
        <v>347114.74065861106</v>
      </c>
      <c r="Q646" s="1">
        <f>(O646-P646)/O646</f>
        <v>3.7416253806944653E-2</v>
      </c>
      <c r="R646" s="1"/>
      <c r="S646" s="1"/>
    </row>
    <row r="647" spans="1:19" x14ac:dyDescent="0.3">
      <c r="A647" s="2">
        <v>728</v>
      </c>
      <c r="B647" s="3" t="s">
        <v>26</v>
      </c>
      <c r="C647" s="3" t="s">
        <v>27</v>
      </c>
      <c r="D647" s="3" t="s">
        <v>14</v>
      </c>
      <c r="E647" s="3" t="s">
        <v>15</v>
      </c>
      <c r="F647" s="3">
        <f>IF(D647="Urban",1,0)</f>
        <v>0</v>
      </c>
      <c r="G647" s="3">
        <v>19775</v>
      </c>
      <c r="H647" s="3">
        <v>8</v>
      </c>
      <c r="I647" s="3">
        <v>67500</v>
      </c>
      <c r="J647" s="3">
        <f>IF(E647="Cold",1,0)</f>
        <v>1</v>
      </c>
      <c r="K647" s="3">
        <f>IF(E647="Hot",1,0)</f>
        <v>0</v>
      </c>
      <c r="L647" s="3">
        <v>2831</v>
      </c>
      <c r="M647" s="3">
        <v>67</v>
      </c>
      <c r="N647" s="4">
        <v>44047</v>
      </c>
      <c r="O647" s="10">
        <v>328395.63390000002</v>
      </c>
      <c r="P647" s="1">
        <f>$C$3+F647*$C$4+H647*$C$6+J647*$C$8+K647*$C$9+L647*$C$10+M647*$C$11</f>
        <v>316147.76655452902</v>
      </c>
      <c r="Q647" s="1">
        <f>(O647-P647)/O647</f>
        <v>3.7296072423425093E-2</v>
      </c>
      <c r="R647" s="1"/>
      <c r="S647" s="1"/>
    </row>
    <row r="648" spans="1:19" x14ac:dyDescent="0.3">
      <c r="A648" s="2">
        <v>325</v>
      </c>
      <c r="B648" s="3" t="s">
        <v>35</v>
      </c>
      <c r="C648" s="3" t="s">
        <v>150</v>
      </c>
      <c r="D648" s="3" t="s">
        <v>14</v>
      </c>
      <c r="E648" s="3" t="s">
        <v>15</v>
      </c>
      <c r="F648" s="3">
        <f>IF(D648="Urban",1,0)</f>
        <v>0</v>
      </c>
      <c r="G648" s="3">
        <v>7912</v>
      </c>
      <c r="H648" s="3">
        <v>7</v>
      </c>
      <c r="I648" s="3">
        <v>98654</v>
      </c>
      <c r="J648" s="3">
        <f>IF(E648="Cold",1,0)</f>
        <v>1</v>
      </c>
      <c r="K648" s="3">
        <f>IF(E648="Hot",1,0)</f>
        <v>0</v>
      </c>
      <c r="L648" s="3">
        <v>2540</v>
      </c>
      <c r="M648" s="3">
        <v>48</v>
      </c>
      <c r="N648" s="4">
        <v>43834</v>
      </c>
      <c r="O648" s="10">
        <v>317238.72950000002</v>
      </c>
      <c r="P648" s="1">
        <f>$C$3+F648*$C$4+H648*$C$6+J648*$C$8+K648*$C$9+L648*$C$10+M648*$C$11</f>
        <v>305433.99183793738</v>
      </c>
      <c r="Q648" s="1">
        <f>(O648-P648)/O648</f>
        <v>3.7210896918759194E-2</v>
      </c>
      <c r="R648" s="1"/>
      <c r="S648" s="1"/>
    </row>
    <row r="649" spans="1:19" x14ac:dyDescent="0.3">
      <c r="A649" s="2">
        <v>217</v>
      </c>
      <c r="B649" s="3" t="s">
        <v>28</v>
      </c>
      <c r="C649" s="3" t="s">
        <v>46</v>
      </c>
      <c r="D649" s="3" t="s">
        <v>18</v>
      </c>
      <c r="E649" s="3" t="s">
        <v>15</v>
      </c>
      <c r="F649" s="3">
        <f>IF(D649="Urban",1,0)</f>
        <v>1</v>
      </c>
      <c r="G649" s="3">
        <v>16637</v>
      </c>
      <c r="H649" s="3">
        <v>5</v>
      </c>
      <c r="I649" s="3">
        <v>50695</v>
      </c>
      <c r="J649" s="3">
        <f>IF(E649="Cold",1,0)</f>
        <v>1</v>
      </c>
      <c r="K649" s="3">
        <f>IF(E649="Hot",1,0)</f>
        <v>0</v>
      </c>
      <c r="L649" s="3">
        <v>2989</v>
      </c>
      <c r="M649" s="3">
        <v>32</v>
      </c>
      <c r="N649" s="4">
        <v>44074</v>
      </c>
      <c r="O649" s="10">
        <v>369807.45360000001</v>
      </c>
      <c r="P649" s="1">
        <f>$C$3+F649*$C$4+H649*$C$6+J649*$C$8+K649*$C$9+L649*$C$10+M649*$C$11</f>
        <v>356081.45222275419</v>
      </c>
      <c r="Q649" s="1">
        <f>(O649-P649)/O649</f>
        <v>3.7116616346225581E-2</v>
      </c>
      <c r="R649" s="1"/>
      <c r="S649" s="1"/>
    </row>
    <row r="650" spans="1:19" x14ac:dyDescent="0.3">
      <c r="A650" s="2">
        <v>503</v>
      </c>
      <c r="B650" s="3" t="s">
        <v>55</v>
      </c>
      <c r="C650" s="3" t="s">
        <v>98</v>
      </c>
      <c r="D650" s="3" t="s">
        <v>14</v>
      </c>
      <c r="E650" s="3" t="s">
        <v>15</v>
      </c>
      <c r="F650" s="3">
        <f>IF(D650="Urban",1,0)</f>
        <v>0</v>
      </c>
      <c r="G650" s="3">
        <v>5128</v>
      </c>
      <c r="H650" s="3">
        <v>0</v>
      </c>
      <c r="I650" s="3">
        <v>82487</v>
      </c>
      <c r="J650" s="3">
        <f>IF(E650="Cold",1,0)</f>
        <v>1</v>
      </c>
      <c r="K650" s="3">
        <f>IF(E650="Hot",1,0)</f>
        <v>0</v>
      </c>
      <c r="L650" s="3">
        <v>2244</v>
      </c>
      <c r="M650" s="3">
        <v>44</v>
      </c>
      <c r="N650" s="4">
        <v>44304</v>
      </c>
      <c r="O650" s="10">
        <v>316638.92660000001</v>
      </c>
      <c r="P650" s="1">
        <f>$C$3+F650*$C$4+H650*$C$6+J650*$C$8+K650*$C$9+L650*$C$10+M650*$C$11</f>
        <v>304944.46828518802</v>
      </c>
      <c r="Q650" s="1">
        <f>(O650-P650)/O650</f>
        <v>3.6933103710224569E-2</v>
      </c>
      <c r="R650" s="1"/>
      <c r="S650" s="1"/>
    </row>
    <row r="651" spans="1:19" x14ac:dyDescent="0.3">
      <c r="A651" s="2">
        <v>301</v>
      </c>
      <c r="B651" s="3" t="s">
        <v>31</v>
      </c>
      <c r="C651" s="3" t="s">
        <v>186</v>
      </c>
      <c r="D651" s="3" t="s">
        <v>14</v>
      </c>
      <c r="E651" s="3" t="s">
        <v>15</v>
      </c>
      <c r="F651" s="3">
        <f>IF(D651="Urban",1,0)</f>
        <v>0</v>
      </c>
      <c r="G651" s="3">
        <v>4234</v>
      </c>
      <c r="H651" s="3">
        <v>4</v>
      </c>
      <c r="I651" s="3">
        <v>71894</v>
      </c>
      <c r="J651" s="3">
        <f>IF(E651="Cold",1,0)</f>
        <v>1</v>
      </c>
      <c r="K651" s="3">
        <f>IF(E651="Hot",1,0)</f>
        <v>0</v>
      </c>
      <c r="L651" s="3">
        <v>1861</v>
      </c>
      <c r="M651" s="3">
        <v>46</v>
      </c>
      <c r="N651" s="4">
        <v>44470</v>
      </c>
      <c r="O651" s="10">
        <v>305354.21620000002</v>
      </c>
      <c r="P651" s="1">
        <f>$C$3+F651*$C$4+H651*$C$6+J651*$C$8+K651*$C$9+L651*$C$10+M651*$C$11</f>
        <v>294116.98732159549</v>
      </c>
      <c r="Q651" s="1">
        <f>(O651-P651)/O651</f>
        <v>3.6800634418109393E-2</v>
      </c>
      <c r="R651" s="1"/>
      <c r="S651" s="1"/>
    </row>
    <row r="652" spans="1:19" x14ac:dyDescent="0.3">
      <c r="A652" s="2">
        <v>745</v>
      </c>
      <c r="B652" s="3" t="s">
        <v>37</v>
      </c>
      <c r="C652" s="3" t="s">
        <v>61</v>
      </c>
      <c r="D652" s="3" t="s">
        <v>14</v>
      </c>
      <c r="E652" s="3" t="s">
        <v>15</v>
      </c>
      <c r="F652" s="3">
        <f>IF(D652="Urban",1,0)</f>
        <v>0</v>
      </c>
      <c r="G652" s="3">
        <v>5947</v>
      </c>
      <c r="H652" s="3">
        <v>1</v>
      </c>
      <c r="I652" s="3">
        <v>61181</v>
      </c>
      <c r="J652" s="3">
        <f>IF(E652="Cold",1,0)</f>
        <v>1</v>
      </c>
      <c r="K652" s="3">
        <f>IF(E652="Hot",1,0)</f>
        <v>0</v>
      </c>
      <c r="L652" s="3">
        <v>2420</v>
      </c>
      <c r="M652" s="3">
        <v>83</v>
      </c>
      <c r="N652" s="4">
        <v>45221</v>
      </c>
      <c r="O652" s="10">
        <v>331710.8259</v>
      </c>
      <c r="P652" s="1">
        <f>$C$3+F652*$C$4+H652*$C$6+J652*$C$8+K652*$C$9+L652*$C$10+M652*$C$11</f>
        <v>319527.78282807727</v>
      </c>
      <c r="Q652" s="1">
        <f>(O652-P652)/O652</f>
        <v>3.6727903103155039E-2</v>
      </c>
      <c r="R652" s="1"/>
      <c r="S652" s="1"/>
    </row>
    <row r="653" spans="1:19" x14ac:dyDescent="0.3">
      <c r="A653" s="2">
        <v>654</v>
      </c>
      <c r="B653" s="3" t="s">
        <v>44</v>
      </c>
      <c r="C653" s="3" t="s">
        <v>82</v>
      </c>
      <c r="D653" s="3" t="s">
        <v>18</v>
      </c>
      <c r="E653" s="3" t="s">
        <v>23</v>
      </c>
      <c r="F653" s="3">
        <f>IF(D653="Urban",1,0)</f>
        <v>1</v>
      </c>
      <c r="G653" s="3">
        <v>869</v>
      </c>
      <c r="H653" s="3">
        <v>3</v>
      </c>
      <c r="I653" s="3">
        <v>59686</v>
      </c>
      <c r="J653" s="3">
        <f>IF(E653="Cold",1,0)</f>
        <v>0</v>
      </c>
      <c r="K653" s="3">
        <f>IF(E653="Hot",1,0)</f>
        <v>0</v>
      </c>
      <c r="L653" s="3">
        <v>1390</v>
      </c>
      <c r="M653" s="3">
        <v>21</v>
      </c>
      <c r="N653" s="4">
        <v>44888</v>
      </c>
      <c r="O653" s="10">
        <v>354597.81510000001</v>
      </c>
      <c r="P653" s="1">
        <f>$C$3+F653*$C$4+H653*$C$6+J653*$C$8+K653*$C$9+L653*$C$10+M653*$C$11</f>
        <v>341617.30338330753</v>
      </c>
      <c r="Q653" s="1">
        <f>(O653-P653)/O653</f>
        <v>3.6606293563968648E-2</v>
      </c>
      <c r="R653" s="1"/>
      <c r="S653" s="1"/>
    </row>
    <row r="654" spans="1:19" x14ac:dyDescent="0.3">
      <c r="A654" s="2">
        <v>156</v>
      </c>
      <c r="B654" s="3" t="s">
        <v>35</v>
      </c>
      <c r="C654" s="3" t="s">
        <v>62</v>
      </c>
      <c r="D654" s="3" t="s">
        <v>18</v>
      </c>
      <c r="E654" s="3" t="s">
        <v>15</v>
      </c>
      <c r="F654" s="3">
        <f>IF(D654="Urban",1,0)</f>
        <v>1</v>
      </c>
      <c r="G654" s="3">
        <v>15025</v>
      </c>
      <c r="H654" s="3">
        <v>3</v>
      </c>
      <c r="I654" s="3">
        <v>91077</v>
      </c>
      <c r="J654" s="3">
        <f>IF(E654="Cold",1,0)</f>
        <v>1</v>
      </c>
      <c r="K654" s="3">
        <f>IF(E654="Hot",1,0)</f>
        <v>0</v>
      </c>
      <c r="L654" s="3">
        <v>2599</v>
      </c>
      <c r="M654" s="3">
        <v>66</v>
      </c>
      <c r="N654" s="4">
        <v>45368</v>
      </c>
      <c r="O654" s="10">
        <v>374240.50689999998</v>
      </c>
      <c r="P654" s="1">
        <f>$C$3+F654*$C$4+H654*$C$6+J654*$C$8+K654*$C$9+L654*$C$10+M654*$C$11</f>
        <v>360678.21887827542</v>
      </c>
      <c r="Q654" s="1">
        <f>(O654-P654)/O654</f>
        <v>3.6239497787310622E-2</v>
      </c>
      <c r="R654" s="1"/>
      <c r="S654" s="1"/>
    </row>
    <row r="655" spans="1:19" x14ac:dyDescent="0.3">
      <c r="A655" s="2">
        <v>866</v>
      </c>
      <c r="B655" s="3" t="s">
        <v>53</v>
      </c>
      <c r="C655" s="3" t="s">
        <v>225</v>
      </c>
      <c r="D655" s="3" t="s">
        <v>14</v>
      </c>
      <c r="E655" s="3" t="s">
        <v>23</v>
      </c>
      <c r="F655" s="3">
        <f>IF(D655="Urban",1,0)</f>
        <v>0</v>
      </c>
      <c r="G655" s="3">
        <v>5048</v>
      </c>
      <c r="H655" s="3">
        <v>6</v>
      </c>
      <c r="I655" s="3">
        <v>77559</v>
      </c>
      <c r="J655" s="3">
        <f>IF(E655="Cold",1,0)</f>
        <v>0</v>
      </c>
      <c r="K655" s="3">
        <f>IF(E655="Hot",1,0)</f>
        <v>0</v>
      </c>
      <c r="L655" s="3">
        <v>2192</v>
      </c>
      <c r="M655" s="3">
        <v>35</v>
      </c>
      <c r="N655" s="4">
        <v>44998</v>
      </c>
      <c r="O655" s="10">
        <v>326182.24310000002</v>
      </c>
      <c r="P655" s="1">
        <f>$C$3+F655*$C$4+H655*$C$6+J655*$C$8+K655*$C$9+L655*$C$10+M655*$C$11</f>
        <v>314369.55568336527</v>
      </c>
      <c r="Q655" s="1">
        <f>(O655-P655)/O655</f>
        <v>3.6214992282744392E-2</v>
      </c>
      <c r="R655" s="1"/>
      <c r="S655" s="1"/>
    </row>
    <row r="656" spans="1:19" x14ac:dyDescent="0.3">
      <c r="A656" s="2">
        <v>850</v>
      </c>
      <c r="B656" s="3" t="s">
        <v>19</v>
      </c>
      <c r="C656" s="3" t="s">
        <v>130</v>
      </c>
      <c r="D656" s="3" t="s">
        <v>14</v>
      </c>
      <c r="E656" s="3" t="s">
        <v>21</v>
      </c>
      <c r="F656" s="3">
        <f>IF(D656="Urban",1,0)</f>
        <v>0</v>
      </c>
      <c r="G656" s="3">
        <v>5387</v>
      </c>
      <c r="H656" s="3">
        <v>3</v>
      </c>
      <c r="I656" s="3">
        <v>99064</v>
      </c>
      <c r="J656" s="3">
        <f>IF(E656="Cold",1,0)</f>
        <v>0</v>
      </c>
      <c r="K656" s="3">
        <f>IF(E656="Hot",1,0)</f>
        <v>1</v>
      </c>
      <c r="L656" s="3">
        <v>1311</v>
      </c>
      <c r="M656" s="3">
        <v>38</v>
      </c>
      <c r="N656" s="4">
        <v>44767</v>
      </c>
      <c r="O656" s="10">
        <v>313141.25640000001</v>
      </c>
      <c r="P656" s="1">
        <f>$C$3+F656*$C$4+H656*$C$6+J656*$C$8+K656*$C$9+L656*$C$10+M656*$C$11</f>
        <v>301846.68844745832</v>
      </c>
      <c r="Q656" s="1">
        <f>(O656-P656)/O656</f>
        <v>3.6068603934175478E-2</v>
      </c>
      <c r="R656" s="1"/>
      <c r="S656" s="1"/>
    </row>
    <row r="657" spans="1:19" x14ac:dyDescent="0.3">
      <c r="A657" s="2">
        <v>303</v>
      </c>
      <c r="B657" s="3" t="s">
        <v>28</v>
      </c>
      <c r="C657" s="3" t="s">
        <v>115</v>
      </c>
      <c r="D657" s="3" t="s">
        <v>14</v>
      </c>
      <c r="E657" s="3" t="s">
        <v>23</v>
      </c>
      <c r="F657" s="3">
        <f>IF(D657="Urban",1,0)</f>
        <v>0</v>
      </c>
      <c r="G657" s="3">
        <v>23438</v>
      </c>
      <c r="H657" s="3">
        <v>0</v>
      </c>
      <c r="I657" s="3">
        <v>70962</v>
      </c>
      <c r="J657" s="3">
        <f>IF(E657="Cold",1,0)</f>
        <v>0</v>
      </c>
      <c r="K657" s="3">
        <f>IF(E657="Hot",1,0)</f>
        <v>0</v>
      </c>
      <c r="L657" s="3">
        <v>2338</v>
      </c>
      <c r="M657" s="3">
        <v>94</v>
      </c>
      <c r="N657" s="4">
        <v>44784</v>
      </c>
      <c r="O657" s="10">
        <v>353933.74160000001</v>
      </c>
      <c r="P657" s="1">
        <f>$C$3+F657*$C$4+H657*$C$6+J657*$C$8+K657*$C$9+L657*$C$10+M657*$C$11</f>
        <v>341169.4429410845</v>
      </c>
      <c r="Q657" s="1">
        <f>(O657-P657)/O657</f>
        <v>3.6064090982716027E-2</v>
      </c>
      <c r="R657" s="1"/>
      <c r="S657" s="1"/>
    </row>
    <row r="658" spans="1:19" x14ac:dyDescent="0.3">
      <c r="A658" s="2">
        <v>682</v>
      </c>
      <c r="B658" s="3" t="s">
        <v>16</v>
      </c>
      <c r="C658" s="3" t="s">
        <v>17</v>
      </c>
      <c r="D658" s="3" t="s">
        <v>14</v>
      </c>
      <c r="E658" s="3" t="s">
        <v>23</v>
      </c>
      <c r="F658" s="3">
        <f>IF(D658="Urban",1,0)</f>
        <v>0</v>
      </c>
      <c r="G658" s="3">
        <v>4844</v>
      </c>
      <c r="H658" s="3">
        <v>3</v>
      </c>
      <c r="I658" s="3">
        <v>68103</v>
      </c>
      <c r="J658" s="3">
        <f>IF(E658="Cold",1,0)</f>
        <v>0</v>
      </c>
      <c r="K658" s="3">
        <f>IF(E658="Hot",1,0)</f>
        <v>0</v>
      </c>
      <c r="L658" s="3">
        <v>2736</v>
      </c>
      <c r="M658" s="3">
        <v>56</v>
      </c>
      <c r="N658" s="4">
        <v>44768</v>
      </c>
      <c r="O658" s="10">
        <v>347048.94549999997</v>
      </c>
      <c r="P658" s="1">
        <f>$C$3+F658*$C$4+H658*$C$6+J658*$C$8+K658*$C$9+L658*$C$10+M658*$C$11</f>
        <v>334549.31490570412</v>
      </c>
      <c r="Q658" s="1">
        <f>(O658-P658)/O658</f>
        <v>3.6016909880787575E-2</v>
      </c>
      <c r="R658" s="1"/>
      <c r="S658" s="1"/>
    </row>
    <row r="659" spans="1:19" x14ac:dyDescent="0.3">
      <c r="A659" s="2">
        <v>25</v>
      </c>
      <c r="B659" s="3" t="s">
        <v>53</v>
      </c>
      <c r="C659" s="3" t="s">
        <v>54</v>
      </c>
      <c r="D659" s="3" t="s">
        <v>18</v>
      </c>
      <c r="E659" s="3" t="s">
        <v>21</v>
      </c>
      <c r="F659" s="3">
        <f>IF(D659="Urban",1,0)</f>
        <v>1</v>
      </c>
      <c r="G659" s="3">
        <v>25298</v>
      </c>
      <c r="H659" s="3">
        <v>7</v>
      </c>
      <c r="I659" s="3">
        <v>90751</v>
      </c>
      <c r="J659" s="3">
        <f>IF(E659="Cold",1,0)</f>
        <v>0</v>
      </c>
      <c r="K659" s="3">
        <f>IF(E659="Hot",1,0)</f>
        <v>1</v>
      </c>
      <c r="L659" s="3">
        <v>2525</v>
      </c>
      <c r="M659" s="3">
        <v>45</v>
      </c>
      <c r="N659" s="4">
        <v>44398</v>
      </c>
      <c r="O659" s="10">
        <v>382896.10830000002</v>
      </c>
      <c r="P659" s="1">
        <f>$C$3+F659*$C$4+H659*$C$6+J659*$C$8+K659*$C$9+L659*$C$10+M659*$C$11</f>
        <v>369149.99743193231</v>
      </c>
      <c r="Q659" s="1">
        <f>(O659-P659)/O659</f>
        <v>3.5900367149455596E-2</v>
      </c>
      <c r="R659" s="1"/>
      <c r="S659" s="1"/>
    </row>
    <row r="660" spans="1:19" x14ac:dyDescent="0.3">
      <c r="A660" s="2">
        <v>847</v>
      </c>
      <c r="B660" s="3" t="s">
        <v>55</v>
      </c>
      <c r="C660" s="3" t="s">
        <v>98</v>
      </c>
      <c r="D660" s="3" t="s">
        <v>14</v>
      </c>
      <c r="E660" s="3" t="s">
        <v>15</v>
      </c>
      <c r="F660" s="3">
        <f>IF(D660="Urban",1,0)</f>
        <v>0</v>
      </c>
      <c r="G660" s="3">
        <v>14155</v>
      </c>
      <c r="H660" s="3">
        <v>7</v>
      </c>
      <c r="I660" s="3">
        <v>86862</v>
      </c>
      <c r="J660" s="3">
        <f>IF(E660="Cold",1,0)</f>
        <v>1</v>
      </c>
      <c r="K660" s="3">
        <f>IF(E660="Hot",1,0)</f>
        <v>0</v>
      </c>
      <c r="L660" s="3">
        <v>2124</v>
      </c>
      <c r="M660" s="3">
        <v>77</v>
      </c>
      <c r="N660" s="4">
        <v>44462</v>
      </c>
      <c r="O660" s="10">
        <v>317437.34749999997</v>
      </c>
      <c r="P660" s="1">
        <f>$C$3+F660*$C$4+H660*$C$6+J660*$C$8+K660*$C$9+L660*$C$10+M660*$C$11</f>
        <v>306070.52970327542</v>
      </c>
      <c r="Q660" s="1">
        <f>(O660-P660)/O660</f>
        <v>3.5808066965795693E-2</v>
      </c>
      <c r="R660" s="1"/>
      <c r="S660" s="1"/>
    </row>
    <row r="661" spans="1:19" x14ac:dyDescent="0.3">
      <c r="A661" s="2">
        <v>943</v>
      </c>
      <c r="B661" s="3" t="s">
        <v>55</v>
      </c>
      <c r="C661" s="3" t="s">
        <v>105</v>
      </c>
      <c r="D661" s="3" t="s">
        <v>18</v>
      </c>
      <c r="E661" s="3" t="s">
        <v>15</v>
      </c>
      <c r="F661" s="3">
        <f>IF(D661="Urban",1,0)</f>
        <v>1</v>
      </c>
      <c r="G661" s="3">
        <v>11680</v>
      </c>
      <c r="H661" s="3">
        <v>0</v>
      </c>
      <c r="I661" s="3">
        <v>68062</v>
      </c>
      <c r="J661" s="3">
        <f>IF(E661="Cold",1,0)</f>
        <v>1</v>
      </c>
      <c r="K661" s="3">
        <f>IF(E661="Hot",1,0)</f>
        <v>0</v>
      </c>
      <c r="L661" s="3">
        <v>2316</v>
      </c>
      <c r="M661" s="3">
        <v>86</v>
      </c>
      <c r="N661" s="4">
        <v>45486</v>
      </c>
      <c r="O661" s="10">
        <v>377453.8567</v>
      </c>
      <c r="P661" s="1">
        <f>$C$3+F661*$C$4+H661*$C$6+J661*$C$8+K661*$C$9+L661*$C$10+M661*$C$11</f>
        <v>364045.26715284504</v>
      </c>
      <c r="Q661" s="1">
        <f>(O661-P661)/O661</f>
        <v>3.552378472002763E-2</v>
      </c>
      <c r="R661" s="1"/>
      <c r="S661" s="1"/>
    </row>
    <row r="662" spans="1:19" x14ac:dyDescent="0.3">
      <c r="A662" s="2">
        <v>982</v>
      </c>
      <c r="B662" s="3" t="s">
        <v>35</v>
      </c>
      <c r="C662" s="3" t="s">
        <v>177</v>
      </c>
      <c r="D662" s="3" t="s">
        <v>18</v>
      </c>
      <c r="E662" s="3" t="s">
        <v>21</v>
      </c>
      <c r="F662" s="3">
        <f>IF(D662="Urban",1,0)</f>
        <v>1</v>
      </c>
      <c r="G662" s="3">
        <v>7095</v>
      </c>
      <c r="H662" s="3">
        <v>6</v>
      </c>
      <c r="I662" s="3">
        <v>77936</v>
      </c>
      <c r="J662" s="3">
        <f>IF(E662="Cold",1,0)</f>
        <v>0</v>
      </c>
      <c r="K662" s="3">
        <f>IF(E662="Hot",1,0)</f>
        <v>1</v>
      </c>
      <c r="L662" s="3">
        <v>1224</v>
      </c>
      <c r="M662" s="3">
        <v>83</v>
      </c>
      <c r="N662" s="4">
        <v>44752</v>
      </c>
      <c r="O662" s="10">
        <v>368937.16310000001</v>
      </c>
      <c r="P662" s="1">
        <f>$C$3+F662*$C$4+H662*$C$6+J662*$C$8+K662*$C$9+L662*$C$10+M662*$C$11</f>
        <v>355848.71339165949</v>
      </c>
      <c r="Q662" s="1">
        <f>(O662-P662)/O662</f>
        <v>3.5476094623714836E-2</v>
      </c>
      <c r="R662" s="1"/>
      <c r="S662" s="1"/>
    </row>
    <row r="663" spans="1:19" x14ac:dyDescent="0.3">
      <c r="A663" s="2">
        <v>568</v>
      </c>
      <c r="B663" s="3" t="s">
        <v>16</v>
      </c>
      <c r="C663" s="3" t="s">
        <v>176</v>
      </c>
      <c r="D663" s="3" t="s">
        <v>14</v>
      </c>
      <c r="E663" s="3" t="s">
        <v>21</v>
      </c>
      <c r="F663" s="3">
        <f>IF(D663="Urban",1,0)</f>
        <v>0</v>
      </c>
      <c r="G663" s="3">
        <v>20547</v>
      </c>
      <c r="H663" s="3">
        <v>6</v>
      </c>
      <c r="I663" s="3">
        <v>59695</v>
      </c>
      <c r="J663" s="3">
        <f>IF(E663="Cold",1,0)</f>
        <v>0</v>
      </c>
      <c r="K663" s="3">
        <f>IF(E663="Hot",1,0)</f>
        <v>1</v>
      </c>
      <c r="L663" s="3">
        <v>2954</v>
      </c>
      <c r="M663" s="3">
        <v>43</v>
      </c>
      <c r="N663" s="4">
        <v>44136</v>
      </c>
      <c r="O663" s="10">
        <v>345537.48180000001</v>
      </c>
      <c r="P663" s="1">
        <f>$C$3+F663*$C$4+H663*$C$6+J663*$C$8+K663*$C$9+L663*$C$10+M663*$C$11</f>
        <v>333326.97992065793</v>
      </c>
      <c r="Q663" s="1">
        <f>(O663-P663)/O663</f>
        <v>3.5337705813372845E-2</v>
      </c>
      <c r="R663" s="1"/>
      <c r="S663" s="1"/>
    </row>
    <row r="664" spans="1:19" x14ac:dyDescent="0.3">
      <c r="A664" s="2">
        <v>623</v>
      </c>
      <c r="B664" s="3" t="s">
        <v>35</v>
      </c>
      <c r="C664" s="3" t="s">
        <v>177</v>
      </c>
      <c r="D664" s="3" t="s">
        <v>18</v>
      </c>
      <c r="E664" s="3" t="s">
        <v>23</v>
      </c>
      <c r="F664" s="3">
        <f>IF(D664="Urban",1,0)</f>
        <v>1</v>
      </c>
      <c r="G664" s="3">
        <v>13029</v>
      </c>
      <c r="H664" s="3">
        <v>1</v>
      </c>
      <c r="I664" s="3">
        <v>74021</v>
      </c>
      <c r="J664" s="3">
        <f>IF(E664="Cold",1,0)</f>
        <v>0</v>
      </c>
      <c r="K664" s="3">
        <f>IF(E664="Hot",1,0)</f>
        <v>0</v>
      </c>
      <c r="L664" s="3">
        <v>1483</v>
      </c>
      <c r="M664" s="3">
        <v>96</v>
      </c>
      <c r="N664" s="4">
        <v>44597</v>
      </c>
      <c r="O664" s="10">
        <v>381964.64370000002</v>
      </c>
      <c r="P664" s="1">
        <f>$C$3+F664*$C$4+H664*$C$6+J664*$C$8+K664*$C$9+L664*$C$10+M664*$C$11</f>
        <v>368490.75686130568</v>
      </c>
      <c r="Q664" s="1">
        <f>(O664-P664)/O664</f>
        <v>3.527521999988277E-2</v>
      </c>
      <c r="R664" s="1"/>
      <c r="S664" s="1"/>
    </row>
    <row r="665" spans="1:19" x14ac:dyDescent="0.3">
      <c r="A665" s="2">
        <v>295</v>
      </c>
      <c r="B665" s="3" t="s">
        <v>55</v>
      </c>
      <c r="C665" s="3" t="s">
        <v>98</v>
      </c>
      <c r="D665" s="3" t="s">
        <v>18</v>
      </c>
      <c r="E665" s="3" t="s">
        <v>23</v>
      </c>
      <c r="F665" s="3">
        <f>IF(D665="Urban",1,0)</f>
        <v>1</v>
      </c>
      <c r="G665" s="3">
        <v>4093</v>
      </c>
      <c r="H665" s="3">
        <v>4</v>
      </c>
      <c r="I665" s="3">
        <v>54852</v>
      </c>
      <c r="J665" s="3">
        <f>IF(E665="Cold",1,0)</f>
        <v>0</v>
      </c>
      <c r="K665" s="3">
        <f>IF(E665="Hot",1,0)</f>
        <v>0</v>
      </c>
      <c r="L665" s="3">
        <v>2233</v>
      </c>
      <c r="M665" s="3">
        <v>82</v>
      </c>
      <c r="N665" s="4">
        <v>44028</v>
      </c>
      <c r="O665" s="10">
        <v>390029.76890000002</v>
      </c>
      <c r="P665" s="1">
        <f>$C$3+F665*$C$4+H665*$C$6+J665*$C$8+K665*$C$9+L665*$C$10+M665*$C$11</f>
        <v>376293.0314522619</v>
      </c>
      <c r="Q665" s="1">
        <f>(O665-P665)/O665</f>
        <v>3.5219715373213202E-2</v>
      </c>
      <c r="R665" s="1"/>
      <c r="S665" s="1"/>
    </row>
    <row r="666" spans="1:19" x14ac:dyDescent="0.3">
      <c r="A666" s="2">
        <v>871</v>
      </c>
      <c r="B666" s="3" t="s">
        <v>31</v>
      </c>
      <c r="C666" s="3" t="s">
        <v>172</v>
      </c>
      <c r="D666" s="3" t="s">
        <v>14</v>
      </c>
      <c r="E666" s="3" t="s">
        <v>21</v>
      </c>
      <c r="F666" s="3">
        <f>IF(D666="Urban",1,0)</f>
        <v>0</v>
      </c>
      <c r="G666" s="3">
        <v>11286</v>
      </c>
      <c r="H666" s="3">
        <v>4</v>
      </c>
      <c r="I666" s="3">
        <v>67915</v>
      </c>
      <c r="J666" s="3">
        <f>IF(E666="Cold",1,0)</f>
        <v>0</v>
      </c>
      <c r="K666" s="3">
        <f>IF(E666="Hot",1,0)</f>
        <v>1</v>
      </c>
      <c r="L666" s="3">
        <v>2415</v>
      </c>
      <c r="M666" s="3">
        <v>95</v>
      </c>
      <c r="N666" s="4">
        <v>45404</v>
      </c>
      <c r="O666" s="10">
        <v>352918.17050000001</v>
      </c>
      <c r="P666" s="1">
        <f>$C$3+F666*$C$4+H666*$C$6+J666*$C$8+K666*$C$9+L666*$C$10+M666*$C$11</f>
        <v>340498.28661376034</v>
      </c>
      <c r="Q666" s="1">
        <f>(O666-P666)/O666</f>
        <v>3.5191964949392328E-2</v>
      </c>
      <c r="R666" s="1"/>
      <c r="S666" s="1"/>
    </row>
    <row r="667" spans="1:19" x14ac:dyDescent="0.3">
      <c r="A667" s="2">
        <v>86</v>
      </c>
      <c r="B667" s="3" t="s">
        <v>24</v>
      </c>
      <c r="C667" s="3" t="s">
        <v>101</v>
      </c>
      <c r="D667" s="3" t="s">
        <v>14</v>
      </c>
      <c r="E667" s="3" t="s">
        <v>23</v>
      </c>
      <c r="F667" s="3">
        <f>IF(D667="Urban",1,0)</f>
        <v>0</v>
      </c>
      <c r="G667" s="3">
        <v>18149</v>
      </c>
      <c r="H667" s="3">
        <v>9</v>
      </c>
      <c r="I667" s="3">
        <v>98418</v>
      </c>
      <c r="J667" s="3">
        <f>IF(E667="Cold",1,0)</f>
        <v>0</v>
      </c>
      <c r="K667" s="3">
        <f>IF(E667="Hot",1,0)</f>
        <v>0</v>
      </c>
      <c r="L667" s="3">
        <v>2305</v>
      </c>
      <c r="M667" s="3">
        <v>58</v>
      </c>
      <c r="N667" s="4">
        <v>44951</v>
      </c>
      <c r="O667" s="10">
        <v>332535.12910000002</v>
      </c>
      <c r="P667" s="1">
        <f>$C$3+F667*$C$4+H667*$C$6+J667*$C$8+K667*$C$9+L667*$C$10+M667*$C$11</f>
        <v>320863.7002006144</v>
      </c>
      <c r="Q667" s="1">
        <f>(O667-P667)/O667</f>
        <v>3.5098333613576754E-2</v>
      </c>
      <c r="R667" s="1"/>
      <c r="S667" s="1"/>
    </row>
    <row r="668" spans="1:19" x14ac:dyDescent="0.3">
      <c r="A668" s="2">
        <v>203</v>
      </c>
      <c r="B668" s="3" t="s">
        <v>53</v>
      </c>
      <c r="C668" s="3" t="s">
        <v>157</v>
      </c>
      <c r="D668" s="3" t="s">
        <v>14</v>
      </c>
      <c r="E668" s="3" t="s">
        <v>15</v>
      </c>
      <c r="F668" s="3">
        <f>IF(D668="Urban",1,0)</f>
        <v>0</v>
      </c>
      <c r="G668" s="3">
        <v>13496</v>
      </c>
      <c r="H668" s="3">
        <v>4</v>
      </c>
      <c r="I668" s="3">
        <v>95903</v>
      </c>
      <c r="J668" s="3">
        <f>IF(E668="Cold",1,0)</f>
        <v>1</v>
      </c>
      <c r="K668" s="3">
        <f>IF(E668="Hot",1,0)</f>
        <v>0</v>
      </c>
      <c r="L668" s="3">
        <v>2041</v>
      </c>
      <c r="M668" s="3">
        <v>94</v>
      </c>
      <c r="N668" s="4">
        <v>44765</v>
      </c>
      <c r="O668" s="10">
        <v>323746.65470000001</v>
      </c>
      <c r="P668" s="1">
        <f>$C$3+F668*$C$4+H668*$C$6+J668*$C$8+K668*$C$9+L668*$C$10+M668*$C$11</f>
        <v>312504.29801625945</v>
      </c>
      <c r="Q668" s="1">
        <f>(O668-P668)/O668</f>
        <v>3.4725784870760446E-2</v>
      </c>
      <c r="R668" s="1"/>
      <c r="S668" s="1"/>
    </row>
    <row r="669" spans="1:19" x14ac:dyDescent="0.3">
      <c r="A669" s="2">
        <v>979</v>
      </c>
      <c r="B669" s="3" t="s">
        <v>55</v>
      </c>
      <c r="C669" s="3" t="s">
        <v>66</v>
      </c>
      <c r="D669" s="3" t="s">
        <v>14</v>
      </c>
      <c r="E669" s="3" t="s">
        <v>23</v>
      </c>
      <c r="F669" s="3">
        <f>IF(D669="Urban",1,0)</f>
        <v>0</v>
      </c>
      <c r="G669" s="3">
        <v>27165</v>
      </c>
      <c r="H669" s="3">
        <v>2</v>
      </c>
      <c r="I669" s="3">
        <v>85867</v>
      </c>
      <c r="J669" s="3">
        <f>IF(E669="Cold",1,0)</f>
        <v>0</v>
      </c>
      <c r="K669" s="3">
        <f>IF(E669="Hot",1,0)</f>
        <v>0</v>
      </c>
      <c r="L669" s="3">
        <v>2730</v>
      </c>
      <c r="M669" s="3">
        <v>57</v>
      </c>
      <c r="N669" s="4">
        <v>44315</v>
      </c>
      <c r="O669" s="10">
        <v>347685.93780000001</v>
      </c>
      <c r="P669" s="1">
        <f>$C$3+F669*$C$4+H669*$C$6+J669*$C$8+K669*$C$9+L669*$C$10+M669*$C$11</f>
        <v>335687.90028869943</v>
      </c>
      <c r="Q669" s="1">
        <f>(O669-P669)/O669</f>
        <v>3.4508262218537693E-2</v>
      </c>
      <c r="R669" s="1"/>
      <c r="S669" s="1"/>
    </row>
    <row r="670" spans="1:19" x14ac:dyDescent="0.3">
      <c r="A670" s="2">
        <v>48</v>
      </c>
      <c r="B670" s="3" t="s">
        <v>19</v>
      </c>
      <c r="C670" s="3" t="s">
        <v>20</v>
      </c>
      <c r="D670" s="3" t="s">
        <v>18</v>
      </c>
      <c r="E670" s="3" t="s">
        <v>21</v>
      </c>
      <c r="F670" s="3">
        <f>IF(D670="Urban",1,0)</f>
        <v>1</v>
      </c>
      <c r="G670" s="3">
        <v>13707</v>
      </c>
      <c r="H670" s="3">
        <v>0</v>
      </c>
      <c r="I670" s="3">
        <v>56955</v>
      </c>
      <c r="J670" s="3">
        <f>IF(E670="Cold",1,0)</f>
        <v>0</v>
      </c>
      <c r="K670" s="3">
        <f>IF(E670="Hot",1,0)</f>
        <v>1</v>
      </c>
      <c r="L670" s="3">
        <v>1151</v>
      </c>
      <c r="M670" s="3">
        <v>58</v>
      </c>
      <c r="N670" s="4">
        <v>43897</v>
      </c>
      <c r="O670" s="10">
        <v>364932.21360000002</v>
      </c>
      <c r="P670" s="1">
        <f>$C$3+F670*$C$4+H670*$C$6+J670*$C$8+K670*$C$9+L670*$C$10+M670*$C$11</f>
        <v>352386.68379930611</v>
      </c>
      <c r="Q670" s="1">
        <f>(O670-P670)/O670</f>
        <v>3.4377699016850817E-2</v>
      </c>
      <c r="R670" s="1"/>
      <c r="S670" s="1"/>
    </row>
    <row r="671" spans="1:19" x14ac:dyDescent="0.3">
      <c r="A671" s="2">
        <v>227</v>
      </c>
      <c r="B671" s="3" t="s">
        <v>35</v>
      </c>
      <c r="C671" s="3" t="s">
        <v>139</v>
      </c>
      <c r="D671" s="3" t="s">
        <v>18</v>
      </c>
      <c r="E671" s="3" t="s">
        <v>21</v>
      </c>
      <c r="F671" s="3">
        <f>IF(D671="Urban",1,0)</f>
        <v>1</v>
      </c>
      <c r="G671" s="3">
        <v>9132</v>
      </c>
      <c r="H671" s="3">
        <v>3</v>
      </c>
      <c r="I671" s="3">
        <v>96329</v>
      </c>
      <c r="J671" s="3">
        <f>IF(E671="Cold",1,0)</f>
        <v>0</v>
      </c>
      <c r="K671" s="3">
        <f>IF(E671="Hot",1,0)</f>
        <v>1</v>
      </c>
      <c r="L671" s="3">
        <v>2473</v>
      </c>
      <c r="M671" s="3">
        <v>67</v>
      </c>
      <c r="N671" s="4">
        <v>45291</v>
      </c>
      <c r="O671" s="10">
        <v>392126.56699999998</v>
      </c>
      <c r="P671" s="1">
        <f>$C$3+F671*$C$4+H671*$C$6+J671*$C$8+K671*$C$9+L671*$C$10+M671*$C$11</f>
        <v>378693.68213416461</v>
      </c>
      <c r="Q671" s="1">
        <f>(O671-P671)/O671</f>
        <v>3.4256502864890986E-2</v>
      </c>
      <c r="R671" s="1"/>
      <c r="S671" s="1"/>
    </row>
    <row r="672" spans="1:19" x14ac:dyDescent="0.3">
      <c r="A672" s="2">
        <v>501</v>
      </c>
      <c r="B672" s="3" t="s">
        <v>55</v>
      </c>
      <c r="C672" s="3" t="s">
        <v>169</v>
      </c>
      <c r="D672" s="3" t="s">
        <v>18</v>
      </c>
      <c r="E672" s="3" t="s">
        <v>23</v>
      </c>
      <c r="F672" s="3">
        <f>IF(D672="Urban",1,0)</f>
        <v>1</v>
      </c>
      <c r="G672" s="3">
        <v>29103</v>
      </c>
      <c r="H672" s="3">
        <v>1</v>
      </c>
      <c r="I672" s="3">
        <v>65943</v>
      </c>
      <c r="J672" s="3">
        <f>IF(E672="Cold",1,0)</f>
        <v>0</v>
      </c>
      <c r="K672" s="3">
        <f>IF(E672="Hot",1,0)</f>
        <v>0</v>
      </c>
      <c r="L672" s="3">
        <v>2236</v>
      </c>
      <c r="M672" s="3">
        <v>49</v>
      </c>
      <c r="N672" s="4">
        <v>45231</v>
      </c>
      <c r="O672" s="10">
        <v>382107.08390000003</v>
      </c>
      <c r="P672" s="1">
        <f>$C$3+F672*$C$4+H672*$C$6+J672*$C$8+K672*$C$9+L672*$C$10+M672*$C$11</f>
        <v>369031.60448683257</v>
      </c>
      <c r="Q672" s="1">
        <f>(O672-P672)/O672</f>
        <v>3.4219411165351224E-2</v>
      </c>
      <c r="R672" s="1"/>
      <c r="S672" s="1"/>
    </row>
    <row r="673" spans="1:19" x14ac:dyDescent="0.3">
      <c r="A673" s="2">
        <v>716</v>
      </c>
      <c r="B673" s="3" t="s">
        <v>26</v>
      </c>
      <c r="C673" s="3" t="s">
        <v>47</v>
      </c>
      <c r="D673" s="3" t="s">
        <v>18</v>
      </c>
      <c r="E673" s="3" t="s">
        <v>15</v>
      </c>
      <c r="F673" s="3">
        <f>IF(D673="Urban",1,0)</f>
        <v>1</v>
      </c>
      <c r="G673" s="3">
        <v>16727</v>
      </c>
      <c r="H673" s="3">
        <v>6</v>
      </c>
      <c r="I673" s="3">
        <v>74519</v>
      </c>
      <c r="J673" s="3">
        <f>IF(E673="Cold",1,0)</f>
        <v>1</v>
      </c>
      <c r="K673" s="3">
        <f>IF(E673="Hot",1,0)</f>
        <v>0</v>
      </c>
      <c r="L673" s="3">
        <v>1757</v>
      </c>
      <c r="M673" s="3">
        <v>56</v>
      </c>
      <c r="N673" s="4">
        <v>44163</v>
      </c>
      <c r="O673" s="10">
        <v>349887.50630000001</v>
      </c>
      <c r="P673" s="1">
        <f>$C$3+F673*$C$4+H673*$C$6+J673*$C$8+K673*$C$9+L673*$C$10+M673*$C$11</f>
        <v>337941.78891251353</v>
      </c>
      <c r="Q673" s="1">
        <f>(O673-P673)/O673</f>
        <v>3.414159457652656E-2</v>
      </c>
      <c r="R673" s="1"/>
      <c r="S673" s="1"/>
    </row>
    <row r="674" spans="1:19" x14ac:dyDescent="0.3">
      <c r="A674" s="2">
        <v>218</v>
      </c>
      <c r="B674" s="3" t="s">
        <v>108</v>
      </c>
      <c r="C674" s="3" t="s">
        <v>117</v>
      </c>
      <c r="D674" s="3" t="s">
        <v>18</v>
      </c>
      <c r="E674" s="3" t="s">
        <v>15</v>
      </c>
      <c r="F674" s="3">
        <f>IF(D674="Urban",1,0)</f>
        <v>1</v>
      </c>
      <c r="G674" s="3">
        <v>13798</v>
      </c>
      <c r="H674" s="3">
        <v>3</v>
      </c>
      <c r="I674" s="3">
        <v>78668</v>
      </c>
      <c r="J674" s="3">
        <f>IF(E674="Cold",1,0)</f>
        <v>1</v>
      </c>
      <c r="K674" s="3">
        <f>IF(E674="Hot",1,0)</f>
        <v>0</v>
      </c>
      <c r="L674" s="3">
        <v>2783</v>
      </c>
      <c r="M674" s="3">
        <v>92</v>
      </c>
      <c r="N674" s="4">
        <v>44262</v>
      </c>
      <c r="O674" s="10">
        <v>385515.95240000001</v>
      </c>
      <c r="P674" s="1">
        <f>$C$3+F674*$C$4+H674*$C$6+J674*$C$8+K674*$C$9+L674*$C$10+M674*$C$11</f>
        <v>372364.29705531732</v>
      </c>
      <c r="Q674" s="1">
        <f>(O674-P674)/O674</f>
        <v>3.4114425778772745E-2</v>
      </c>
      <c r="R674" s="1"/>
      <c r="S674" s="1"/>
    </row>
    <row r="675" spans="1:19" x14ac:dyDescent="0.3">
      <c r="A675" s="2">
        <v>63</v>
      </c>
      <c r="B675" s="3" t="s">
        <v>12</v>
      </c>
      <c r="C675" s="3" t="s">
        <v>85</v>
      </c>
      <c r="D675" s="3" t="s">
        <v>14</v>
      </c>
      <c r="E675" s="3" t="s">
        <v>23</v>
      </c>
      <c r="F675" s="3">
        <f>IF(D675="Urban",1,0)</f>
        <v>0</v>
      </c>
      <c r="G675" s="3">
        <v>17612</v>
      </c>
      <c r="H675" s="3">
        <v>7</v>
      </c>
      <c r="I675" s="3">
        <v>71095</v>
      </c>
      <c r="J675" s="3">
        <f>IF(E675="Cold",1,0)</f>
        <v>0</v>
      </c>
      <c r="K675" s="3">
        <f>IF(E675="Hot",1,0)</f>
        <v>0</v>
      </c>
      <c r="L675" s="3">
        <v>1139</v>
      </c>
      <c r="M675" s="3">
        <v>66</v>
      </c>
      <c r="N675" s="4">
        <v>44562</v>
      </c>
      <c r="O675" s="10">
        <v>312603.73690000002</v>
      </c>
      <c r="P675" s="1">
        <f>$C$3+F675*$C$4+H675*$C$6+J675*$C$8+K675*$C$9+L675*$C$10+M675*$C$11</f>
        <v>301959.81467462558</v>
      </c>
      <c r="Q675" s="1">
        <f>(O675-P675)/O675</f>
        <v>3.4049248198140897E-2</v>
      </c>
      <c r="R675" s="1"/>
      <c r="S675" s="1"/>
    </row>
    <row r="676" spans="1:19" x14ac:dyDescent="0.3">
      <c r="A676" s="2">
        <v>436</v>
      </c>
      <c r="B676" s="3" t="s">
        <v>19</v>
      </c>
      <c r="C676" s="3" t="s">
        <v>199</v>
      </c>
      <c r="D676" s="3" t="s">
        <v>18</v>
      </c>
      <c r="E676" s="3" t="s">
        <v>15</v>
      </c>
      <c r="F676" s="3">
        <f>IF(D676="Urban",1,0)</f>
        <v>1</v>
      </c>
      <c r="G676" s="3">
        <v>29050</v>
      </c>
      <c r="H676" s="3">
        <v>1</v>
      </c>
      <c r="I676" s="3">
        <v>70308</v>
      </c>
      <c r="J676" s="3">
        <f>IF(E676="Cold",1,0)</f>
        <v>1</v>
      </c>
      <c r="K676" s="3">
        <f>IF(E676="Hot",1,0)</f>
        <v>0</v>
      </c>
      <c r="L676" s="3">
        <v>1775</v>
      </c>
      <c r="M676" s="3">
        <v>64</v>
      </c>
      <c r="N676" s="4">
        <v>44991</v>
      </c>
      <c r="O676" s="10">
        <v>357688.65460000001</v>
      </c>
      <c r="P676" s="1">
        <f>$C$3+F676*$C$4+H676*$C$6+J676*$C$8+K676*$C$9+L676*$C$10+M676*$C$11</f>
        <v>345517.34435851488</v>
      </c>
      <c r="Q676" s="1">
        <f>(O676-P676)/O676</f>
        <v>3.4027666477417902E-2</v>
      </c>
      <c r="R676" s="1"/>
      <c r="S676" s="1"/>
    </row>
    <row r="677" spans="1:19" x14ac:dyDescent="0.3">
      <c r="A677" s="2">
        <v>460</v>
      </c>
      <c r="B677" s="3" t="s">
        <v>29</v>
      </c>
      <c r="C677" s="3" t="s">
        <v>59</v>
      </c>
      <c r="D677" s="3" t="s">
        <v>14</v>
      </c>
      <c r="E677" s="3" t="s">
        <v>21</v>
      </c>
      <c r="F677" s="3">
        <f>IF(D677="Urban",1,0)</f>
        <v>0</v>
      </c>
      <c r="G677" s="3">
        <v>23376</v>
      </c>
      <c r="H677" s="3">
        <v>4</v>
      </c>
      <c r="I677" s="3">
        <v>71683</v>
      </c>
      <c r="J677" s="3">
        <f>IF(E677="Cold",1,0)</f>
        <v>0</v>
      </c>
      <c r="K677" s="3">
        <f>IF(E677="Hot",1,0)</f>
        <v>1</v>
      </c>
      <c r="L677" s="3">
        <v>1974</v>
      </c>
      <c r="M677" s="3">
        <v>72</v>
      </c>
      <c r="N677" s="4">
        <v>44310</v>
      </c>
      <c r="O677" s="10">
        <v>336012.27600000001</v>
      </c>
      <c r="P677" s="1">
        <f>$C$3+F677*$C$4+H677*$C$6+J677*$C$8+K677*$C$9+L677*$C$10+M677*$C$11</f>
        <v>324607.93650936033</v>
      </c>
      <c r="Q677" s="1">
        <f>(O677-P677)/O677</f>
        <v>3.3940246548134108E-2</v>
      </c>
      <c r="R677" s="1"/>
      <c r="S677" s="1"/>
    </row>
    <row r="678" spans="1:19" x14ac:dyDescent="0.3">
      <c r="A678" s="2">
        <v>345</v>
      </c>
      <c r="B678" s="3" t="s">
        <v>35</v>
      </c>
      <c r="C678" s="3" t="s">
        <v>191</v>
      </c>
      <c r="D678" s="3" t="s">
        <v>18</v>
      </c>
      <c r="E678" s="3" t="s">
        <v>21</v>
      </c>
      <c r="F678" s="3">
        <f>IF(D678="Urban",1,0)</f>
        <v>1</v>
      </c>
      <c r="G678" s="3">
        <v>27741</v>
      </c>
      <c r="H678" s="3">
        <v>6</v>
      </c>
      <c r="I678" s="3">
        <v>70760</v>
      </c>
      <c r="J678" s="3">
        <f>IF(E678="Cold",1,0)</f>
        <v>0</v>
      </c>
      <c r="K678" s="3">
        <f>IF(E678="Hot",1,0)</f>
        <v>1</v>
      </c>
      <c r="L678" s="3">
        <v>1535</v>
      </c>
      <c r="M678" s="3">
        <v>63</v>
      </c>
      <c r="N678" s="4">
        <v>44711</v>
      </c>
      <c r="O678" s="10">
        <v>368316.42509999999</v>
      </c>
      <c r="P678" s="1">
        <f>$C$3+F678*$C$4+H678*$C$6+J678*$C$8+K678*$C$9+L678*$C$10+M678*$C$11</f>
        <v>355890.75549927371</v>
      </c>
      <c r="Q678" s="1">
        <f>(O678-P678)/O678</f>
        <v>3.3736398254171372E-2</v>
      </c>
      <c r="R678" s="1"/>
      <c r="S678" s="1"/>
    </row>
    <row r="679" spans="1:19" x14ac:dyDescent="0.3">
      <c r="A679" s="2">
        <v>422</v>
      </c>
      <c r="B679" s="3" t="s">
        <v>33</v>
      </c>
      <c r="C679" s="3" t="s">
        <v>88</v>
      </c>
      <c r="D679" s="3" t="s">
        <v>18</v>
      </c>
      <c r="E679" s="3" t="s">
        <v>21</v>
      </c>
      <c r="F679" s="3">
        <f>IF(D679="Urban",1,0)</f>
        <v>1</v>
      </c>
      <c r="G679" s="3">
        <v>15367</v>
      </c>
      <c r="H679" s="3">
        <v>3</v>
      </c>
      <c r="I679" s="3">
        <v>77540</v>
      </c>
      <c r="J679" s="3">
        <f>IF(E679="Cold",1,0)</f>
        <v>0</v>
      </c>
      <c r="K679" s="3">
        <f>IF(E679="Hot",1,0)</f>
        <v>1</v>
      </c>
      <c r="L679" s="3">
        <v>1119</v>
      </c>
      <c r="M679" s="3">
        <v>82</v>
      </c>
      <c r="N679" s="4">
        <v>44822</v>
      </c>
      <c r="O679" s="10">
        <v>368673.94069999998</v>
      </c>
      <c r="P679" s="1">
        <f>$C$3+F679*$C$4+H679*$C$6+J679*$C$8+K679*$C$9+L679*$C$10+M679*$C$11</f>
        <v>356295.28600023122</v>
      </c>
      <c r="Q679" s="1">
        <f>(O679-P679)/O679</f>
        <v>3.3576158586813717E-2</v>
      </c>
      <c r="R679" s="1"/>
      <c r="S679" s="1"/>
    </row>
    <row r="680" spans="1:19" x14ac:dyDescent="0.3">
      <c r="A680" s="2">
        <v>951</v>
      </c>
      <c r="B680" s="3" t="s">
        <v>72</v>
      </c>
      <c r="C680" s="3" t="s">
        <v>151</v>
      </c>
      <c r="D680" s="3" t="s">
        <v>18</v>
      </c>
      <c r="E680" s="3" t="s">
        <v>15</v>
      </c>
      <c r="F680" s="3">
        <f>IF(D680="Urban",1,0)</f>
        <v>1</v>
      </c>
      <c r="G680" s="3">
        <v>14729</v>
      </c>
      <c r="H680" s="3">
        <v>0</v>
      </c>
      <c r="I680" s="3">
        <v>76732</v>
      </c>
      <c r="J680" s="3">
        <f>IF(E680="Cold",1,0)</f>
        <v>1</v>
      </c>
      <c r="K680" s="3">
        <f>IF(E680="Hot",1,0)</f>
        <v>0</v>
      </c>
      <c r="L680" s="3">
        <v>1041</v>
      </c>
      <c r="M680" s="3">
        <v>99</v>
      </c>
      <c r="N680" s="4">
        <v>43953</v>
      </c>
      <c r="O680" s="10">
        <v>354431.2647</v>
      </c>
      <c r="P680" s="1">
        <f>$C$3+F680*$C$4+H680*$C$6+J680*$C$8+K680*$C$9+L680*$C$10+M680*$C$11</f>
        <v>342607.01795739954</v>
      </c>
      <c r="Q680" s="1">
        <f>(O680-P680)/O680</f>
        <v>3.3361184297916874E-2</v>
      </c>
      <c r="R680" s="1"/>
      <c r="S680" s="1"/>
    </row>
    <row r="681" spans="1:19" x14ac:dyDescent="0.3">
      <c r="A681" s="2">
        <v>307</v>
      </c>
      <c r="B681" s="3" t="s">
        <v>53</v>
      </c>
      <c r="C681" s="3" t="s">
        <v>131</v>
      </c>
      <c r="D681" s="3" t="s">
        <v>18</v>
      </c>
      <c r="E681" s="3" t="s">
        <v>15</v>
      </c>
      <c r="F681" s="3">
        <f>IF(D681="Urban",1,0)</f>
        <v>1</v>
      </c>
      <c r="G681" s="3">
        <v>23981</v>
      </c>
      <c r="H681" s="3">
        <v>1</v>
      </c>
      <c r="I681" s="3">
        <v>83378</v>
      </c>
      <c r="J681" s="3">
        <f>IF(E681="Cold",1,0)</f>
        <v>1</v>
      </c>
      <c r="K681" s="3">
        <f>IF(E681="Hot",1,0)</f>
        <v>0</v>
      </c>
      <c r="L681" s="3">
        <v>2104</v>
      </c>
      <c r="M681" s="3">
        <v>38</v>
      </c>
      <c r="N681" s="4">
        <v>43892</v>
      </c>
      <c r="O681" s="10">
        <v>355928.42389999999</v>
      </c>
      <c r="P681" s="1">
        <f>$C$3+F681*$C$4+H681*$C$6+J681*$C$8+K681*$C$9+L681*$C$10+M681*$C$11</f>
        <v>344069.2331819667</v>
      </c>
      <c r="Q681" s="1">
        <f>(O681-P681)/O681</f>
        <v>3.3319032484366004E-2</v>
      </c>
      <c r="R681" s="1"/>
      <c r="S681" s="1"/>
    </row>
    <row r="682" spans="1:19" x14ac:dyDescent="0.3">
      <c r="A682" s="2">
        <v>397</v>
      </c>
      <c r="B682" s="3" t="s">
        <v>29</v>
      </c>
      <c r="C682" s="3" t="s">
        <v>132</v>
      </c>
      <c r="D682" s="3" t="s">
        <v>18</v>
      </c>
      <c r="E682" s="3" t="s">
        <v>15</v>
      </c>
      <c r="F682" s="3">
        <f>IF(D682="Urban",1,0)</f>
        <v>1</v>
      </c>
      <c r="G682" s="3">
        <v>8059</v>
      </c>
      <c r="H682" s="3">
        <v>7</v>
      </c>
      <c r="I682" s="3">
        <v>98435</v>
      </c>
      <c r="J682" s="3">
        <f>IF(E682="Cold",1,0)</f>
        <v>1</v>
      </c>
      <c r="K682" s="3">
        <f>IF(E682="Hot",1,0)</f>
        <v>0</v>
      </c>
      <c r="L682" s="3">
        <v>2903</v>
      </c>
      <c r="M682" s="3">
        <v>36</v>
      </c>
      <c r="N682" s="4">
        <v>44814</v>
      </c>
      <c r="O682" s="10">
        <v>365884.03379999998</v>
      </c>
      <c r="P682" s="1">
        <f>$C$3+F682*$C$4+H682*$C$6+J682*$C$8+K682*$C$9+L682*$C$10+M682*$C$11</f>
        <v>353697.87068626814</v>
      </c>
      <c r="Q682" s="1">
        <f>(O682-P682)/O682</f>
        <v>3.3306080582879573E-2</v>
      </c>
      <c r="R682" s="1"/>
      <c r="S682" s="1"/>
    </row>
    <row r="683" spans="1:19" x14ac:dyDescent="0.3">
      <c r="A683" s="2">
        <v>117</v>
      </c>
      <c r="B683" s="3" t="s">
        <v>40</v>
      </c>
      <c r="C683" s="3" t="s">
        <v>121</v>
      </c>
      <c r="D683" s="3" t="s">
        <v>18</v>
      </c>
      <c r="E683" s="3" t="s">
        <v>15</v>
      </c>
      <c r="F683" s="3">
        <f>IF(D683="Urban",1,0)</f>
        <v>1</v>
      </c>
      <c r="G683" s="3">
        <v>15272</v>
      </c>
      <c r="H683" s="3">
        <v>9</v>
      </c>
      <c r="I683" s="3">
        <v>65646</v>
      </c>
      <c r="J683" s="3">
        <f>IF(E683="Cold",1,0)</f>
        <v>1</v>
      </c>
      <c r="K683" s="3">
        <f>IF(E683="Hot",1,0)</f>
        <v>0</v>
      </c>
      <c r="L683" s="3">
        <v>2877</v>
      </c>
      <c r="M683" s="3">
        <v>81</v>
      </c>
      <c r="N683" s="4">
        <v>44612</v>
      </c>
      <c r="O683" s="10">
        <v>377668.47779999999</v>
      </c>
      <c r="P683" s="1">
        <f>$C$3+F683*$C$4+H683*$C$6+J683*$C$8+K683*$C$9+L683*$C$10+M683*$C$11</f>
        <v>365149.1435332555</v>
      </c>
      <c r="Q683" s="1">
        <f>(O683-P683)/O683</f>
        <v>3.3149005020679266E-2</v>
      </c>
      <c r="R683" s="1"/>
      <c r="S683" s="1"/>
    </row>
    <row r="684" spans="1:19" x14ac:dyDescent="0.3">
      <c r="A684" s="2">
        <v>655</v>
      </c>
      <c r="B684" s="3" t="s">
        <v>24</v>
      </c>
      <c r="C684" s="3" t="s">
        <v>39</v>
      </c>
      <c r="D684" s="3" t="s">
        <v>14</v>
      </c>
      <c r="E684" s="3" t="s">
        <v>21</v>
      </c>
      <c r="F684" s="3">
        <f>IF(D684="Urban",1,0)</f>
        <v>0</v>
      </c>
      <c r="G684" s="3">
        <v>8411</v>
      </c>
      <c r="H684" s="3">
        <v>5</v>
      </c>
      <c r="I684" s="3">
        <v>53441</v>
      </c>
      <c r="J684" s="3">
        <f>IF(E684="Cold",1,0)</f>
        <v>0</v>
      </c>
      <c r="K684" s="3">
        <f>IF(E684="Hot",1,0)</f>
        <v>1</v>
      </c>
      <c r="L684" s="3">
        <v>2476</v>
      </c>
      <c r="M684" s="3">
        <v>47</v>
      </c>
      <c r="N684" s="4">
        <v>45045</v>
      </c>
      <c r="O684" s="10">
        <v>337080.6128</v>
      </c>
      <c r="P684" s="1">
        <f>$C$3+F684*$C$4+H684*$C$6+J684*$C$8+K684*$C$9+L684*$C$10+M684*$C$11</f>
        <v>325970.52747940196</v>
      </c>
      <c r="Q684" s="1">
        <f>(O684-P684)/O684</f>
        <v>3.2959728025622123E-2</v>
      </c>
      <c r="R684" s="1"/>
      <c r="S684" s="1"/>
    </row>
    <row r="685" spans="1:19" x14ac:dyDescent="0.3">
      <c r="A685" s="2">
        <v>604</v>
      </c>
      <c r="B685" s="3" t="s">
        <v>19</v>
      </c>
      <c r="C685" s="3" t="s">
        <v>216</v>
      </c>
      <c r="D685" s="3" t="s">
        <v>14</v>
      </c>
      <c r="E685" s="3" t="s">
        <v>23</v>
      </c>
      <c r="F685" s="3">
        <f>IF(D685="Urban",1,0)</f>
        <v>0</v>
      </c>
      <c r="G685" s="3">
        <v>13172</v>
      </c>
      <c r="H685" s="3">
        <v>5</v>
      </c>
      <c r="I685" s="3">
        <v>84388</v>
      </c>
      <c r="J685" s="3">
        <f>IF(E685="Cold",1,0)</f>
        <v>0</v>
      </c>
      <c r="K685" s="3">
        <f>IF(E685="Hot",1,0)</f>
        <v>0</v>
      </c>
      <c r="L685" s="3">
        <v>2813</v>
      </c>
      <c r="M685" s="3">
        <v>39</v>
      </c>
      <c r="N685" s="4">
        <v>44489</v>
      </c>
      <c r="O685" s="10">
        <v>340137.73940000002</v>
      </c>
      <c r="P685" s="1">
        <f>$C$3+F685*$C$4+H685*$C$6+J685*$C$8+K685*$C$9+L685*$C$10+M685*$C$11</f>
        <v>328945.90194297192</v>
      </c>
      <c r="Q685" s="1">
        <f>(O685-P685)/O685</f>
        <v>3.2903839123439825E-2</v>
      </c>
      <c r="R685" s="1"/>
      <c r="S685" s="1"/>
    </row>
    <row r="686" spans="1:19" x14ac:dyDescent="0.3">
      <c r="A686" s="2">
        <v>343</v>
      </c>
      <c r="B686" s="3" t="s">
        <v>44</v>
      </c>
      <c r="C686" s="3" t="s">
        <v>82</v>
      </c>
      <c r="D686" s="3" t="s">
        <v>14</v>
      </c>
      <c r="E686" s="3" t="s">
        <v>23</v>
      </c>
      <c r="F686" s="3">
        <f>IF(D686="Urban",1,0)</f>
        <v>0</v>
      </c>
      <c r="G686" s="3">
        <v>8516</v>
      </c>
      <c r="H686" s="3">
        <v>7</v>
      </c>
      <c r="I686" s="3">
        <v>68383</v>
      </c>
      <c r="J686" s="3">
        <f>IF(E686="Cold",1,0)</f>
        <v>0</v>
      </c>
      <c r="K686" s="3">
        <f>IF(E686="Hot",1,0)</f>
        <v>0</v>
      </c>
      <c r="L686" s="3">
        <v>1446</v>
      </c>
      <c r="M686" s="3">
        <v>32</v>
      </c>
      <c r="N686" s="4">
        <v>45144</v>
      </c>
      <c r="O686" s="10">
        <v>307728.27710000001</v>
      </c>
      <c r="P686" s="1">
        <f>$C$3+F686*$C$4+H686*$C$6+J686*$C$8+K686*$C$9+L686*$C$10+M686*$C$11</f>
        <v>297606.80812109914</v>
      </c>
      <c r="Q686" s="1">
        <f>(O686-P686)/O686</f>
        <v>3.2890929212890552E-2</v>
      </c>
      <c r="R686" s="1"/>
      <c r="S686" s="1"/>
    </row>
    <row r="687" spans="1:19" x14ac:dyDescent="0.3">
      <c r="A687" s="2">
        <v>884</v>
      </c>
      <c r="B687" s="3" t="s">
        <v>37</v>
      </c>
      <c r="C687" s="3" t="s">
        <v>128</v>
      </c>
      <c r="D687" s="3" t="s">
        <v>14</v>
      </c>
      <c r="E687" s="3" t="s">
        <v>21</v>
      </c>
      <c r="F687" s="3">
        <f>IF(D687="Urban",1,0)</f>
        <v>0</v>
      </c>
      <c r="G687" s="3">
        <v>29810</v>
      </c>
      <c r="H687" s="3">
        <v>7</v>
      </c>
      <c r="I687" s="3">
        <v>73522</v>
      </c>
      <c r="J687" s="3">
        <f>IF(E687="Cold",1,0)</f>
        <v>0</v>
      </c>
      <c r="K687" s="3">
        <f>IF(E687="Hot",1,0)</f>
        <v>1</v>
      </c>
      <c r="L687" s="3">
        <v>1906</v>
      </c>
      <c r="M687" s="3">
        <v>54</v>
      </c>
      <c r="N687" s="4">
        <v>44258</v>
      </c>
      <c r="O687" s="10">
        <v>325520.2009</v>
      </c>
      <c r="P687" s="1">
        <f>$C$3+F687*$C$4+H687*$C$6+J687*$C$8+K687*$C$9+L687*$C$10+M687*$C$11</f>
        <v>314852.42351046606</v>
      </c>
      <c r="Q687" s="1">
        <f>(O687-P687)/O687</f>
        <v>3.2771475810225006E-2</v>
      </c>
      <c r="R687" s="1"/>
      <c r="S687" s="1"/>
    </row>
    <row r="688" spans="1:19" x14ac:dyDescent="0.3">
      <c r="A688" s="2">
        <v>986</v>
      </c>
      <c r="B688" s="3" t="s">
        <v>19</v>
      </c>
      <c r="C688" s="3" t="s">
        <v>130</v>
      </c>
      <c r="D688" s="3" t="s">
        <v>14</v>
      </c>
      <c r="E688" s="3" t="s">
        <v>21</v>
      </c>
      <c r="F688" s="3">
        <f>IF(D688="Urban",1,0)</f>
        <v>0</v>
      </c>
      <c r="G688" s="3">
        <v>10386</v>
      </c>
      <c r="H688" s="3">
        <v>0</v>
      </c>
      <c r="I688" s="3">
        <v>79357</v>
      </c>
      <c r="J688" s="3">
        <f>IF(E688="Cold",1,0)</f>
        <v>0</v>
      </c>
      <c r="K688" s="3">
        <f>IF(E688="Hot",1,0)</f>
        <v>1</v>
      </c>
      <c r="L688" s="3">
        <v>2068</v>
      </c>
      <c r="M688" s="3">
        <v>31</v>
      </c>
      <c r="N688" s="4">
        <v>43980</v>
      </c>
      <c r="O688" s="10">
        <v>328391.41320000001</v>
      </c>
      <c r="P688" s="1">
        <f>$C$3+F688*$C$4+H688*$C$6+J688*$C$8+K688*$C$9+L688*$C$10+M688*$C$11</f>
        <v>317646.85854850826</v>
      </c>
      <c r="Q688" s="1">
        <f>(O688-P688)/O688</f>
        <v>3.2718744216822755E-2</v>
      </c>
      <c r="R688" s="1"/>
      <c r="S688" s="1"/>
    </row>
    <row r="689" spans="1:19" x14ac:dyDescent="0.3">
      <c r="A689" s="2">
        <v>329</v>
      </c>
      <c r="B689" s="3" t="s">
        <v>55</v>
      </c>
      <c r="C689" s="3" t="s">
        <v>148</v>
      </c>
      <c r="D689" s="3" t="s">
        <v>18</v>
      </c>
      <c r="E689" s="3" t="s">
        <v>21</v>
      </c>
      <c r="F689" s="3">
        <f>IF(D689="Urban",1,0)</f>
        <v>1</v>
      </c>
      <c r="G689" s="3">
        <v>14354</v>
      </c>
      <c r="H689" s="3">
        <v>8</v>
      </c>
      <c r="I689" s="3">
        <v>70351</v>
      </c>
      <c r="J689" s="3">
        <f>IF(E689="Cold",1,0)</f>
        <v>0</v>
      </c>
      <c r="K689" s="3">
        <f>IF(E689="Hot",1,0)</f>
        <v>1</v>
      </c>
      <c r="L689" s="3">
        <v>1759</v>
      </c>
      <c r="M689" s="3">
        <v>71</v>
      </c>
      <c r="N689" s="4">
        <v>45149</v>
      </c>
      <c r="O689" s="10">
        <v>373051.50900000002</v>
      </c>
      <c r="P689" s="1">
        <f>$C$3+F689*$C$4+H689*$C$6+J689*$C$8+K689*$C$9+L689*$C$10+M689*$C$11</f>
        <v>360926.7798055606</v>
      </c>
      <c r="Q689" s="1">
        <f>(O689-P689)/O689</f>
        <v>3.2501488137498522E-2</v>
      </c>
      <c r="R689" s="1"/>
      <c r="S689" s="1"/>
    </row>
    <row r="690" spans="1:19" x14ac:dyDescent="0.3">
      <c r="A690" s="2">
        <v>834</v>
      </c>
      <c r="B690" s="3" t="s">
        <v>31</v>
      </c>
      <c r="C690" s="3" t="s">
        <v>125</v>
      </c>
      <c r="D690" s="3" t="s">
        <v>14</v>
      </c>
      <c r="E690" s="3" t="s">
        <v>15</v>
      </c>
      <c r="F690" s="3">
        <f>IF(D690="Urban",1,0)</f>
        <v>0</v>
      </c>
      <c r="G690" s="3">
        <v>2488</v>
      </c>
      <c r="H690" s="3">
        <v>6</v>
      </c>
      <c r="I690" s="3">
        <v>54520</v>
      </c>
      <c r="J690" s="3">
        <f>IF(E690="Cold",1,0)</f>
        <v>1</v>
      </c>
      <c r="K690" s="3">
        <f>IF(E690="Hot",1,0)</f>
        <v>0</v>
      </c>
      <c r="L690" s="3">
        <v>2537</v>
      </c>
      <c r="M690" s="3">
        <v>60</v>
      </c>
      <c r="N690" s="4">
        <v>45191</v>
      </c>
      <c r="O690" s="10">
        <v>320355.59779999999</v>
      </c>
      <c r="P690" s="1">
        <f>$C$3+F690*$C$4+H690*$C$6+J690*$C$8+K690*$C$9+L690*$C$10+M690*$C$11</f>
        <v>310022.97873315989</v>
      </c>
      <c r="Q690" s="1">
        <f>(O690-P690)/O690</f>
        <v>3.2253593000397061E-2</v>
      </c>
      <c r="R690" s="1"/>
      <c r="S690" s="1"/>
    </row>
    <row r="691" spans="1:19" x14ac:dyDescent="0.3">
      <c r="A691" s="2">
        <v>157</v>
      </c>
      <c r="B691" s="3" t="s">
        <v>29</v>
      </c>
      <c r="C691" s="3" t="s">
        <v>132</v>
      </c>
      <c r="D691" s="3" t="s">
        <v>18</v>
      </c>
      <c r="E691" s="3" t="s">
        <v>15</v>
      </c>
      <c r="F691" s="3">
        <f>IF(D691="Urban",1,0)</f>
        <v>1</v>
      </c>
      <c r="G691" s="3">
        <v>15623</v>
      </c>
      <c r="H691" s="3">
        <v>6</v>
      </c>
      <c r="I691" s="3">
        <v>63179</v>
      </c>
      <c r="J691" s="3">
        <f>IF(E691="Cold",1,0)</f>
        <v>1</v>
      </c>
      <c r="K691" s="3">
        <f>IF(E691="Hot",1,0)</f>
        <v>0</v>
      </c>
      <c r="L691" s="3">
        <v>2929</v>
      </c>
      <c r="M691" s="3">
        <v>94</v>
      </c>
      <c r="N691" s="4">
        <v>44061</v>
      </c>
      <c r="O691" s="10">
        <v>385472.34499999997</v>
      </c>
      <c r="P691" s="1">
        <f>$C$3+F691*$C$4+H691*$C$6+J691*$C$8+K691*$C$9+L691*$C$10+M691*$C$11</f>
        <v>373044.19355750113</v>
      </c>
      <c r="Q691" s="1">
        <f>(O691-P691)/O691</f>
        <v>3.2241356879956828E-2</v>
      </c>
      <c r="R691" s="1"/>
      <c r="S691" s="1"/>
    </row>
    <row r="692" spans="1:19" x14ac:dyDescent="0.3">
      <c r="A692" s="2">
        <v>350</v>
      </c>
      <c r="B692" s="3" t="s">
        <v>31</v>
      </c>
      <c r="C692" s="3" t="s">
        <v>125</v>
      </c>
      <c r="D692" s="3" t="s">
        <v>18</v>
      </c>
      <c r="E692" s="3" t="s">
        <v>23</v>
      </c>
      <c r="F692" s="3">
        <f>IF(D692="Urban",1,0)</f>
        <v>1</v>
      </c>
      <c r="G692" s="3">
        <v>11362</v>
      </c>
      <c r="H692" s="3">
        <v>0</v>
      </c>
      <c r="I692" s="3">
        <v>66640</v>
      </c>
      <c r="J692" s="3">
        <f>IF(E692="Cold",1,0)</f>
        <v>0</v>
      </c>
      <c r="K692" s="3">
        <f>IF(E692="Hot",1,0)</f>
        <v>0</v>
      </c>
      <c r="L692" s="3">
        <v>2826</v>
      </c>
      <c r="M692" s="3">
        <v>85</v>
      </c>
      <c r="N692" s="4">
        <v>45457</v>
      </c>
      <c r="O692" s="10">
        <v>405864.65480000002</v>
      </c>
      <c r="P692" s="1">
        <f>$C$3+F692*$C$4+H692*$C$6+J692*$C$8+K692*$C$9+L692*$C$10+M692*$C$11</f>
        <v>392852.64322304842</v>
      </c>
      <c r="Q692" s="1">
        <f>(O692-P692)/O692</f>
        <v>3.2059977194524594E-2</v>
      </c>
      <c r="R692" s="1"/>
      <c r="S692" s="1"/>
    </row>
    <row r="693" spans="1:19" x14ac:dyDescent="0.3">
      <c r="A693" s="2">
        <v>840</v>
      </c>
      <c r="B693" s="3" t="s">
        <v>74</v>
      </c>
      <c r="C693" s="3" t="s">
        <v>120</v>
      </c>
      <c r="D693" s="3" t="s">
        <v>18</v>
      </c>
      <c r="E693" s="3" t="s">
        <v>15</v>
      </c>
      <c r="F693" s="3">
        <f>IF(D693="Urban",1,0)</f>
        <v>1</v>
      </c>
      <c r="G693" s="3">
        <v>9269</v>
      </c>
      <c r="H693" s="3">
        <v>3</v>
      </c>
      <c r="I693" s="3">
        <v>94294</v>
      </c>
      <c r="J693" s="3">
        <f>IF(E693="Cold",1,0)</f>
        <v>1</v>
      </c>
      <c r="K693" s="3">
        <f>IF(E693="Hot",1,0)</f>
        <v>0</v>
      </c>
      <c r="L693" s="3">
        <v>2683</v>
      </c>
      <c r="M693" s="3">
        <v>39</v>
      </c>
      <c r="N693" s="4">
        <v>44703</v>
      </c>
      <c r="O693" s="10">
        <v>365745.70390000002</v>
      </c>
      <c r="P693" s="1">
        <f>$C$3+F693*$C$4+H693*$C$6+J693*$C$8+K693*$C$9+L693*$C$10+M693*$C$11</f>
        <v>354032.40025159408</v>
      </c>
      <c r="Q693" s="1">
        <f>(O693-P693)/O693</f>
        <v>3.2025813354757876E-2</v>
      </c>
      <c r="R693" s="1"/>
      <c r="S693" s="1"/>
    </row>
    <row r="694" spans="1:19" x14ac:dyDescent="0.3">
      <c r="A694" s="2">
        <v>524</v>
      </c>
      <c r="B694" s="3" t="s">
        <v>72</v>
      </c>
      <c r="C694" s="3" t="s">
        <v>180</v>
      </c>
      <c r="D694" s="3" t="s">
        <v>14</v>
      </c>
      <c r="E694" s="3" t="s">
        <v>21</v>
      </c>
      <c r="F694" s="3">
        <f>IF(D694="Urban",1,0)</f>
        <v>0</v>
      </c>
      <c r="G694" s="3">
        <v>14490</v>
      </c>
      <c r="H694" s="3">
        <v>8</v>
      </c>
      <c r="I694" s="3">
        <v>81200</v>
      </c>
      <c r="J694" s="3">
        <f>IF(E694="Cold",1,0)</f>
        <v>0</v>
      </c>
      <c r="K694" s="3">
        <f>IF(E694="Hot",1,0)</f>
        <v>1</v>
      </c>
      <c r="L694" s="3">
        <v>2258</v>
      </c>
      <c r="M694" s="3">
        <v>26</v>
      </c>
      <c r="N694" s="4">
        <v>45159</v>
      </c>
      <c r="O694" s="10">
        <v>322566.61099999998</v>
      </c>
      <c r="P694" s="1">
        <f>$C$3+F694*$C$4+H694*$C$6+J694*$C$8+K694*$C$9+L694*$C$10+M694*$C$11</f>
        <v>312296.76677979395</v>
      </c>
      <c r="Q694" s="1">
        <f>(O694-P694)/O694</f>
        <v>3.1837902219228838E-2</v>
      </c>
      <c r="R694" s="1"/>
      <c r="S694" s="1"/>
    </row>
    <row r="695" spans="1:19" x14ac:dyDescent="0.3">
      <c r="A695" s="2">
        <v>939</v>
      </c>
      <c r="B695" s="3" t="s">
        <v>31</v>
      </c>
      <c r="C695" s="3" t="s">
        <v>170</v>
      </c>
      <c r="D695" s="3" t="s">
        <v>14</v>
      </c>
      <c r="E695" s="3" t="s">
        <v>23</v>
      </c>
      <c r="F695" s="3">
        <f>IF(D695="Urban",1,0)</f>
        <v>0</v>
      </c>
      <c r="G695" s="3">
        <v>25754</v>
      </c>
      <c r="H695" s="3">
        <v>9</v>
      </c>
      <c r="I695" s="3">
        <v>57120</v>
      </c>
      <c r="J695" s="3">
        <f>IF(E695="Cold",1,0)</f>
        <v>0</v>
      </c>
      <c r="K695" s="3">
        <f>IF(E695="Hot",1,0)</f>
        <v>0</v>
      </c>
      <c r="L695" s="3">
        <v>1554</v>
      </c>
      <c r="M695" s="3">
        <v>60</v>
      </c>
      <c r="N695" s="4">
        <v>44932</v>
      </c>
      <c r="O695" s="10">
        <v>316492.34179999999</v>
      </c>
      <c r="P695" s="1">
        <f>$C$3+F695*$C$4+H695*$C$6+J695*$C$8+K695*$C$9+L695*$C$10+M695*$C$11</f>
        <v>306492.41520300042</v>
      </c>
      <c r="Q695" s="1">
        <f>(O695-P695)/O695</f>
        <v>3.1596109214291186E-2</v>
      </c>
      <c r="R695" s="1"/>
      <c r="S695" s="1"/>
    </row>
    <row r="696" spans="1:19" x14ac:dyDescent="0.3">
      <c r="A696" s="2">
        <v>130</v>
      </c>
      <c r="B696" s="3" t="s">
        <v>74</v>
      </c>
      <c r="C696" s="3" t="s">
        <v>89</v>
      </c>
      <c r="D696" s="3" t="s">
        <v>18</v>
      </c>
      <c r="E696" s="3" t="s">
        <v>15</v>
      </c>
      <c r="F696" s="3">
        <f>IF(D696="Urban",1,0)</f>
        <v>1</v>
      </c>
      <c r="G696" s="3">
        <v>26914</v>
      </c>
      <c r="H696" s="3">
        <v>0</v>
      </c>
      <c r="I696" s="3">
        <v>73258</v>
      </c>
      <c r="J696" s="3">
        <f>IF(E696="Cold",1,0)</f>
        <v>1</v>
      </c>
      <c r="K696" s="3">
        <f>IF(E696="Hot",1,0)</f>
        <v>0</v>
      </c>
      <c r="L696" s="3">
        <v>2149</v>
      </c>
      <c r="M696" s="3">
        <v>27</v>
      </c>
      <c r="N696" s="4">
        <v>44703</v>
      </c>
      <c r="O696" s="10">
        <v>353674.98810000002</v>
      </c>
      <c r="P696" s="1">
        <f>$C$3+F696*$C$4+H696*$C$6+J696*$C$8+K696*$C$9+L696*$C$10+M696*$C$11</f>
        <v>342526.86775688542</v>
      </c>
      <c r="Q696" s="1">
        <f>(O696-P696)/O696</f>
        <v>3.1520805027814174E-2</v>
      </c>
      <c r="R696" s="1"/>
      <c r="S696" s="1"/>
    </row>
    <row r="697" spans="1:19" x14ac:dyDescent="0.3">
      <c r="A697" s="2">
        <v>3</v>
      </c>
      <c r="B697" s="3" t="s">
        <v>16</v>
      </c>
      <c r="C697" s="3" t="s">
        <v>22</v>
      </c>
      <c r="D697" s="3" t="s">
        <v>18</v>
      </c>
      <c r="E697" s="3" t="s">
        <v>23</v>
      </c>
      <c r="F697" s="3">
        <f>IF(D697="Urban",1,0)</f>
        <v>1</v>
      </c>
      <c r="G697" s="3">
        <v>6186</v>
      </c>
      <c r="H697" s="3">
        <v>9</v>
      </c>
      <c r="I697" s="3">
        <v>91333</v>
      </c>
      <c r="J697" s="3">
        <f>IF(E697="Cold",1,0)</f>
        <v>0</v>
      </c>
      <c r="K697" s="3">
        <f>IF(E697="Hot",1,0)</f>
        <v>0</v>
      </c>
      <c r="L697" s="3">
        <v>1162</v>
      </c>
      <c r="M697" s="3">
        <v>98</v>
      </c>
      <c r="N697" s="4">
        <v>44247</v>
      </c>
      <c r="O697" s="10">
        <v>366571.79879999999</v>
      </c>
      <c r="P697" s="1">
        <f>$C$3+F697*$C$4+H697*$C$6+J697*$C$8+K697*$C$9+L697*$C$10+M697*$C$11</f>
        <v>355100.22242266813</v>
      </c>
      <c r="Q697" s="1">
        <f>(O697-P697)/O697</f>
        <v>3.1294214161822917E-2</v>
      </c>
      <c r="R697" s="1"/>
      <c r="S697" s="1"/>
    </row>
    <row r="698" spans="1:19" x14ac:dyDescent="0.3">
      <c r="A698" s="2">
        <v>313</v>
      </c>
      <c r="B698" s="3" t="s">
        <v>28</v>
      </c>
      <c r="C698" s="3" t="s">
        <v>115</v>
      </c>
      <c r="D698" s="3" t="s">
        <v>18</v>
      </c>
      <c r="E698" s="3" t="s">
        <v>23</v>
      </c>
      <c r="F698" s="3">
        <f>IF(D698="Urban",1,0)</f>
        <v>1</v>
      </c>
      <c r="G698" s="3">
        <v>17824</v>
      </c>
      <c r="H698" s="3">
        <v>2</v>
      </c>
      <c r="I698" s="3">
        <v>56855</v>
      </c>
      <c r="J698" s="3">
        <f>IF(E698="Cold",1,0)</f>
        <v>0</v>
      </c>
      <c r="K698" s="3">
        <f>IF(E698="Hot",1,0)</f>
        <v>0</v>
      </c>
      <c r="L698" s="3">
        <v>1680</v>
      </c>
      <c r="M698" s="3">
        <v>71</v>
      </c>
      <c r="N698" s="4">
        <v>44407</v>
      </c>
      <c r="O698" s="10">
        <v>375509.72039999999</v>
      </c>
      <c r="P698" s="1">
        <f>$C$3+F698*$C$4+H698*$C$6+J698*$C$8+K698*$C$9+L698*$C$10+M698*$C$11</f>
        <v>363766.44737296418</v>
      </c>
      <c r="Q698" s="1">
        <f>(O698-P698)/O698</f>
        <v>3.1272886929602409E-2</v>
      </c>
      <c r="R698" s="1"/>
      <c r="S698" s="1"/>
    </row>
    <row r="699" spans="1:19" x14ac:dyDescent="0.3">
      <c r="A699" s="2">
        <v>664</v>
      </c>
      <c r="B699" s="3" t="s">
        <v>16</v>
      </c>
      <c r="C699" s="3" t="s">
        <v>51</v>
      </c>
      <c r="D699" s="3" t="s">
        <v>18</v>
      </c>
      <c r="E699" s="3" t="s">
        <v>23</v>
      </c>
      <c r="F699" s="3">
        <f>IF(D699="Urban",1,0)</f>
        <v>1</v>
      </c>
      <c r="G699" s="3">
        <v>8080</v>
      </c>
      <c r="H699" s="3">
        <v>9</v>
      </c>
      <c r="I699" s="3">
        <v>87482</v>
      </c>
      <c r="J699" s="3">
        <f>IF(E699="Cold",1,0)</f>
        <v>0</v>
      </c>
      <c r="K699" s="3">
        <f>IF(E699="Hot",1,0)</f>
        <v>0</v>
      </c>
      <c r="L699" s="3">
        <v>2084</v>
      </c>
      <c r="M699" s="3">
        <v>63</v>
      </c>
      <c r="N699" s="4">
        <v>44151</v>
      </c>
      <c r="O699" s="10">
        <v>374370.53399999999</v>
      </c>
      <c r="P699" s="1">
        <f>$C$3+F699*$C$4+H699*$C$6+J699*$C$8+K699*$C$9+L699*$C$10+M699*$C$11</f>
        <v>362712.57200658071</v>
      </c>
      <c r="Q699" s="1">
        <f>(O699-P699)/O699</f>
        <v>3.1140169790764768E-2</v>
      </c>
      <c r="R699" s="1"/>
      <c r="S699" s="1"/>
    </row>
    <row r="700" spans="1:19" x14ac:dyDescent="0.3">
      <c r="A700" s="2">
        <v>446</v>
      </c>
      <c r="B700" s="3" t="s">
        <v>55</v>
      </c>
      <c r="C700" s="3" t="s">
        <v>175</v>
      </c>
      <c r="D700" s="3" t="s">
        <v>14</v>
      </c>
      <c r="E700" s="3" t="s">
        <v>23</v>
      </c>
      <c r="F700" s="3">
        <f>IF(D700="Urban",1,0)</f>
        <v>0</v>
      </c>
      <c r="G700" s="3">
        <v>14094</v>
      </c>
      <c r="H700" s="3">
        <v>8</v>
      </c>
      <c r="I700" s="3">
        <v>95876</v>
      </c>
      <c r="J700" s="3">
        <f>IF(E700="Cold",1,0)</f>
        <v>0</v>
      </c>
      <c r="K700" s="3">
        <f>IF(E700="Hot",1,0)</f>
        <v>0</v>
      </c>
      <c r="L700" s="3">
        <v>1770</v>
      </c>
      <c r="M700" s="3">
        <v>50</v>
      </c>
      <c r="N700" s="4">
        <v>43950</v>
      </c>
      <c r="O700" s="10">
        <v>318577.36959999998</v>
      </c>
      <c r="P700" s="1">
        <f>$C$3+F700*$C$4+H700*$C$6+J700*$C$8+K700*$C$9+L700*$C$10+M700*$C$11</f>
        <v>308670.93547749374</v>
      </c>
      <c r="Q700" s="1">
        <f>(O700-P700)/O700</f>
        <v>3.1095850075429334E-2</v>
      </c>
      <c r="R700" s="1"/>
      <c r="S700" s="1"/>
    </row>
    <row r="701" spans="1:19" x14ac:dyDescent="0.3">
      <c r="A701" s="2">
        <v>176</v>
      </c>
      <c r="B701" s="3" t="s">
        <v>29</v>
      </c>
      <c r="C701" s="3" t="s">
        <v>104</v>
      </c>
      <c r="D701" s="3" t="s">
        <v>18</v>
      </c>
      <c r="E701" s="3" t="s">
        <v>23</v>
      </c>
      <c r="F701" s="3">
        <f>IF(D701="Urban",1,0)</f>
        <v>1</v>
      </c>
      <c r="G701" s="3">
        <v>19847</v>
      </c>
      <c r="H701" s="3">
        <v>0</v>
      </c>
      <c r="I701" s="3">
        <v>75218</v>
      </c>
      <c r="J701" s="3">
        <f>IF(E701="Cold",1,0)</f>
        <v>0</v>
      </c>
      <c r="K701" s="3">
        <f>IF(E701="Hot",1,0)</f>
        <v>0</v>
      </c>
      <c r="L701" s="3">
        <v>2105</v>
      </c>
      <c r="M701" s="3">
        <v>95</v>
      </c>
      <c r="N701" s="4">
        <v>45353</v>
      </c>
      <c r="O701" s="10">
        <v>393783.35470000003</v>
      </c>
      <c r="P701" s="1">
        <f>$C$3+F701*$C$4+H701*$C$6+J701*$C$8+K701*$C$9+L701*$C$10+M701*$C$11</f>
        <v>381545.9100078785</v>
      </c>
      <c r="Q701" s="1">
        <f>(O701-P701)/O701</f>
        <v>3.1076592105942377E-2</v>
      </c>
      <c r="R701" s="1"/>
      <c r="S701" s="1"/>
    </row>
    <row r="702" spans="1:19" x14ac:dyDescent="0.3">
      <c r="A702" s="2">
        <v>323</v>
      </c>
      <c r="B702" s="3" t="s">
        <v>26</v>
      </c>
      <c r="C702" s="3" t="s">
        <v>93</v>
      </c>
      <c r="D702" s="3" t="s">
        <v>14</v>
      </c>
      <c r="E702" s="3" t="s">
        <v>21</v>
      </c>
      <c r="F702" s="3">
        <f>IF(D702="Urban",1,0)</f>
        <v>0</v>
      </c>
      <c r="G702" s="3">
        <v>21838</v>
      </c>
      <c r="H702" s="3">
        <v>9</v>
      </c>
      <c r="I702" s="3">
        <v>78540</v>
      </c>
      <c r="J702" s="3">
        <f>IF(E702="Cold",1,0)</f>
        <v>0</v>
      </c>
      <c r="K702" s="3">
        <f>IF(E702="Hot",1,0)</f>
        <v>1</v>
      </c>
      <c r="L702" s="3">
        <v>2702</v>
      </c>
      <c r="M702" s="3">
        <v>50</v>
      </c>
      <c r="N702" s="4">
        <v>44195</v>
      </c>
      <c r="O702" s="10">
        <v>338086.0281</v>
      </c>
      <c r="P702" s="1">
        <f>$C$3+F702*$C$4+H702*$C$6+J702*$C$8+K702*$C$9+L702*$C$10+M702*$C$11</f>
        <v>327605.12041463587</v>
      </c>
      <c r="Q702" s="1">
        <f>(O702-P702)/O702</f>
        <v>3.1000712286945085E-2</v>
      </c>
      <c r="R702" s="1"/>
      <c r="S702" s="1"/>
    </row>
    <row r="703" spans="1:19" x14ac:dyDescent="0.3">
      <c r="A703" s="2">
        <v>759</v>
      </c>
      <c r="B703" s="3" t="s">
        <v>33</v>
      </c>
      <c r="C703" s="3" t="s">
        <v>91</v>
      </c>
      <c r="D703" s="3" t="s">
        <v>18</v>
      </c>
      <c r="E703" s="3" t="s">
        <v>23</v>
      </c>
      <c r="F703" s="3">
        <f>IF(D703="Urban",1,0)</f>
        <v>1</v>
      </c>
      <c r="G703" s="3">
        <v>23430</v>
      </c>
      <c r="H703" s="3">
        <v>6</v>
      </c>
      <c r="I703" s="3">
        <v>84059</v>
      </c>
      <c r="J703" s="3">
        <f>IF(E703="Cold",1,0)</f>
        <v>0</v>
      </c>
      <c r="K703" s="3">
        <f>IF(E703="Hot",1,0)</f>
        <v>0</v>
      </c>
      <c r="L703" s="3">
        <v>2907</v>
      </c>
      <c r="M703" s="3">
        <v>32</v>
      </c>
      <c r="N703" s="4">
        <v>44289</v>
      </c>
      <c r="O703" s="10">
        <v>384341.65419999999</v>
      </c>
      <c r="P703" s="1">
        <f>$C$3+F703*$C$4+H703*$C$6+J703*$C$8+K703*$C$9+L703*$C$10+M703*$C$11</f>
        <v>372432.38666688144</v>
      </c>
      <c r="Q703" s="1">
        <f>(O703-P703)/O703</f>
        <v>3.0986148399416828E-2</v>
      </c>
      <c r="R703" s="1"/>
      <c r="S703" s="1"/>
    </row>
    <row r="704" spans="1:19" x14ac:dyDescent="0.3">
      <c r="A704" s="2">
        <v>172</v>
      </c>
      <c r="B704" s="3" t="s">
        <v>72</v>
      </c>
      <c r="C704" s="3" t="s">
        <v>147</v>
      </c>
      <c r="D704" s="3" t="s">
        <v>18</v>
      </c>
      <c r="E704" s="3" t="s">
        <v>21</v>
      </c>
      <c r="F704" s="3">
        <f>IF(D704="Urban",1,0)</f>
        <v>1</v>
      </c>
      <c r="G704" s="3">
        <v>16455</v>
      </c>
      <c r="H704" s="3">
        <v>8</v>
      </c>
      <c r="I704" s="3">
        <v>59256</v>
      </c>
      <c r="J704" s="3">
        <f>IF(E704="Cold",1,0)</f>
        <v>0</v>
      </c>
      <c r="K704" s="3">
        <f>IF(E704="Hot",1,0)</f>
        <v>1</v>
      </c>
      <c r="L704" s="3">
        <v>1343</v>
      </c>
      <c r="M704" s="3">
        <v>56</v>
      </c>
      <c r="N704" s="4">
        <v>44216</v>
      </c>
      <c r="O704" s="10">
        <v>359094.81699999998</v>
      </c>
      <c r="P704" s="1">
        <f>$C$3+F704*$C$4+H704*$C$6+J704*$C$8+K704*$C$9+L704*$C$10+M704*$C$11</f>
        <v>348001.19623018848</v>
      </c>
      <c r="Q704" s="1">
        <f>(O704-P704)/O704</f>
        <v>3.0893291255193762E-2</v>
      </c>
      <c r="R704" s="1"/>
      <c r="S704" s="1"/>
    </row>
    <row r="705" spans="1:19" x14ac:dyDescent="0.3">
      <c r="A705" s="2">
        <v>949</v>
      </c>
      <c r="B705" s="3" t="s">
        <v>40</v>
      </c>
      <c r="C705" s="3" t="s">
        <v>121</v>
      </c>
      <c r="D705" s="3" t="s">
        <v>18</v>
      </c>
      <c r="E705" s="3" t="s">
        <v>23</v>
      </c>
      <c r="F705" s="3">
        <f>IF(D705="Urban",1,0)</f>
        <v>1</v>
      </c>
      <c r="G705" s="3">
        <v>7773</v>
      </c>
      <c r="H705" s="3">
        <v>7</v>
      </c>
      <c r="I705" s="3">
        <v>59781</v>
      </c>
      <c r="J705" s="3">
        <f>IF(E705="Cold",1,0)</f>
        <v>0</v>
      </c>
      <c r="K705" s="3">
        <f>IF(E705="Hot",1,0)</f>
        <v>0</v>
      </c>
      <c r="L705" s="3">
        <v>1028</v>
      </c>
      <c r="M705" s="3">
        <v>85</v>
      </c>
      <c r="N705" s="4">
        <v>44034</v>
      </c>
      <c r="O705" s="10">
        <v>361469.2634</v>
      </c>
      <c r="P705" s="1">
        <f>$C$3+F705*$C$4+H705*$C$6+J705*$C$8+K705*$C$9+L705*$C$10+M705*$C$11</f>
        <v>350319.18251415418</v>
      </c>
      <c r="Q705" s="1">
        <f>(O705-P705)/O705</f>
        <v>3.0846553261451713E-2</v>
      </c>
      <c r="R705" s="1"/>
      <c r="S705" s="1"/>
    </row>
    <row r="706" spans="1:19" x14ac:dyDescent="0.3">
      <c r="A706" s="2">
        <v>70</v>
      </c>
      <c r="B706" s="3" t="s">
        <v>28</v>
      </c>
      <c r="C706" s="3" t="s">
        <v>20</v>
      </c>
      <c r="D706" s="3" t="s">
        <v>14</v>
      </c>
      <c r="E706" s="3" t="s">
        <v>15</v>
      </c>
      <c r="F706" s="3">
        <f>IF(D706="Urban",1,0)</f>
        <v>0</v>
      </c>
      <c r="G706" s="3">
        <v>16861</v>
      </c>
      <c r="H706" s="3">
        <v>7</v>
      </c>
      <c r="I706" s="3">
        <v>66521</v>
      </c>
      <c r="J706" s="3">
        <f>IF(E706="Cold",1,0)</f>
        <v>1</v>
      </c>
      <c r="K706" s="3">
        <f>IF(E706="Hot",1,0)</f>
        <v>0</v>
      </c>
      <c r="L706" s="3">
        <v>2042</v>
      </c>
      <c r="M706" s="3">
        <v>27</v>
      </c>
      <c r="N706" s="4">
        <v>44297</v>
      </c>
      <c r="O706" s="10">
        <v>298138.533</v>
      </c>
      <c r="P706" s="1">
        <f>$C$3+F706*$C$4+H706*$C$6+J706*$C$8+K706*$C$9+L706*$C$10+M706*$C$11</f>
        <v>289022.54991008044</v>
      </c>
      <c r="Q706" s="1">
        <f>(O706-P706)/O706</f>
        <v>3.0576333083115935E-2</v>
      </c>
      <c r="R706" s="1"/>
      <c r="S706" s="1"/>
    </row>
    <row r="707" spans="1:19" x14ac:dyDescent="0.3">
      <c r="A707" s="2">
        <v>96</v>
      </c>
      <c r="B707" s="3" t="s">
        <v>108</v>
      </c>
      <c r="C707" s="3" t="s">
        <v>109</v>
      </c>
      <c r="D707" s="3" t="s">
        <v>14</v>
      </c>
      <c r="E707" s="3" t="s">
        <v>21</v>
      </c>
      <c r="F707" s="3">
        <f>IF(D707="Urban",1,0)</f>
        <v>0</v>
      </c>
      <c r="G707" s="3">
        <v>5932</v>
      </c>
      <c r="H707" s="3">
        <v>1</v>
      </c>
      <c r="I707" s="3">
        <v>92212</v>
      </c>
      <c r="J707" s="3">
        <f>IF(E707="Cold",1,0)</f>
        <v>0</v>
      </c>
      <c r="K707" s="3">
        <f>IF(E707="Hot",1,0)</f>
        <v>1</v>
      </c>
      <c r="L707" s="3">
        <v>1546</v>
      </c>
      <c r="M707" s="3">
        <v>76</v>
      </c>
      <c r="N707" s="4">
        <v>44567</v>
      </c>
      <c r="O707" s="10">
        <v>330242.99589999998</v>
      </c>
      <c r="P707" s="1">
        <f>$C$3+F707*$C$4+H707*$C$6+J707*$C$8+K707*$C$9+L707*$C$10+M707*$C$11</f>
        <v>320149.53191096795</v>
      </c>
      <c r="Q707" s="1">
        <f>(O707-P707)/O707</f>
        <v>3.0563748858699186E-2</v>
      </c>
      <c r="R707" s="1"/>
      <c r="S707" s="1"/>
    </row>
    <row r="708" spans="1:19" x14ac:dyDescent="0.3">
      <c r="A708" s="2">
        <v>159</v>
      </c>
      <c r="B708" s="3" t="s">
        <v>44</v>
      </c>
      <c r="C708" s="3" t="s">
        <v>111</v>
      </c>
      <c r="D708" s="3" t="s">
        <v>14</v>
      </c>
      <c r="E708" s="3" t="s">
        <v>15</v>
      </c>
      <c r="F708" s="3">
        <f>IF(D708="Urban",1,0)</f>
        <v>0</v>
      </c>
      <c r="G708" s="3">
        <v>19144</v>
      </c>
      <c r="H708" s="3">
        <v>3</v>
      </c>
      <c r="I708" s="3">
        <v>65283</v>
      </c>
      <c r="J708" s="3">
        <f>IF(E708="Cold",1,0)</f>
        <v>1</v>
      </c>
      <c r="K708" s="3">
        <f>IF(E708="Hot",1,0)</f>
        <v>0</v>
      </c>
      <c r="L708" s="3">
        <v>2216</v>
      </c>
      <c r="M708" s="3">
        <v>38</v>
      </c>
      <c r="N708" s="4">
        <v>44097</v>
      </c>
      <c r="O708" s="10">
        <v>309077.08299999998</v>
      </c>
      <c r="P708" s="1">
        <f>$C$3+F708*$C$4+H708*$C$6+J708*$C$8+K708*$C$9+L708*$C$10+M708*$C$11</f>
        <v>299685.99770654371</v>
      </c>
      <c r="Q708" s="1">
        <f>(O708-P708)/O708</f>
        <v>3.0384282141863853E-2</v>
      </c>
      <c r="R708" s="1"/>
      <c r="S708" s="1"/>
    </row>
    <row r="709" spans="1:19" x14ac:dyDescent="0.3">
      <c r="A709" s="2">
        <v>111</v>
      </c>
      <c r="B709" s="3" t="s">
        <v>37</v>
      </c>
      <c r="C709" s="3" t="s">
        <v>118</v>
      </c>
      <c r="D709" s="3" t="s">
        <v>18</v>
      </c>
      <c r="E709" s="3" t="s">
        <v>15</v>
      </c>
      <c r="F709" s="3">
        <f>IF(D709="Urban",1,0)</f>
        <v>1</v>
      </c>
      <c r="G709" s="3">
        <v>22239</v>
      </c>
      <c r="H709" s="3">
        <v>9</v>
      </c>
      <c r="I709" s="3">
        <v>80996</v>
      </c>
      <c r="J709" s="3">
        <f>IF(E709="Cold",1,0)</f>
        <v>1</v>
      </c>
      <c r="K709" s="3">
        <f>IF(E709="Hot",1,0)</f>
        <v>0</v>
      </c>
      <c r="L709" s="3">
        <v>2947</v>
      </c>
      <c r="M709" s="3">
        <v>46</v>
      </c>
      <c r="N709" s="4">
        <v>44647</v>
      </c>
      <c r="O709" s="10">
        <v>366836.19689999998</v>
      </c>
      <c r="P709" s="1">
        <f>$C$3+F709*$C$4+H709*$C$6+J709*$C$8+K709*$C$9+L709*$C$10+M709*$C$11</f>
        <v>355758.08593506174</v>
      </c>
      <c r="Q709" s="1">
        <f>(O709-P709)/O709</f>
        <v>3.0199067209166791E-2</v>
      </c>
      <c r="R709" s="1"/>
      <c r="S709" s="1"/>
    </row>
    <row r="710" spans="1:19" x14ac:dyDescent="0.3">
      <c r="A710" s="2">
        <v>530</v>
      </c>
      <c r="B710" s="3" t="s">
        <v>28</v>
      </c>
      <c r="C710" s="3" t="s">
        <v>43</v>
      </c>
      <c r="D710" s="3" t="s">
        <v>14</v>
      </c>
      <c r="E710" s="3" t="s">
        <v>21</v>
      </c>
      <c r="F710" s="3">
        <f>IF(D710="Urban",1,0)</f>
        <v>0</v>
      </c>
      <c r="G710" s="3">
        <v>8935</v>
      </c>
      <c r="H710" s="3">
        <v>6</v>
      </c>
      <c r="I710" s="3">
        <v>58111</v>
      </c>
      <c r="J710" s="3">
        <f>IF(E710="Cold",1,0)</f>
        <v>0</v>
      </c>
      <c r="K710" s="3">
        <f>IF(E710="Hot",1,0)</f>
        <v>1</v>
      </c>
      <c r="L710" s="3">
        <v>1063</v>
      </c>
      <c r="M710" s="3">
        <v>56</v>
      </c>
      <c r="N710" s="4">
        <v>44909</v>
      </c>
      <c r="O710" s="10">
        <v>308916.13909999997</v>
      </c>
      <c r="P710" s="1">
        <f>$C$3+F710*$C$4+H710*$C$6+J710*$C$8+K710*$C$9+L710*$C$10+M710*$C$11</f>
        <v>299595.18750434672</v>
      </c>
      <c r="Q710" s="1">
        <f>(O710-P710)/O710</f>
        <v>3.0173080703420122E-2</v>
      </c>
      <c r="R710" s="1"/>
      <c r="S710" s="1"/>
    </row>
    <row r="711" spans="1:19" x14ac:dyDescent="0.3">
      <c r="A711" s="2">
        <v>113</v>
      </c>
      <c r="B711" s="3" t="s">
        <v>74</v>
      </c>
      <c r="C711" s="3" t="s">
        <v>120</v>
      </c>
      <c r="D711" s="3" t="s">
        <v>18</v>
      </c>
      <c r="E711" s="3" t="s">
        <v>15</v>
      </c>
      <c r="F711" s="3">
        <f>IF(D711="Urban",1,0)</f>
        <v>1</v>
      </c>
      <c r="G711" s="3">
        <v>2229</v>
      </c>
      <c r="H711" s="3">
        <v>4</v>
      </c>
      <c r="I711" s="3">
        <v>62224</v>
      </c>
      <c r="J711" s="3">
        <f>IF(E711="Cold",1,0)</f>
        <v>1</v>
      </c>
      <c r="K711" s="3">
        <f>IF(E711="Hot",1,0)</f>
        <v>0</v>
      </c>
      <c r="L711" s="3">
        <v>1731</v>
      </c>
      <c r="M711" s="3">
        <v>23</v>
      </c>
      <c r="N711" s="4">
        <v>44831</v>
      </c>
      <c r="O711" s="10">
        <v>339382.8529</v>
      </c>
      <c r="P711" s="1">
        <f>$C$3+F711*$C$4+H711*$C$6+J711*$C$8+K711*$C$9+L711*$C$10+M711*$C$11</f>
        <v>329151.50982291956</v>
      </c>
      <c r="Q711" s="1">
        <f>(O711-P711)/O711</f>
        <v>3.0146906332050697E-2</v>
      </c>
      <c r="R711" s="1"/>
      <c r="S711" s="1"/>
    </row>
    <row r="712" spans="1:19" x14ac:dyDescent="0.3">
      <c r="A712" s="2">
        <v>869</v>
      </c>
      <c r="B712" s="3" t="s">
        <v>74</v>
      </c>
      <c r="C712" s="3" t="s">
        <v>89</v>
      </c>
      <c r="D712" s="3" t="s">
        <v>18</v>
      </c>
      <c r="E712" s="3" t="s">
        <v>15</v>
      </c>
      <c r="F712" s="3">
        <f>IF(D712="Urban",1,0)</f>
        <v>1</v>
      </c>
      <c r="G712" s="3">
        <v>8467</v>
      </c>
      <c r="H712" s="3">
        <v>2</v>
      </c>
      <c r="I712" s="3">
        <v>59788</v>
      </c>
      <c r="J712" s="3">
        <f>IF(E712="Cold",1,0)</f>
        <v>1</v>
      </c>
      <c r="K712" s="3">
        <f>IF(E712="Hot",1,0)</f>
        <v>0</v>
      </c>
      <c r="L712" s="3">
        <v>1482</v>
      </c>
      <c r="M712" s="3">
        <v>58</v>
      </c>
      <c r="N712" s="4">
        <v>44526</v>
      </c>
      <c r="O712" s="10">
        <v>347306.86200000002</v>
      </c>
      <c r="P712" s="1">
        <f>$C$3+F712*$C$4+H712*$C$6+J712*$C$8+K712*$C$9+L712*$C$10+M712*$C$11</f>
        <v>336870.45065751876</v>
      </c>
      <c r="Q712" s="1">
        <f>(O712-P712)/O712</f>
        <v>3.0049539713618637E-2</v>
      </c>
      <c r="R712" s="1"/>
      <c r="S712" s="1"/>
    </row>
    <row r="713" spans="1:19" x14ac:dyDescent="0.3">
      <c r="A713" s="2">
        <v>391</v>
      </c>
      <c r="B713" s="3" t="s">
        <v>12</v>
      </c>
      <c r="C713" s="3" t="s">
        <v>50</v>
      </c>
      <c r="D713" s="3" t="s">
        <v>18</v>
      </c>
      <c r="E713" s="3" t="s">
        <v>15</v>
      </c>
      <c r="F713" s="3">
        <f>IF(D713="Urban",1,0)</f>
        <v>1</v>
      </c>
      <c r="G713" s="3">
        <v>5199</v>
      </c>
      <c r="H713" s="3">
        <v>3</v>
      </c>
      <c r="I713" s="3">
        <v>55263</v>
      </c>
      <c r="J713" s="3">
        <f>IF(E713="Cold",1,0)</f>
        <v>1</v>
      </c>
      <c r="K713" s="3">
        <f>IF(E713="Hot",1,0)</f>
        <v>0</v>
      </c>
      <c r="L713" s="3">
        <v>1274</v>
      </c>
      <c r="M713" s="3">
        <v>32</v>
      </c>
      <c r="N713" s="4">
        <v>45304</v>
      </c>
      <c r="O713" s="10">
        <v>333784.76870000002</v>
      </c>
      <c r="P713" s="1">
        <f>$C$3+F713*$C$4+H713*$C$6+J713*$C$8+K713*$C$9+L713*$C$10+M713*$C$11</f>
        <v>323755.30560972838</v>
      </c>
      <c r="Q713" s="1">
        <f>(O713-P713)/O713</f>
        <v>3.0047695493517077E-2</v>
      </c>
      <c r="R713" s="1"/>
      <c r="S713" s="1"/>
    </row>
    <row r="714" spans="1:19" x14ac:dyDescent="0.3">
      <c r="A714" s="2">
        <v>169</v>
      </c>
      <c r="B714" s="3" t="s">
        <v>31</v>
      </c>
      <c r="C714" s="3" t="s">
        <v>146</v>
      </c>
      <c r="D714" s="3" t="s">
        <v>14</v>
      </c>
      <c r="E714" s="3" t="s">
        <v>15</v>
      </c>
      <c r="F714" s="3">
        <f>IF(D714="Urban",1,0)</f>
        <v>0</v>
      </c>
      <c r="G714" s="3">
        <v>12026</v>
      </c>
      <c r="H714" s="3">
        <v>1</v>
      </c>
      <c r="I714" s="3">
        <v>71044</v>
      </c>
      <c r="J714" s="3">
        <f>IF(E714="Cold",1,0)</f>
        <v>1</v>
      </c>
      <c r="K714" s="3">
        <f>IF(E714="Hot",1,0)</f>
        <v>0</v>
      </c>
      <c r="L714" s="3">
        <v>2973</v>
      </c>
      <c r="M714" s="3">
        <v>81</v>
      </c>
      <c r="N714" s="4">
        <v>43922</v>
      </c>
      <c r="O714" s="10">
        <v>340132.43339999998</v>
      </c>
      <c r="P714" s="1">
        <f>$C$3+F714*$C$4+H714*$C$6+J714*$C$8+K714*$C$9+L714*$C$10+M714*$C$11</f>
        <v>329947.571790413</v>
      </c>
      <c r="Q714" s="1">
        <f>(O714-P714)/O714</f>
        <v>2.9943811908138312E-2</v>
      </c>
      <c r="R714" s="1"/>
      <c r="S714" s="1"/>
    </row>
    <row r="715" spans="1:19" x14ac:dyDescent="0.3">
      <c r="A715" s="2">
        <v>372</v>
      </c>
      <c r="B715" s="3" t="s">
        <v>26</v>
      </c>
      <c r="C715" s="3" t="s">
        <v>67</v>
      </c>
      <c r="D715" s="3" t="s">
        <v>14</v>
      </c>
      <c r="E715" s="3" t="s">
        <v>15</v>
      </c>
      <c r="F715" s="3">
        <f>IF(D715="Urban",1,0)</f>
        <v>0</v>
      </c>
      <c r="G715" s="3">
        <v>8393</v>
      </c>
      <c r="H715" s="3">
        <v>3</v>
      </c>
      <c r="I715" s="3">
        <v>57648</v>
      </c>
      <c r="J715" s="3">
        <f>IF(E715="Cold",1,0)</f>
        <v>1</v>
      </c>
      <c r="K715" s="3">
        <f>IF(E715="Hot",1,0)</f>
        <v>0</v>
      </c>
      <c r="L715" s="3">
        <v>1206</v>
      </c>
      <c r="M715" s="3">
        <v>76</v>
      </c>
      <c r="N715" s="4">
        <v>45498</v>
      </c>
      <c r="O715" s="10">
        <v>300169.75760000001</v>
      </c>
      <c r="P715" s="1">
        <f>$C$3+F715*$C$4+H715*$C$6+J715*$C$8+K715*$C$9+L715*$C$10+M715*$C$11</f>
        <v>291242.11776073772</v>
      </c>
      <c r="Q715" s="1">
        <f>(O715-P715)/O715</f>
        <v>2.9741969712881875E-2</v>
      </c>
      <c r="R715" s="1"/>
      <c r="S715" s="1"/>
    </row>
    <row r="716" spans="1:19" x14ac:dyDescent="0.3">
      <c r="A716" s="2">
        <v>180</v>
      </c>
      <c r="B716" s="3" t="s">
        <v>74</v>
      </c>
      <c r="C716" s="3" t="s">
        <v>75</v>
      </c>
      <c r="D716" s="3" t="s">
        <v>14</v>
      </c>
      <c r="E716" s="3" t="s">
        <v>15</v>
      </c>
      <c r="F716" s="3">
        <f>IF(D716="Urban",1,0)</f>
        <v>0</v>
      </c>
      <c r="G716" s="3">
        <v>21357</v>
      </c>
      <c r="H716" s="3">
        <v>8</v>
      </c>
      <c r="I716" s="3">
        <v>80531</v>
      </c>
      <c r="J716" s="3">
        <f>IF(E716="Cold",1,0)</f>
        <v>1</v>
      </c>
      <c r="K716" s="3">
        <f>IF(E716="Hot",1,0)</f>
        <v>0</v>
      </c>
      <c r="L716" s="3">
        <v>2059</v>
      </c>
      <c r="M716" s="3">
        <v>88</v>
      </c>
      <c r="N716" s="4">
        <v>45232</v>
      </c>
      <c r="O716" s="10">
        <v>316579.90909999999</v>
      </c>
      <c r="P716" s="1">
        <f>$C$3+F716*$C$4+H716*$C$6+J716*$C$8+K716*$C$9+L716*$C$10+M716*$C$11</f>
        <v>307213.75411469222</v>
      </c>
      <c r="Q716" s="1">
        <f>(O716-P716)/O716</f>
        <v>2.9585437092122073E-2</v>
      </c>
      <c r="R716" s="1"/>
      <c r="S716" s="1"/>
    </row>
    <row r="717" spans="1:19" x14ac:dyDescent="0.3">
      <c r="A717" s="2">
        <v>51</v>
      </c>
      <c r="B717" s="3" t="s">
        <v>12</v>
      </c>
      <c r="C717" s="3" t="s">
        <v>76</v>
      </c>
      <c r="D717" s="3" t="s">
        <v>14</v>
      </c>
      <c r="E717" s="3" t="s">
        <v>15</v>
      </c>
      <c r="F717" s="3">
        <f>IF(D717="Urban",1,0)</f>
        <v>0</v>
      </c>
      <c r="G717" s="3">
        <v>24589</v>
      </c>
      <c r="H717" s="3">
        <v>0</v>
      </c>
      <c r="I717" s="3">
        <v>67027</v>
      </c>
      <c r="J717" s="3">
        <f>IF(E717="Cold",1,0)</f>
        <v>1</v>
      </c>
      <c r="K717" s="3">
        <f>IF(E717="Hot",1,0)</f>
        <v>0</v>
      </c>
      <c r="L717" s="3">
        <v>1640</v>
      </c>
      <c r="M717" s="3">
        <v>67</v>
      </c>
      <c r="N717" s="4">
        <v>45454</v>
      </c>
      <c r="O717" s="10">
        <v>309096.08860000002</v>
      </c>
      <c r="P717" s="1">
        <f>$C$3+F717*$C$4+H717*$C$6+J717*$C$8+K717*$C$9+L717*$C$10+M717*$C$11</f>
        <v>299979.70042561955</v>
      </c>
      <c r="Q717" s="1">
        <f>(O717-P717)/O717</f>
        <v>2.9493702801842787E-2</v>
      </c>
      <c r="R717" s="1"/>
      <c r="S717" s="1"/>
    </row>
    <row r="718" spans="1:19" x14ac:dyDescent="0.3">
      <c r="A718" s="2">
        <v>614</v>
      </c>
      <c r="B718" s="3" t="s">
        <v>24</v>
      </c>
      <c r="C718" s="3" t="s">
        <v>134</v>
      </c>
      <c r="D718" s="3" t="s">
        <v>14</v>
      </c>
      <c r="E718" s="3" t="s">
        <v>21</v>
      </c>
      <c r="F718" s="3">
        <f>IF(D718="Urban",1,0)</f>
        <v>0</v>
      </c>
      <c r="G718" s="3">
        <v>11523</v>
      </c>
      <c r="H718" s="3">
        <v>2</v>
      </c>
      <c r="I718" s="3">
        <v>65792</v>
      </c>
      <c r="J718" s="3">
        <f>IF(E718="Cold",1,0)</f>
        <v>0</v>
      </c>
      <c r="K718" s="3">
        <f>IF(E718="Hot",1,0)</f>
        <v>1</v>
      </c>
      <c r="L718" s="3">
        <v>1417</v>
      </c>
      <c r="M718" s="3">
        <v>60</v>
      </c>
      <c r="N718" s="4">
        <v>45281</v>
      </c>
      <c r="O718" s="10">
        <v>321160.0245</v>
      </c>
      <c r="P718" s="1">
        <f>$C$3+F718*$C$4+H718*$C$6+J718*$C$8+K718*$C$9+L718*$C$10+M718*$C$11</f>
        <v>311693.29419458634</v>
      </c>
      <c r="Q718" s="1">
        <f>(O718-P718)/O718</f>
        <v>2.947667699350813E-2</v>
      </c>
      <c r="R718" s="1"/>
      <c r="S718" s="1"/>
    </row>
    <row r="719" spans="1:19" x14ac:dyDescent="0.3">
      <c r="A719" s="2">
        <v>953</v>
      </c>
      <c r="B719" s="3" t="s">
        <v>28</v>
      </c>
      <c r="C719" s="3" t="s">
        <v>187</v>
      </c>
      <c r="D719" s="3" t="s">
        <v>18</v>
      </c>
      <c r="E719" s="3" t="s">
        <v>15</v>
      </c>
      <c r="F719" s="3">
        <f>IF(D719="Urban",1,0)</f>
        <v>1</v>
      </c>
      <c r="G719" s="3">
        <v>9757</v>
      </c>
      <c r="H719" s="3">
        <v>5</v>
      </c>
      <c r="I719" s="3">
        <v>94778</v>
      </c>
      <c r="J719" s="3">
        <f>IF(E719="Cold",1,0)</f>
        <v>1</v>
      </c>
      <c r="K719" s="3">
        <f>IF(E719="Hot",1,0)</f>
        <v>0</v>
      </c>
      <c r="L719" s="3">
        <v>2395</v>
      </c>
      <c r="M719" s="3">
        <v>96</v>
      </c>
      <c r="N719" s="4">
        <v>44805</v>
      </c>
      <c r="O719" s="10">
        <v>374966.23359999998</v>
      </c>
      <c r="P719" s="1">
        <f>$C$3+F719*$C$4+H719*$C$6+J719*$C$8+K719*$C$9+L719*$C$10+M719*$C$11</f>
        <v>363953.68621249782</v>
      </c>
      <c r="Q719" s="1">
        <f>(O719-P719)/O719</f>
        <v>2.9369437567143532E-2</v>
      </c>
      <c r="R719" s="1"/>
      <c r="S719" s="1"/>
    </row>
    <row r="720" spans="1:19" x14ac:dyDescent="0.3">
      <c r="A720" s="2">
        <v>119</v>
      </c>
      <c r="B720" s="3" t="s">
        <v>24</v>
      </c>
      <c r="C720" s="3" t="s">
        <v>100</v>
      </c>
      <c r="D720" s="3" t="s">
        <v>14</v>
      </c>
      <c r="E720" s="3" t="s">
        <v>21</v>
      </c>
      <c r="F720" s="3">
        <f>IF(D720="Urban",1,0)</f>
        <v>0</v>
      </c>
      <c r="G720" s="3">
        <v>9290</v>
      </c>
      <c r="H720" s="3">
        <v>2</v>
      </c>
      <c r="I720" s="3">
        <v>53131</v>
      </c>
      <c r="J720" s="3">
        <f>IF(E720="Cold",1,0)</f>
        <v>0</v>
      </c>
      <c r="K720" s="3">
        <f>IF(E720="Hot",1,0)</f>
        <v>1</v>
      </c>
      <c r="L720" s="3">
        <v>2356</v>
      </c>
      <c r="M720" s="3">
        <v>50</v>
      </c>
      <c r="N720" s="4">
        <v>44183</v>
      </c>
      <c r="O720" s="10">
        <v>337208.96010000003</v>
      </c>
      <c r="P720" s="1">
        <f>$C$3+F720*$C$4+H720*$C$6+J720*$C$8+K720*$C$9+L720*$C$10+M720*$C$11</f>
        <v>327350.664458699</v>
      </c>
      <c r="Q720" s="1">
        <f>(O720-P720)/O720</f>
        <v>2.9234975364763518E-2</v>
      </c>
      <c r="R720" s="1"/>
      <c r="S720" s="1"/>
    </row>
    <row r="721" spans="1:19" x14ac:dyDescent="0.3">
      <c r="A721" s="2">
        <v>946</v>
      </c>
      <c r="B721" s="3" t="s">
        <v>44</v>
      </c>
      <c r="C721" s="3" t="s">
        <v>217</v>
      </c>
      <c r="D721" s="3" t="s">
        <v>14</v>
      </c>
      <c r="E721" s="3" t="s">
        <v>15</v>
      </c>
      <c r="F721" s="3">
        <f>IF(D721="Urban",1,0)</f>
        <v>0</v>
      </c>
      <c r="G721" s="3">
        <v>7983</v>
      </c>
      <c r="H721" s="3">
        <v>5</v>
      </c>
      <c r="I721" s="3">
        <v>72331</v>
      </c>
      <c r="J721" s="3">
        <f>IF(E721="Cold",1,0)</f>
        <v>1</v>
      </c>
      <c r="K721" s="3">
        <f>IF(E721="Hot",1,0)</f>
        <v>0</v>
      </c>
      <c r="L721" s="3">
        <v>1718</v>
      </c>
      <c r="M721" s="3">
        <v>56</v>
      </c>
      <c r="N721" s="4">
        <v>45283</v>
      </c>
      <c r="O721" s="10">
        <v>302222.79239999998</v>
      </c>
      <c r="P721" s="1">
        <f>$C$3+F721*$C$4+H721*$C$6+J721*$C$8+K721*$C$9+L721*$C$10+M721*$C$11</f>
        <v>293395.3317469774</v>
      </c>
      <c r="Q721" s="1">
        <f>(O721-P721)/O721</f>
        <v>2.92084544084921E-2</v>
      </c>
      <c r="R721" s="1"/>
      <c r="S721" s="1"/>
    </row>
    <row r="722" spans="1:19" x14ac:dyDescent="0.3">
      <c r="A722" s="2">
        <v>167</v>
      </c>
      <c r="B722" s="3" t="s">
        <v>31</v>
      </c>
      <c r="C722" s="3" t="s">
        <v>32</v>
      </c>
      <c r="D722" s="3" t="s">
        <v>14</v>
      </c>
      <c r="E722" s="3" t="s">
        <v>23</v>
      </c>
      <c r="F722" s="3">
        <f>IF(D722="Urban",1,0)</f>
        <v>0</v>
      </c>
      <c r="G722" s="3">
        <v>13345</v>
      </c>
      <c r="H722" s="3">
        <v>7</v>
      </c>
      <c r="I722" s="3">
        <v>55295</v>
      </c>
      <c r="J722" s="3">
        <f>IF(E722="Cold",1,0)</f>
        <v>0</v>
      </c>
      <c r="K722" s="3">
        <f>IF(E722="Hot",1,0)</f>
        <v>0</v>
      </c>
      <c r="L722" s="3">
        <v>2214</v>
      </c>
      <c r="M722" s="3">
        <v>21</v>
      </c>
      <c r="N722" s="4">
        <v>44871</v>
      </c>
      <c r="O722" s="10">
        <v>318781.74349999998</v>
      </c>
      <c r="P722" s="1">
        <f>$C$3+F722*$C$4+H722*$C$6+J722*$C$8+K722*$C$9+L722*$C$10+M722*$C$11</f>
        <v>309543.29268563719</v>
      </c>
      <c r="Q722" s="1">
        <f>(O722-P722)/O722</f>
        <v>2.8980489010854506E-2</v>
      </c>
      <c r="R722" s="1"/>
      <c r="S722" s="1"/>
    </row>
    <row r="723" spans="1:19" x14ac:dyDescent="0.3">
      <c r="A723" s="2">
        <v>370</v>
      </c>
      <c r="B723" s="3" t="s">
        <v>53</v>
      </c>
      <c r="C723" s="3" t="s">
        <v>54</v>
      </c>
      <c r="D723" s="3" t="s">
        <v>18</v>
      </c>
      <c r="E723" s="3" t="s">
        <v>21</v>
      </c>
      <c r="F723" s="3">
        <f>IF(D723="Urban",1,0)</f>
        <v>1</v>
      </c>
      <c r="G723" s="3">
        <v>4174</v>
      </c>
      <c r="H723" s="3">
        <v>9</v>
      </c>
      <c r="I723" s="3">
        <v>82035</v>
      </c>
      <c r="J723" s="3">
        <f>IF(E723="Cold",1,0)</f>
        <v>0</v>
      </c>
      <c r="K723" s="3">
        <f>IF(E723="Hot",1,0)</f>
        <v>1</v>
      </c>
      <c r="L723" s="3">
        <v>1903</v>
      </c>
      <c r="M723" s="3">
        <v>49</v>
      </c>
      <c r="N723" s="4">
        <v>44227</v>
      </c>
      <c r="O723" s="10">
        <v>366670.95120000001</v>
      </c>
      <c r="P723" s="1">
        <f>$C$3+F723*$C$4+H723*$C$6+J723*$C$8+K723*$C$9+L723*$C$10+M723*$C$11</f>
        <v>356069.43672923854</v>
      </c>
      <c r="Q723" s="1">
        <f>(O723-P723)/O723</f>
        <v>2.8912883434223536E-2</v>
      </c>
      <c r="R723" s="1"/>
      <c r="S723" s="1"/>
    </row>
    <row r="724" spans="1:19" x14ac:dyDescent="0.3">
      <c r="A724" s="2">
        <v>701</v>
      </c>
      <c r="B724" s="3" t="s">
        <v>40</v>
      </c>
      <c r="C724" s="3" t="s">
        <v>210</v>
      </c>
      <c r="D724" s="3" t="s">
        <v>14</v>
      </c>
      <c r="E724" s="3" t="s">
        <v>21</v>
      </c>
      <c r="F724" s="3">
        <f>IF(D724="Urban",1,0)</f>
        <v>0</v>
      </c>
      <c r="G724" s="3">
        <v>18861</v>
      </c>
      <c r="H724" s="3">
        <v>5</v>
      </c>
      <c r="I724" s="3">
        <v>75551</v>
      </c>
      <c r="J724" s="3">
        <f>IF(E724="Cold",1,0)</f>
        <v>0</v>
      </c>
      <c r="K724" s="3">
        <f>IF(E724="Hot",1,0)</f>
        <v>1</v>
      </c>
      <c r="L724" s="3">
        <v>1921</v>
      </c>
      <c r="M724" s="3">
        <v>92</v>
      </c>
      <c r="N724" s="4">
        <v>44578</v>
      </c>
      <c r="O724" s="10">
        <v>338523.23879999999</v>
      </c>
      <c r="P724" s="1">
        <f>$C$3+F724*$C$4+H724*$C$6+J724*$C$8+K724*$C$9+L724*$C$10+M724*$C$11</f>
        <v>328764.71582366654</v>
      </c>
      <c r="Q724" s="1">
        <f>(O724-P724)/O724</f>
        <v>2.8826744689450401E-2</v>
      </c>
      <c r="R724" s="1"/>
      <c r="S724" s="1"/>
    </row>
    <row r="725" spans="1:19" x14ac:dyDescent="0.3">
      <c r="A725" s="2">
        <v>438</v>
      </c>
      <c r="B725" s="3" t="s">
        <v>19</v>
      </c>
      <c r="C725" s="3" t="s">
        <v>179</v>
      </c>
      <c r="D725" s="3" t="s">
        <v>14</v>
      </c>
      <c r="E725" s="3" t="s">
        <v>21</v>
      </c>
      <c r="F725" s="3">
        <f>IF(D725="Urban",1,0)</f>
        <v>0</v>
      </c>
      <c r="G725" s="3">
        <v>21660</v>
      </c>
      <c r="H725" s="3">
        <v>5</v>
      </c>
      <c r="I725" s="3">
        <v>51656</v>
      </c>
      <c r="J725" s="3">
        <f>IF(E725="Cold",1,0)</f>
        <v>0</v>
      </c>
      <c r="K725" s="3">
        <f>IF(E725="Hot",1,0)</f>
        <v>1</v>
      </c>
      <c r="L725" s="3">
        <v>1252</v>
      </c>
      <c r="M725" s="3">
        <v>50</v>
      </c>
      <c r="N725" s="4">
        <v>44052</v>
      </c>
      <c r="O725" s="10">
        <v>311415.64179999998</v>
      </c>
      <c r="P725" s="1">
        <f>$C$3+F725*$C$4+H725*$C$6+J725*$C$8+K725*$C$9+L725*$C$10+M725*$C$11</f>
        <v>302467.78754136671</v>
      </c>
      <c r="Q725" s="1">
        <f>(O725-P725)/O725</f>
        <v>2.8732835020470308E-2</v>
      </c>
      <c r="R725" s="1"/>
      <c r="S725" s="1"/>
    </row>
    <row r="726" spans="1:19" x14ac:dyDescent="0.3">
      <c r="A726" s="2">
        <v>661</v>
      </c>
      <c r="B726" s="3" t="s">
        <v>29</v>
      </c>
      <c r="C726" s="3" t="s">
        <v>83</v>
      </c>
      <c r="D726" s="3" t="s">
        <v>18</v>
      </c>
      <c r="E726" s="3" t="s">
        <v>15</v>
      </c>
      <c r="F726" s="3">
        <f>IF(D726="Urban",1,0)</f>
        <v>1</v>
      </c>
      <c r="G726" s="3">
        <v>13632</v>
      </c>
      <c r="H726" s="3">
        <v>2</v>
      </c>
      <c r="I726" s="3">
        <v>87277</v>
      </c>
      <c r="J726" s="3">
        <f>IF(E726="Cold",1,0)</f>
        <v>1</v>
      </c>
      <c r="K726" s="3">
        <f>IF(E726="Hot",1,0)</f>
        <v>0</v>
      </c>
      <c r="L726" s="3">
        <v>2280</v>
      </c>
      <c r="M726" s="3">
        <v>78</v>
      </c>
      <c r="N726" s="4">
        <v>44082</v>
      </c>
      <c r="O726" s="10">
        <v>369558.62079999998</v>
      </c>
      <c r="P726" s="1">
        <f>$C$3+F726*$C$4+H726*$C$6+J726*$C$8+K726*$C$9+L726*$C$10+M726*$C$11</f>
        <v>358960.77775759931</v>
      </c>
      <c r="Q726" s="1">
        <f>(O726-P726)/O726</f>
        <v>2.8677028341157471E-2</v>
      </c>
      <c r="R726" s="1"/>
      <c r="S726" s="1"/>
    </row>
    <row r="727" spans="1:19" x14ac:dyDescent="0.3">
      <c r="A727" s="2">
        <v>241</v>
      </c>
      <c r="B727" s="3" t="s">
        <v>12</v>
      </c>
      <c r="C727" s="3" t="s">
        <v>173</v>
      </c>
      <c r="D727" s="3" t="s">
        <v>18</v>
      </c>
      <c r="E727" s="3" t="s">
        <v>15</v>
      </c>
      <c r="F727" s="3">
        <f>IF(D727="Urban",1,0)</f>
        <v>1</v>
      </c>
      <c r="G727" s="3">
        <v>18396</v>
      </c>
      <c r="H727" s="3">
        <v>8</v>
      </c>
      <c r="I727" s="3">
        <v>95977</v>
      </c>
      <c r="J727" s="3">
        <f>IF(E727="Cold",1,0)</f>
        <v>1</v>
      </c>
      <c r="K727" s="3">
        <f>IF(E727="Hot",1,0)</f>
        <v>0</v>
      </c>
      <c r="L727" s="3">
        <v>2606</v>
      </c>
      <c r="M727" s="3">
        <v>51</v>
      </c>
      <c r="N727" s="4">
        <v>43949</v>
      </c>
      <c r="O727" s="10">
        <v>361774.07319999998</v>
      </c>
      <c r="P727" s="1">
        <f>$C$3+F727*$C$4+H727*$C$6+J727*$C$8+K727*$C$9+L727*$C$10+M727*$C$11</f>
        <v>351443.97947015078</v>
      </c>
      <c r="Q727" s="1">
        <f>(O727-P727)/O727</f>
        <v>2.8553991275484268E-2</v>
      </c>
      <c r="R727" s="1"/>
      <c r="S727" s="1"/>
    </row>
    <row r="728" spans="1:19" x14ac:dyDescent="0.3">
      <c r="A728" s="2">
        <v>35</v>
      </c>
      <c r="B728" s="3" t="s">
        <v>28</v>
      </c>
      <c r="C728" s="3" t="s">
        <v>49</v>
      </c>
      <c r="D728" s="3" t="s">
        <v>18</v>
      </c>
      <c r="E728" s="3" t="s">
        <v>23</v>
      </c>
      <c r="F728" s="3">
        <f>IF(D728="Urban",1,0)</f>
        <v>1</v>
      </c>
      <c r="G728" s="3">
        <v>17681</v>
      </c>
      <c r="H728" s="3">
        <v>9</v>
      </c>
      <c r="I728" s="3">
        <v>72726</v>
      </c>
      <c r="J728" s="3">
        <f>IF(E728="Cold",1,0)</f>
        <v>0</v>
      </c>
      <c r="K728" s="3">
        <f>IF(E728="Hot",1,0)</f>
        <v>0</v>
      </c>
      <c r="L728" s="3">
        <v>2730</v>
      </c>
      <c r="M728" s="3">
        <v>77</v>
      </c>
      <c r="N728" s="4">
        <v>44558</v>
      </c>
      <c r="O728" s="10">
        <v>391061.07319999998</v>
      </c>
      <c r="P728" s="1">
        <f>$C$3+F728*$C$4+H728*$C$6+J728*$C$8+K728*$C$9+L728*$C$10+M728*$C$11</f>
        <v>379920.04720635084</v>
      </c>
      <c r="Q728" s="1">
        <f>(O728-P728)/O728</f>
        <v>2.8489222674309252E-2</v>
      </c>
      <c r="R728" s="1"/>
      <c r="S728" s="1"/>
    </row>
    <row r="729" spans="1:19" x14ac:dyDescent="0.3">
      <c r="A729" s="2">
        <v>976</v>
      </c>
      <c r="B729" s="3" t="s">
        <v>24</v>
      </c>
      <c r="C729" s="3" t="s">
        <v>94</v>
      </c>
      <c r="D729" s="3" t="s">
        <v>18</v>
      </c>
      <c r="E729" s="3" t="s">
        <v>21</v>
      </c>
      <c r="F729" s="3">
        <f>IF(D729="Urban",1,0)</f>
        <v>1</v>
      </c>
      <c r="G729" s="3">
        <v>28836</v>
      </c>
      <c r="H729" s="3">
        <v>9</v>
      </c>
      <c r="I729" s="3">
        <v>68793</v>
      </c>
      <c r="J729" s="3">
        <f>IF(E729="Cold",1,0)</f>
        <v>0</v>
      </c>
      <c r="K729" s="3">
        <f>IF(E729="Hot",1,0)</f>
        <v>1</v>
      </c>
      <c r="L729" s="3">
        <v>1853</v>
      </c>
      <c r="M729" s="3">
        <v>75</v>
      </c>
      <c r="N729" s="4">
        <v>45324</v>
      </c>
      <c r="O729" s="10">
        <v>373695.3627</v>
      </c>
      <c r="P729" s="1">
        <f>$C$3+F729*$C$4+H729*$C$6+J729*$C$8+K729*$C$9+L729*$C$10+M729*$C$11</f>
        <v>363085.56504640612</v>
      </c>
      <c r="Q729" s="1">
        <f>(O729-P729)/O729</f>
        <v>2.8391568942511471E-2</v>
      </c>
      <c r="R729" s="1"/>
      <c r="S729" s="1"/>
    </row>
    <row r="730" spans="1:19" x14ac:dyDescent="0.3">
      <c r="A730" s="2">
        <v>750</v>
      </c>
      <c r="B730" s="3" t="s">
        <v>108</v>
      </c>
      <c r="C730" s="3" t="s">
        <v>224</v>
      </c>
      <c r="D730" s="3" t="s">
        <v>18</v>
      </c>
      <c r="E730" s="3" t="s">
        <v>23</v>
      </c>
      <c r="F730" s="3">
        <f>IF(D730="Urban",1,0)</f>
        <v>1</v>
      </c>
      <c r="G730" s="3">
        <v>26706</v>
      </c>
      <c r="H730" s="3">
        <v>1</v>
      </c>
      <c r="I730" s="3">
        <v>74151</v>
      </c>
      <c r="J730" s="3">
        <f>IF(E730="Cold",1,0)</f>
        <v>0</v>
      </c>
      <c r="K730" s="3">
        <f>IF(E730="Hot",1,0)</f>
        <v>0</v>
      </c>
      <c r="L730" s="3">
        <v>2404</v>
      </c>
      <c r="M730" s="3">
        <v>98</v>
      </c>
      <c r="N730" s="4">
        <v>45238</v>
      </c>
      <c r="O730" s="10">
        <v>398795.90179999999</v>
      </c>
      <c r="P730" s="1">
        <f>$C$3+F730*$C$4+H730*$C$6+J730*$C$8+K730*$C$9+L730*$C$10+M730*$C$11</f>
        <v>387487.66060604132</v>
      </c>
      <c r="Q730" s="1">
        <f>(O730-P730)/O730</f>
        <v>2.8355961390069316E-2</v>
      </c>
      <c r="R730" s="1"/>
      <c r="S730" s="1"/>
    </row>
    <row r="731" spans="1:19" x14ac:dyDescent="0.3">
      <c r="A731" s="2">
        <v>83</v>
      </c>
      <c r="B731" s="3" t="s">
        <v>26</v>
      </c>
      <c r="C731" s="3" t="s">
        <v>99</v>
      </c>
      <c r="D731" s="3" t="s">
        <v>14</v>
      </c>
      <c r="E731" s="3" t="s">
        <v>21</v>
      </c>
      <c r="F731" s="3">
        <f>IF(D731="Urban",1,0)</f>
        <v>0</v>
      </c>
      <c r="G731" s="3">
        <v>7956</v>
      </c>
      <c r="H731" s="3">
        <v>2</v>
      </c>
      <c r="I731" s="3">
        <v>87717</v>
      </c>
      <c r="J731" s="3">
        <f>IF(E731="Cold",1,0)</f>
        <v>0</v>
      </c>
      <c r="K731" s="3">
        <f>IF(E731="Hot",1,0)</f>
        <v>1</v>
      </c>
      <c r="L731" s="3">
        <v>2404</v>
      </c>
      <c r="M731" s="3">
        <v>87</v>
      </c>
      <c r="N731" s="4">
        <v>45465</v>
      </c>
      <c r="O731" s="10">
        <v>349593.21549999999</v>
      </c>
      <c r="P731" s="1">
        <f>$C$3+F731*$C$4+H731*$C$6+J731*$C$8+K731*$C$9+L731*$C$10+M731*$C$11</f>
        <v>339713.11410299997</v>
      </c>
      <c r="Q731" s="1">
        <f>(O731-P731)/O731</f>
        <v>2.8261708062237899E-2</v>
      </c>
      <c r="R731" s="1"/>
      <c r="S731" s="1"/>
    </row>
    <row r="732" spans="1:19" x14ac:dyDescent="0.3">
      <c r="A732" s="2">
        <v>629</v>
      </c>
      <c r="B732" s="3" t="s">
        <v>35</v>
      </c>
      <c r="C732" s="3" t="s">
        <v>200</v>
      </c>
      <c r="D732" s="3" t="s">
        <v>18</v>
      </c>
      <c r="E732" s="3" t="s">
        <v>15</v>
      </c>
      <c r="F732" s="3">
        <f>IF(D732="Urban",1,0)</f>
        <v>1</v>
      </c>
      <c r="G732" s="3">
        <v>16760</v>
      </c>
      <c r="H732" s="3">
        <v>4</v>
      </c>
      <c r="I732" s="3">
        <v>53471</v>
      </c>
      <c r="J732" s="3">
        <f>IF(E732="Cold",1,0)</f>
        <v>1</v>
      </c>
      <c r="K732" s="3">
        <f>IF(E732="Hot",1,0)</f>
        <v>0</v>
      </c>
      <c r="L732" s="3">
        <v>1850</v>
      </c>
      <c r="M732" s="3">
        <v>26</v>
      </c>
      <c r="N732" s="4">
        <v>43962</v>
      </c>
      <c r="O732" s="10">
        <v>342119.54430000001</v>
      </c>
      <c r="P732" s="1">
        <f>$C$3+F732*$C$4+H732*$C$6+J732*$C$8+K732*$C$9+L732*$C$10+M732*$C$11</f>
        <v>332451.08895245334</v>
      </c>
      <c r="Q732" s="1">
        <f>(O732-P732)/O732</f>
        <v>2.8260458978831473E-2</v>
      </c>
      <c r="R732" s="1"/>
      <c r="S732" s="1"/>
    </row>
    <row r="733" spans="1:19" x14ac:dyDescent="0.3">
      <c r="A733" s="2">
        <v>162</v>
      </c>
      <c r="B733" s="3" t="s">
        <v>26</v>
      </c>
      <c r="C733" s="3" t="s">
        <v>64</v>
      </c>
      <c r="D733" s="3" t="s">
        <v>18</v>
      </c>
      <c r="E733" s="3" t="s">
        <v>23</v>
      </c>
      <c r="F733" s="3">
        <f>IF(D733="Urban",1,0)</f>
        <v>1</v>
      </c>
      <c r="G733" s="3">
        <v>21984</v>
      </c>
      <c r="H733" s="3">
        <v>9</v>
      </c>
      <c r="I733" s="3">
        <v>55617</v>
      </c>
      <c r="J733" s="3">
        <f>IF(E733="Cold",1,0)</f>
        <v>0</v>
      </c>
      <c r="K733" s="3">
        <f>IF(E733="Hot",1,0)</f>
        <v>0</v>
      </c>
      <c r="L733" s="3">
        <v>1623</v>
      </c>
      <c r="M733" s="3">
        <v>65</v>
      </c>
      <c r="N733" s="4">
        <v>44408</v>
      </c>
      <c r="O733" s="10">
        <v>364423.7745</v>
      </c>
      <c r="P733" s="1">
        <f>$C$3+F733*$C$4+H733*$C$6+J733*$C$8+K733*$C$9+L733*$C$10+M733*$C$11</f>
        <v>354128.83170710149</v>
      </c>
      <c r="Q733" s="1">
        <f>(O733-P733)/O733</f>
        <v>2.8249920870347906E-2</v>
      </c>
      <c r="R733" s="1"/>
      <c r="S733" s="1"/>
    </row>
    <row r="734" spans="1:19" x14ac:dyDescent="0.3">
      <c r="A734" s="2">
        <v>94</v>
      </c>
      <c r="B734" s="3" t="s">
        <v>29</v>
      </c>
      <c r="C734" s="3" t="s">
        <v>107</v>
      </c>
      <c r="D734" s="3" t="s">
        <v>14</v>
      </c>
      <c r="E734" s="3" t="s">
        <v>23</v>
      </c>
      <c r="F734" s="3">
        <f>IF(D734="Urban",1,0)</f>
        <v>0</v>
      </c>
      <c r="G734" s="3">
        <v>13172</v>
      </c>
      <c r="H734" s="3">
        <v>4</v>
      </c>
      <c r="I734" s="3">
        <v>80188</v>
      </c>
      <c r="J734" s="3">
        <f>IF(E734="Cold",1,0)</f>
        <v>0</v>
      </c>
      <c r="K734" s="3">
        <f>IF(E734="Hot",1,0)</f>
        <v>0</v>
      </c>
      <c r="L734" s="3">
        <v>1381</v>
      </c>
      <c r="M734" s="3">
        <v>82</v>
      </c>
      <c r="N734" s="4">
        <v>44125</v>
      </c>
      <c r="O734" s="10">
        <v>323700.20439999999</v>
      </c>
      <c r="P734" s="1">
        <f>$C$3+F734*$C$4+H734*$C$6+J734*$C$8+K734*$C$9+L734*$C$10+M734*$C$11</f>
        <v>314571.39442691387</v>
      </c>
      <c r="Q734" s="1">
        <f>(O734-P734)/O734</f>
        <v>2.8201434070784646E-2</v>
      </c>
      <c r="R734" s="1"/>
      <c r="S734" s="1"/>
    </row>
    <row r="735" spans="1:19" x14ac:dyDescent="0.3">
      <c r="A735" s="2">
        <v>73</v>
      </c>
      <c r="B735" s="3" t="s">
        <v>37</v>
      </c>
      <c r="C735" s="3" t="s">
        <v>90</v>
      </c>
      <c r="D735" s="3" t="s">
        <v>18</v>
      </c>
      <c r="E735" s="3" t="s">
        <v>15</v>
      </c>
      <c r="F735" s="3">
        <f>IF(D735="Urban",1,0)</f>
        <v>1</v>
      </c>
      <c r="G735" s="3">
        <v>25080</v>
      </c>
      <c r="H735" s="3">
        <v>3</v>
      </c>
      <c r="I735" s="3">
        <v>87181</v>
      </c>
      <c r="J735" s="3">
        <f>IF(E735="Cold",1,0)</f>
        <v>1</v>
      </c>
      <c r="K735" s="3">
        <f>IF(E735="Hot",1,0)</f>
        <v>0</v>
      </c>
      <c r="L735" s="3">
        <v>2111</v>
      </c>
      <c r="M735" s="3">
        <v>62</v>
      </c>
      <c r="N735" s="4">
        <v>43838</v>
      </c>
      <c r="O735" s="10">
        <v>359811.40779999999</v>
      </c>
      <c r="P735" s="1">
        <f>$C$3+F735*$C$4+H735*$C$6+J735*$C$8+K735*$C$9+L735*$C$10+M735*$C$11</f>
        <v>349706.25801388879</v>
      </c>
      <c r="Q735" s="1">
        <f>(O735-P735)/O735</f>
        <v>2.808457310427499E-2</v>
      </c>
      <c r="R735" s="1"/>
      <c r="S735" s="1"/>
    </row>
    <row r="736" spans="1:19" x14ac:dyDescent="0.3">
      <c r="A736" s="2">
        <v>996</v>
      </c>
      <c r="B736" s="3" t="s">
        <v>35</v>
      </c>
      <c r="C736" s="3" t="s">
        <v>62</v>
      </c>
      <c r="D736" s="3" t="s">
        <v>18</v>
      </c>
      <c r="E736" s="3" t="s">
        <v>15</v>
      </c>
      <c r="F736" s="3">
        <f>IF(D736="Urban",1,0)</f>
        <v>1</v>
      </c>
      <c r="G736" s="3">
        <v>5964</v>
      </c>
      <c r="H736" s="3">
        <v>2</v>
      </c>
      <c r="I736" s="3">
        <v>86616</v>
      </c>
      <c r="J736" s="3">
        <f>IF(E736="Cold",1,0)</f>
        <v>1</v>
      </c>
      <c r="K736" s="3">
        <f>IF(E736="Hot",1,0)</f>
        <v>0</v>
      </c>
      <c r="L736" s="3">
        <v>2933</v>
      </c>
      <c r="M736" s="3">
        <v>54</v>
      </c>
      <c r="N736" s="4">
        <v>44639</v>
      </c>
      <c r="O736" s="10">
        <v>375107.69890000002</v>
      </c>
      <c r="P736" s="1">
        <f>$C$3+F736*$C$4+H736*$C$6+J736*$C$8+K736*$C$9+L736*$C$10+M736*$C$11</f>
        <v>364595.21106790239</v>
      </c>
      <c r="Q736" s="1">
        <f>(O736-P736)/O736</f>
        <v>2.8025252115393539E-2</v>
      </c>
      <c r="R736" s="1"/>
      <c r="S736" s="1"/>
    </row>
    <row r="737" spans="1:19" x14ac:dyDescent="0.3">
      <c r="A737" s="2">
        <v>797</v>
      </c>
      <c r="B737" s="3" t="s">
        <v>72</v>
      </c>
      <c r="C737" s="3" t="s">
        <v>147</v>
      </c>
      <c r="D737" s="3" t="s">
        <v>14</v>
      </c>
      <c r="E737" s="3" t="s">
        <v>21</v>
      </c>
      <c r="F737" s="3">
        <f>IF(D737="Urban",1,0)</f>
        <v>0</v>
      </c>
      <c r="G737" s="3">
        <v>11802</v>
      </c>
      <c r="H737" s="3">
        <v>3</v>
      </c>
      <c r="I737" s="3">
        <v>61296</v>
      </c>
      <c r="J737" s="3">
        <f>IF(E737="Cold",1,0)</f>
        <v>0</v>
      </c>
      <c r="K737" s="3">
        <f>IF(E737="Hot",1,0)</f>
        <v>1</v>
      </c>
      <c r="L737" s="3">
        <v>2556</v>
      </c>
      <c r="M737" s="3">
        <v>66</v>
      </c>
      <c r="N737" s="4">
        <v>44857</v>
      </c>
      <c r="O737" s="10">
        <v>344927.24489999999</v>
      </c>
      <c r="P737" s="1">
        <f>$C$3+F737*$C$4+H737*$C$6+J737*$C$8+K737*$C$9+L737*$C$10+M737*$C$11</f>
        <v>335323.65746488707</v>
      </c>
      <c r="Q737" s="1">
        <f>(O737-P737)/O737</f>
        <v>2.7842356836431267E-2</v>
      </c>
      <c r="R737" s="1"/>
      <c r="S737" s="1"/>
    </row>
    <row r="738" spans="1:19" x14ac:dyDescent="0.3">
      <c r="A738" s="2">
        <v>612</v>
      </c>
      <c r="B738" s="3" t="s">
        <v>57</v>
      </c>
      <c r="C738" s="3" t="s">
        <v>67</v>
      </c>
      <c r="D738" s="3" t="s">
        <v>18</v>
      </c>
      <c r="E738" s="3" t="s">
        <v>21</v>
      </c>
      <c r="F738" s="3">
        <f>IF(D738="Urban",1,0)</f>
        <v>1</v>
      </c>
      <c r="G738" s="3">
        <v>628</v>
      </c>
      <c r="H738" s="3">
        <v>7</v>
      </c>
      <c r="I738" s="3">
        <v>86141</v>
      </c>
      <c r="J738" s="3">
        <f>IF(E738="Cold",1,0)</f>
        <v>0</v>
      </c>
      <c r="K738" s="3">
        <f>IF(E738="Hot",1,0)</f>
        <v>1</v>
      </c>
      <c r="L738" s="3">
        <v>2310</v>
      </c>
      <c r="M738" s="3">
        <v>66</v>
      </c>
      <c r="N738" s="4">
        <v>45439</v>
      </c>
      <c r="O738" s="10">
        <v>381958.13620000001</v>
      </c>
      <c r="P738" s="1">
        <f>$C$3+F738*$C$4+H738*$C$6+J738*$C$8+K738*$C$9+L738*$C$10+M738*$C$11</f>
        <v>371332.06222265091</v>
      </c>
      <c r="Q738" s="1">
        <f>(O738-P738)/O738</f>
        <v>2.7819996408677349E-2</v>
      </c>
      <c r="R738" s="1"/>
      <c r="S738" s="1"/>
    </row>
    <row r="739" spans="1:19" x14ac:dyDescent="0.3">
      <c r="A739" s="2">
        <v>318</v>
      </c>
      <c r="B739" s="3" t="s">
        <v>37</v>
      </c>
      <c r="C739" s="3" t="s">
        <v>90</v>
      </c>
      <c r="D739" s="3" t="s">
        <v>18</v>
      </c>
      <c r="E739" s="3" t="s">
        <v>15</v>
      </c>
      <c r="F739" s="3">
        <f>IF(D739="Urban",1,0)</f>
        <v>1</v>
      </c>
      <c r="G739" s="3">
        <v>29655</v>
      </c>
      <c r="H739" s="3">
        <v>0</v>
      </c>
      <c r="I739" s="3">
        <v>54765</v>
      </c>
      <c r="J739" s="3">
        <f>IF(E739="Cold",1,0)</f>
        <v>1</v>
      </c>
      <c r="K739" s="3">
        <f>IF(E739="Hot",1,0)</f>
        <v>0</v>
      </c>
      <c r="L739" s="3">
        <v>1447</v>
      </c>
      <c r="M739" s="3">
        <v>80</v>
      </c>
      <c r="N739" s="4">
        <v>44862</v>
      </c>
      <c r="O739" s="10">
        <v>354703.72009999998</v>
      </c>
      <c r="P739" s="1">
        <f>$C$3+F739*$C$4+H739*$C$6+J739*$C$8+K739*$C$9+L739*$C$10+M739*$C$11</f>
        <v>344853.20991266344</v>
      </c>
      <c r="Q739" s="1">
        <f>(O739-P739)/O739</f>
        <v>2.7771093532820649E-2</v>
      </c>
      <c r="R739" s="1"/>
      <c r="S739" s="1"/>
    </row>
    <row r="740" spans="1:19" x14ac:dyDescent="0.3">
      <c r="A740" s="2">
        <v>632</v>
      </c>
      <c r="B740" s="3" t="s">
        <v>57</v>
      </c>
      <c r="C740" s="3" t="s">
        <v>86</v>
      </c>
      <c r="D740" s="3" t="s">
        <v>18</v>
      </c>
      <c r="E740" s="3" t="s">
        <v>21</v>
      </c>
      <c r="F740" s="3">
        <f>IF(D740="Urban",1,0)</f>
        <v>1</v>
      </c>
      <c r="G740" s="3">
        <v>29655</v>
      </c>
      <c r="H740" s="3">
        <v>3</v>
      </c>
      <c r="I740" s="3">
        <v>76674</v>
      </c>
      <c r="J740" s="3">
        <f>IF(E740="Cold",1,0)</f>
        <v>0</v>
      </c>
      <c r="K740" s="3">
        <f>IF(E740="Hot",1,0)</f>
        <v>1</v>
      </c>
      <c r="L740" s="3">
        <v>1379</v>
      </c>
      <c r="M740" s="3">
        <v>89</v>
      </c>
      <c r="N740" s="4">
        <v>44083</v>
      </c>
      <c r="O740" s="10">
        <v>373957.76439999999</v>
      </c>
      <c r="P740" s="1">
        <f>$C$3+F740*$C$4+H740*$C$6+J740*$C$8+K740*$C$9+L740*$C$10+M740*$C$11</f>
        <v>363641.72940707323</v>
      </c>
      <c r="Q740" s="1">
        <f>(O740-P740)/O740</f>
        <v>2.7586096546165881E-2</v>
      </c>
      <c r="R740" s="1"/>
      <c r="S740" s="1"/>
    </row>
    <row r="741" spans="1:19" x14ac:dyDescent="0.3">
      <c r="A741" s="2">
        <v>735</v>
      </c>
      <c r="B741" s="3" t="s">
        <v>16</v>
      </c>
      <c r="C741" s="3" t="s">
        <v>87</v>
      </c>
      <c r="D741" s="3" t="s">
        <v>14</v>
      </c>
      <c r="E741" s="3" t="s">
        <v>15</v>
      </c>
      <c r="F741" s="3">
        <f>IF(D741="Urban",1,0)</f>
        <v>0</v>
      </c>
      <c r="G741" s="3">
        <v>8790</v>
      </c>
      <c r="H741" s="3">
        <v>5</v>
      </c>
      <c r="I741" s="3">
        <v>81819</v>
      </c>
      <c r="J741" s="3">
        <f>IF(E741="Cold",1,0)</f>
        <v>1</v>
      </c>
      <c r="K741" s="3">
        <f>IF(E741="Hot",1,0)</f>
        <v>0</v>
      </c>
      <c r="L741" s="3">
        <v>1518</v>
      </c>
      <c r="M741" s="3">
        <v>93</v>
      </c>
      <c r="N741" s="4">
        <v>45222</v>
      </c>
      <c r="O741" s="10">
        <v>309331.7879</v>
      </c>
      <c r="P741" s="1">
        <f>$C$3+F741*$C$4+H741*$C$6+J741*$C$8+K741*$C$9+L741*$C$10+M741*$C$11</f>
        <v>300808.43282183894</v>
      </c>
      <c r="Q741" s="1">
        <f>(O741-P741)/O741</f>
        <v>2.7554087266700385E-2</v>
      </c>
      <c r="R741" s="1"/>
      <c r="S741" s="1"/>
    </row>
    <row r="742" spans="1:19" x14ac:dyDescent="0.3">
      <c r="A742" s="2">
        <v>994</v>
      </c>
      <c r="B742" s="3" t="s">
        <v>29</v>
      </c>
      <c r="C742" s="3" t="s">
        <v>135</v>
      </c>
      <c r="D742" s="3" t="s">
        <v>14</v>
      </c>
      <c r="E742" s="3" t="s">
        <v>21</v>
      </c>
      <c r="F742" s="3">
        <f>IF(D742="Urban",1,0)</f>
        <v>0</v>
      </c>
      <c r="G742" s="3">
        <v>24979</v>
      </c>
      <c r="H742" s="3">
        <v>5</v>
      </c>
      <c r="I742" s="3">
        <v>82388</v>
      </c>
      <c r="J742" s="3">
        <f>IF(E742="Cold",1,0)</f>
        <v>0</v>
      </c>
      <c r="K742" s="3">
        <f>IF(E742="Hot",1,0)</f>
        <v>1</v>
      </c>
      <c r="L742" s="3">
        <v>2511</v>
      </c>
      <c r="M742" s="3">
        <v>25</v>
      </c>
      <c r="N742" s="4">
        <v>44837</v>
      </c>
      <c r="O742" s="10">
        <v>328948.74560000002</v>
      </c>
      <c r="P742" s="1">
        <f>$C$3+F742*$C$4+H742*$C$6+J742*$C$8+K742*$C$9+L742*$C$10+M742*$C$11</f>
        <v>319887.96353295975</v>
      </c>
      <c r="Q742" s="1">
        <f>(O742-P742)/O742</f>
        <v>2.7544662164658736E-2</v>
      </c>
      <c r="R742" s="1"/>
      <c r="S742" s="1"/>
    </row>
    <row r="743" spans="1:19" x14ac:dyDescent="0.3">
      <c r="A743" s="2">
        <v>52</v>
      </c>
      <c r="B743" s="3" t="s">
        <v>24</v>
      </c>
      <c r="C743" s="3" t="s">
        <v>77</v>
      </c>
      <c r="D743" s="3" t="s">
        <v>14</v>
      </c>
      <c r="E743" s="3" t="s">
        <v>23</v>
      </c>
      <c r="F743" s="3">
        <f>IF(D743="Urban",1,0)</f>
        <v>0</v>
      </c>
      <c r="G743" s="3">
        <v>1044</v>
      </c>
      <c r="H743" s="3">
        <v>7</v>
      </c>
      <c r="I743" s="3">
        <v>56486</v>
      </c>
      <c r="J743" s="3">
        <f>IF(E743="Cold",1,0)</f>
        <v>0</v>
      </c>
      <c r="K743" s="3">
        <f>IF(E743="Hot",1,0)</f>
        <v>0</v>
      </c>
      <c r="L743" s="3">
        <v>2036</v>
      </c>
      <c r="M743" s="3">
        <v>74</v>
      </c>
      <c r="N743" s="4">
        <v>45008</v>
      </c>
      <c r="O743" s="10">
        <v>331444.03730000003</v>
      </c>
      <c r="P743" s="1">
        <f>$C$3+F743*$C$4+H743*$C$6+J743*$C$8+K743*$C$9+L743*$C$10+M743*$C$11</f>
        <v>322327.1293994243</v>
      </c>
      <c r="Q743" s="1">
        <f>(O743-P743)/O743</f>
        <v>2.7506628192329595E-2</v>
      </c>
      <c r="R743" s="1"/>
      <c r="S743" s="1"/>
    </row>
    <row r="744" spans="1:19" x14ac:dyDescent="0.3">
      <c r="A744" s="2">
        <v>403</v>
      </c>
      <c r="B744" s="3" t="s">
        <v>24</v>
      </c>
      <c r="C744" s="3" t="s">
        <v>39</v>
      </c>
      <c r="D744" s="3" t="s">
        <v>18</v>
      </c>
      <c r="E744" s="3" t="s">
        <v>15</v>
      </c>
      <c r="F744" s="3">
        <f>IF(D744="Urban",1,0)</f>
        <v>1</v>
      </c>
      <c r="G744" s="3">
        <v>3462</v>
      </c>
      <c r="H744" s="3">
        <v>7</v>
      </c>
      <c r="I744" s="3">
        <v>98887</v>
      </c>
      <c r="J744" s="3">
        <f>IF(E744="Cold",1,0)</f>
        <v>1</v>
      </c>
      <c r="K744" s="3">
        <f>IF(E744="Hot",1,0)</f>
        <v>0</v>
      </c>
      <c r="L744" s="3">
        <v>1884</v>
      </c>
      <c r="M744" s="3">
        <v>97</v>
      </c>
      <c r="N744" s="4">
        <v>44882</v>
      </c>
      <c r="O744" s="10">
        <v>362093.72169999999</v>
      </c>
      <c r="P744" s="1">
        <f>$C$3+F744*$C$4+H744*$C$6+J744*$C$8+K744*$C$9+L744*$C$10+M744*$C$11</f>
        <v>352163.66803741164</v>
      </c>
      <c r="Q744" s="1">
        <f>(O744-P744)/O744</f>
        <v>2.742398740295075E-2</v>
      </c>
      <c r="R744" s="1"/>
      <c r="S744" s="1"/>
    </row>
    <row r="745" spans="1:19" x14ac:dyDescent="0.3">
      <c r="A745" s="2">
        <v>333</v>
      </c>
      <c r="B745" s="3" t="s">
        <v>57</v>
      </c>
      <c r="C745" s="3" t="s">
        <v>78</v>
      </c>
      <c r="D745" s="3" t="s">
        <v>14</v>
      </c>
      <c r="E745" s="3" t="s">
        <v>21</v>
      </c>
      <c r="F745" s="3">
        <f>IF(D745="Urban",1,0)</f>
        <v>0</v>
      </c>
      <c r="G745" s="3">
        <v>22752</v>
      </c>
      <c r="H745" s="3">
        <v>7</v>
      </c>
      <c r="I745" s="3">
        <v>57045</v>
      </c>
      <c r="J745" s="3">
        <f>IF(E745="Cold",1,0)</f>
        <v>0</v>
      </c>
      <c r="K745" s="3">
        <f>IF(E745="Hot",1,0)</f>
        <v>1</v>
      </c>
      <c r="L745" s="3">
        <v>2264</v>
      </c>
      <c r="M745" s="3">
        <v>51</v>
      </c>
      <c r="N745" s="4">
        <v>44888</v>
      </c>
      <c r="O745" s="10">
        <v>330018.62579999998</v>
      </c>
      <c r="P745" s="1">
        <f>$C$3+F745*$C$4+H745*$C$6+J745*$C$8+K745*$C$9+L745*$C$10+M745*$C$11</f>
        <v>321072.35755682981</v>
      </c>
      <c r="Q745" s="1">
        <f>(O745-P745)/O745</f>
        <v>2.710837372128155E-2</v>
      </c>
      <c r="R745" s="1"/>
      <c r="S745" s="1"/>
    </row>
    <row r="746" spans="1:19" x14ac:dyDescent="0.3">
      <c r="A746" s="2">
        <v>505</v>
      </c>
      <c r="B746" s="3" t="s">
        <v>33</v>
      </c>
      <c r="C746" s="3" t="s">
        <v>68</v>
      </c>
      <c r="D746" s="3" t="s">
        <v>18</v>
      </c>
      <c r="E746" s="3" t="s">
        <v>23</v>
      </c>
      <c r="F746" s="3">
        <f>IF(D746="Urban",1,0)</f>
        <v>1</v>
      </c>
      <c r="G746" s="3">
        <v>25160</v>
      </c>
      <c r="H746" s="3">
        <v>6</v>
      </c>
      <c r="I746" s="3">
        <v>50570</v>
      </c>
      <c r="J746" s="3">
        <f>IF(E746="Cold",1,0)</f>
        <v>0</v>
      </c>
      <c r="K746" s="3">
        <f>IF(E746="Hot",1,0)</f>
        <v>0</v>
      </c>
      <c r="L746" s="3">
        <v>1090</v>
      </c>
      <c r="M746" s="3">
        <v>50</v>
      </c>
      <c r="N746" s="4">
        <v>45397</v>
      </c>
      <c r="O746" s="10">
        <v>351189.69170000002</v>
      </c>
      <c r="P746" s="1">
        <f>$C$3+F746*$C$4+H746*$C$6+J746*$C$8+K746*$C$9+L746*$C$10+M746*$C$11</f>
        <v>341718.56616484583</v>
      </c>
      <c r="Q746" s="1">
        <f>(O746-P746)/O746</f>
        <v>2.6968688885221602E-2</v>
      </c>
      <c r="R746" s="1"/>
      <c r="S746" s="1"/>
    </row>
    <row r="747" spans="1:19" x14ac:dyDescent="0.3">
      <c r="A747" s="2">
        <v>548</v>
      </c>
      <c r="B747" s="3" t="s">
        <v>19</v>
      </c>
      <c r="C747" s="3" t="s">
        <v>179</v>
      </c>
      <c r="D747" s="3" t="s">
        <v>14</v>
      </c>
      <c r="E747" s="3" t="s">
        <v>21</v>
      </c>
      <c r="F747" s="3">
        <f>IF(D747="Urban",1,0)</f>
        <v>0</v>
      </c>
      <c r="G747" s="3">
        <v>27325</v>
      </c>
      <c r="H747" s="3">
        <v>8</v>
      </c>
      <c r="I747" s="3">
        <v>82681</v>
      </c>
      <c r="J747" s="3">
        <f>IF(E747="Cold",1,0)</f>
        <v>0</v>
      </c>
      <c r="K747" s="3">
        <f>IF(E747="Hot",1,0)</f>
        <v>1</v>
      </c>
      <c r="L747" s="3">
        <v>2577</v>
      </c>
      <c r="M747" s="3">
        <v>80</v>
      </c>
      <c r="N747" s="4">
        <v>45327</v>
      </c>
      <c r="O747" s="10">
        <v>344585.40769999998</v>
      </c>
      <c r="P747" s="1">
        <f>$C$3+F747*$C$4+H747*$C$6+J747*$C$8+K747*$C$9+L747*$C$10+M747*$C$11</f>
        <v>335307.4877158865</v>
      </c>
      <c r="Q747" s="1">
        <f>(O747-P747)/O747</f>
        <v>2.6924877771350511E-2</v>
      </c>
      <c r="R747" s="1"/>
      <c r="S747" s="1"/>
    </row>
    <row r="748" spans="1:19" x14ac:dyDescent="0.3">
      <c r="A748" s="2">
        <v>298</v>
      </c>
      <c r="B748" s="3" t="s">
        <v>55</v>
      </c>
      <c r="C748" s="3" t="s">
        <v>98</v>
      </c>
      <c r="D748" s="3" t="s">
        <v>14</v>
      </c>
      <c r="E748" s="3" t="s">
        <v>15</v>
      </c>
      <c r="F748" s="3">
        <f>IF(D748="Urban",1,0)</f>
        <v>0</v>
      </c>
      <c r="G748" s="3">
        <v>10096</v>
      </c>
      <c r="H748" s="3">
        <v>6</v>
      </c>
      <c r="I748" s="3">
        <v>96584</v>
      </c>
      <c r="J748" s="3">
        <f>IF(E748="Cold",1,0)</f>
        <v>1</v>
      </c>
      <c r="K748" s="3">
        <f>IF(E748="Hot",1,0)</f>
        <v>0</v>
      </c>
      <c r="L748" s="3">
        <v>2501</v>
      </c>
      <c r="M748" s="3">
        <v>51</v>
      </c>
      <c r="N748" s="4">
        <v>44895</v>
      </c>
      <c r="O748" s="10">
        <v>315000.85330000002</v>
      </c>
      <c r="P748" s="1">
        <f>$C$3+F748*$C$4+H748*$C$6+J748*$C$8+K748*$C$9+L748*$C$10+M748*$C$11</f>
        <v>306530.45461387309</v>
      </c>
      <c r="Q748" s="1">
        <f>(O748-P748)/O748</f>
        <v>2.6890081716889502E-2</v>
      </c>
      <c r="R748" s="1"/>
      <c r="S748" s="1"/>
    </row>
    <row r="749" spans="1:19" x14ac:dyDescent="0.3">
      <c r="A749" s="2">
        <v>256</v>
      </c>
      <c r="B749" s="3" t="s">
        <v>53</v>
      </c>
      <c r="C749" s="3" t="s">
        <v>178</v>
      </c>
      <c r="D749" s="3" t="s">
        <v>18</v>
      </c>
      <c r="E749" s="3" t="s">
        <v>21</v>
      </c>
      <c r="F749" s="3">
        <f>IF(D749="Urban",1,0)</f>
        <v>1</v>
      </c>
      <c r="G749" s="3">
        <v>19210</v>
      </c>
      <c r="H749" s="3">
        <v>4</v>
      </c>
      <c r="I749" s="3">
        <v>57168</v>
      </c>
      <c r="J749" s="3">
        <f>IF(E749="Cold",1,0)</f>
        <v>0</v>
      </c>
      <c r="K749" s="3">
        <f>IF(E749="Hot",1,0)</f>
        <v>1</v>
      </c>
      <c r="L749" s="3">
        <v>2614</v>
      </c>
      <c r="M749" s="3">
        <v>78</v>
      </c>
      <c r="N749" s="4">
        <v>45004</v>
      </c>
      <c r="O749" s="10">
        <v>394530.58929999999</v>
      </c>
      <c r="P749" s="1">
        <f>$C$3+F749*$C$4+H749*$C$6+J749*$C$8+K749*$C$9+L749*$C$10+M749*$C$11</f>
        <v>383948.0589863254</v>
      </c>
      <c r="Q749" s="1">
        <f>(O749-P749)/O749</f>
        <v>2.6823092050861651E-2</v>
      </c>
      <c r="R749" s="1"/>
      <c r="S749" s="1"/>
    </row>
    <row r="750" spans="1:19" x14ac:dyDescent="0.3">
      <c r="A750" s="2">
        <v>296</v>
      </c>
      <c r="B750" s="3" t="s">
        <v>72</v>
      </c>
      <c r="C750" s="3" t="s">
        <v>158</v>
      </c>
      <c r="D750" s="3" t="s">
        <v>18</v>
      </c>
      <c r="E750" s="3" t="s">
        <v>21</v>
      </c>
      <c r="F750" s="3">
        <f>IF(D750="Urban",1,0)</f>
        <v>1</v>
      </c>
      <c r="G750" s="3">
        <v>21647</v>
      </c>
      <c r="H750" s="3">
        <v>9</v>
      </c>
      <c r="I750" s="3">
        <v>81248</v>
      </c>
      <c r="J750" s="3">
        <f>IF(E750="Cold",1,0)</f>
        <v>0</v>
      </c>
      <c r="K750" s="3">
        <f>IF(E750="Hot",1,0)</f>
        <v>1</v>
      </c>
      <c r="L750" s="3">
        <v>1860</v>
      </c>
      <c r="M750" s="3">
        <v>32</v>
      </c>
      <c r="N750" s="4">
        <v>43871</v>
      </c>
      <c r="O750" s="10">
        <v>359458.3138</v>
      </c>
      <c r="P750" s="1">
        <f>$C$3+F750*$C$4+H750*$C$6+J750*$C$8+K750*$C$9+L750*$C$10+M750*$C$11</f>
        <v>349971.37299322197</v>
      </c>
      <c r="Q750" s="1">
        <f>(O750-P750)/O750</f>
        <v>2.6392325459069773E-2</v>
      </c>
      <c r="R750" s="1"/>
      <c r="S750" s="1"/>
    </row>
    <row r="751" spans="1:19" x14ac:dyDescent="0.3">
      <c r="A751" s="2">
        <v>898</v>
      </c>
      <c r="B751" s="3" t="s">
        <v>24</v>
      </c>
      <c r="C751" s="3" t="s">
        <v>101</v>
      </c>
      <c r="D751" s="3" t="s">
        <v>14</v>
      </c>
      <c r="E751" s="3" t="s">
        <v>15</v>
      </c>
      <c r="F751" s="3">
        <f>IF(D751="Urban",1,0)</f>
        <v>0</v>
      </c>
      <c r="G751" s="3">
        <v>21329</v>
      </c>
      <c r="H751" s="3">
        <v>5</v>
      </c>
      <c r="I751" s="3">
        <v>91878</v>
      </c>
      <c r="J751" s="3">
        <f>IF(E751="Cold",1,0)</f>
        <v>1</v>
      </c>
      <c r="K751" s="3">
        <f>IF(E751="Hot",1,0)</f>
        <v>0</v>
      </c>
      <c r="L751" s="3">
        <v>2653</v>
      </c>
      <c r="M751" s="3">
        <v>62</v>
      </c>
      <c r="N751" s="4">
        <v>44105</v>
      </c>
      <c r="O751" s="10">
        <v>322381.32610000001</v>
      </c>
      <c r="P751" s="1">
        <f>$C$3+F751*$C$4+H751*$C$6+J751*$C$8+K751*$C$9+L751*$C$10+M751*$C$11</f>
        <v>313904.55433225184</v>
      </c>
      <c r="Q751" s="1">
        <f>(O751-P751)/O751</f>
        <v>2.6294239403676707E-2</v>
      </c>
      <c r="R751" s="1"/>
      <c r="S751" s="1"/>
    </row>
    <row r="752" spans="1:19" x14ac:dyDescent="0.3">
      <c r="A752" s="2">
        <v>742</v>
      </c>
      <c r="B752" s="3" t="s">
        <v>44</v>
      </c>
      <c r="C752" s="3" t="s">
        <v>223</v>
      </c>
      <c r="D752" s="3" t="s">
        <v>14</v>
      </c>
      <c r="E752" s="3" t="s">
        <v>15</v>
      </c>
      <c r="F752" s="3">
        <f>IF(D752="Urban",1,0)</f>
        <v>0</v>
      </c>
      <c r="G752" s="3">
        <v>5632</v>
      </c>
      <c r="H752" s="3">
        <v>8</v>
      </c>
      <c r="I752" s="3">
        <v>83944</v>
      </c>
      <c r="J752" s="3">
        <f>IF(E752="Cold",1,0)</f>
        <v>1</v>
      </c>
      <c r="K752" s="3">
        <f>IF(E752="Hot",1,0)</f>
        <v>0</v>
      </c>
      <c r="L752" s="3">
        <v>2494</v>
      </c>
      <c r="M752" s="3">
        <v>39</v>
      </c>
      <c r="N752" s="4">
        <v>45423</v>
      </c>
      <c r="O752" s="10">
        <v>308876.48080000002</v>
      </c>
      <c r="P752" s="1">
        <f>$C$3+F752*$C$4+H752*$C$6+J752*$C$8+K752*$C$9+L752*$C$10+M752*$C$11</f>
        <v>300791.79955746722</v>
      </c>
      <c r="Q752" s="1">
        <f>(O752-P752)/O752</f>
        <v>2.6174479913761033E-2</v>
      </c>
      <c r="R752" s="1"/>
      <c r="S752" s="1"/>
    </row>
    <row r="753" spans="1:19" x14ac:dyDescent="0.3">
      <c r="A753" s="2">
        <v>359</v>
      </c>
      <c r="B753" s="3" t="s">
        <v>108</v>
      </c>
      <c r="C753" s="3" t="s">
        <v>142</v>
      </c>
      <c r="D753" s="3" t="s">
        <v>18</v>
      </c>
      <c r="E753" s="3" t="s">
        <v>23</v>
      </c>
      <c r="F753" s="3">
        <f>IF(D753="Urban",1,0)</f>
        <v>1</v>
      </c>
      <c r="G753" s="3">
        <v>2735</v>
      </c>
      <c r="H753" s="3">
        <v>9</v>
      </c>
      <c r="I753" s="3">
        <v>70063</v>
      </c>
      <c r="J753" s="3">
        <f>IF(E753="Cold",1,0)</f>
        <v>0</v>
      </c>
      <c r="K753" s="3">
        <f>IF(E753="Hot",1,0)</f>
        <v>0</v>
      </c>
      <c r="L753" s="3">
        <v>1342</v>
      </c>
      <c r="M753" s="3">
        <v>84</v>
      </c>
      <c r="N753" s="4">
        <v>44052</v>
      </c>
      <c r="O753" s="10">
        <v>363900.41080000001</v>
      </c>
      <c r="P753" s="1">
        <f>$C$3+F753*$C$4+H753*$C$6+J753*$C$8+K753*$C$9+L753*$C$10+M753*$C$11</f>
        <v>354377.2710872406</v>
      </c>
      <c r="Q753" s="1">
        <f>(O753-P753)/O753</f>
        <v>2.6169631663299595E-2</v>
      </c>
      <c r="R753" s="1"/>
      <c r="S753" s="1"/>
    </row>
    <row r="754" spans="1:19" x14ac:dyDescent="0.3">
      <c r="A754" s="2">
        <v>207</v>
      </c>
      <c r="B754" s="3" t="s">
        <v>74</v>
      </c>
      <c r="C754" s="3" t="s">
        <v>163</v>
      </c>
      <c r="D754" s="3" t="s">
        <v>14</v>
      </c>
      <c r="E754" s="3" t="s">
        <v>15</v>
      </c>
      <c r="F754" s="3">
        <f>IF(D754="Urban",1,0)</f>
        <v>0</v>
      </c>
      <c r="G754" s="3">
        <v>22330</v>
      </c>
      <c r="H754" s="3">
        <v>1</v>
      </c>
      <c r="I754" s="3">
        <v>81803</v>
      </c>
      <c r="J754" s="3">
        <f>IF(E754="Cold",1,0)</f>
        <v>1</v>
      </c>
      <c r="K754" s="3">
        <f>IF(E754="Hot",1,0)</f>
        <v>0</v>
      </c>
      <c r="L754" s="3">
        <v>1367</v>
      </c>
      <c r="M754" s="3">
        <v>65</v>
      </c>
      <c r="N754" s="4">
        <v>44309</v>
      </c>
      <c r="O754" s="10">
        <v>300808.07809999998</v>
      </c>
      <c r="P754" s="1">
        <f>$C$3+F754*$C$4+H754*$C$6+J754*$C$8+K754*$C$9+L754*$C$10+M754*$C$11</f>
        <v>292964.86786926154</v>
      </c>
      <c r="Q754" s="1">
        <f>(O754-P754)/O754</f>
        <v>2.6073801874865438E-2</v>
      </c>
      <c r="R754" s="1"/>
      <c r="S754" s="1"/>
    </row>
    <row r="755" spans="1:19" x14ac:dyDescent="0.3">
      <c r="A755" s="2">
        <v>639</v>
      </c>
      <c r="B755" s="3" t="s">
        <v>28</v>
      </c>
      <c r="C755" s="3" t="s">
        <v>181</v>
      </c>
      <c r="D755" s="3" t="s">
        <v>14</v>
      </c>
      <c r="E755" s="3" t="s">
        <v>23</v>
      </c>
      <c r="F755" s="3">
        <f>IF(D755="Urban",1,0)</f>
        <v>0</v>
      </c>
      <c r="G755" s="3">
        <v>27496</v>
      </c>
      <c r="H755" s="3">
        <v>0</v>
      </c>
      <c r="I755" s="3">
        <v>58355</v>
      </c>
      <c r="J755" s="3">
        <f>IF(E755="Cold",1,0)</f>
        <v>0</v>
      </c>
      <c r="K755" s="3">
        <f>IF(E755="Hot",1,0)</f>
        <v>0</v>
      </c>
      <c r="L755" s="3">
        <v>1021</v>
      </c>
      <c r="M755" s="3">
        <v>70</v>
      </c>
      <c r="N755" s="4">
        <v>44560</v>
      </c>
      <c r="O755" s="10">
        <v>315709.93920000002</v>
      </c>
      <c r="P755" s="1">
        <f>$C$3+F755*$C$4+H755*$C$6+J755*$C$8+K755*$C$9+L755*$C$10+M755*$C$11</f>
        <v>307488.48640543735</v>
      </c>
      <c r="Q755" s="1">
        <f>(O755-P755)/O755</f>
        <v>2.6041159221643774E-2</v>
      </c>
      <c r="R755" s="1"/>
      <c r="S755" s="1"/>
    </row>
    <row r="756" spans="1:19" x14ac:dyDescent="0.3">
      <c r="A756" s="2">
        <v>739</v>
      </c>
      <c r="B756" s="3" t="s">
        <v>57</v>
      </c>
      <c r="C756" s="3" t="s">
        <v>162</v>
      </c>
      <c r="D756" s="3" t="s">
        <v>18</v>
      </c>
      <c r="E756" s="3" t="s">
        <v>21</v>
      </c>
      <c r="F756" s="3">
        <f>IF(D756="Urban",1,0)</f>
        <v>1</v>
      </c>
      <c r="G756" s="3">
        <v>14517</v>
      </c>
      <c r="H756" s="3">
        <v>4</v>
      </c>
      <c r="I756" s="3">
        <v>71979</v>
      </c>
      <c r="J756" s="3">
        <f>IF(E756="Cold",1,0)</f>
        <v>0</v>
      </c>
      <c r="K756" s="3">
        <f>IF(E756="Hot",1,0)</f>
        <v>1</v>
      </c>
      <c r="L756" s="3">
        <v>1698</v>
      </c>
      <c r="M756" s="3">
        <v>25</v>
      </c>
      <c r="N756" s="4">
        <v>43849</v>
      </c>
      <c r="O756" s="10">
        <v>358657.60509999999</v>
      </c>
      <c r="P756" s="1">
        <f>$C$3+F756*$C$4+H756*$C$6+J756*$C$8+K756*$C$9+L756*$C$10+M756*$C$11</f>
        <v>349331.20882509189</v>
      </c>
      <c r="Q756" s="1">
        <f>(O756-P756)/O756</f>
        <v>2.6003620562591263E-2</v>
      </c>
      <c r="R756" s="1"/>
      <c r="S756" s="1"/>
    </row>
    <row r="757" spans="1:19" x14ac:dyDescent="0.3">
      <c r="A757" s="2">
        <v>862</v>
      </c>
      <c r="B757" s="3" t="s">
        <v>26</v>
      </c>
      <c r="C757" s="3" t="s">
        <v>99</v>
      </c>
      <c r="D757" s="3" t="s">
        <v>14</v>
      </c>
      <c r="E757" s="3" t="s">
        <v>21</v>
      </c>
      <c r="F757" s="3">
        <f>IF(D757="Urban",1,0)</f>
        <v>0</v>
      </c>
      <c r="G757" s="3">
        <v>5349</v>
      </c>
      <c r="H757" s="3">
        <v>3</v>
      </c>
      <c r="I757" s="3">
        <v>74135</v>
      </c>
      <c r="J757" s="3">
        <f>IF(E757="Cold",1,0)</f>
        <v>0</v>
      </c>
      <c r="K757" s="3">
        <f>IF(E757="Hot",1,0)</f>
        <v>1</v>
      </c>
      <c r="L757" s="3">
        <v>2349</v>
      </c>
      <c r="M757" s="3">
        <v>43</v>
      </c>
      <c r="N757" s="4">
        <v>44694</v>
      </c>
      <c r="O757" s="10">
        <v>332696.25390000001</v>
      </c>
      <c r="P757" s="1">
        <f>$C$3+F757*$C$4+H757*$C$6+J757*$C$8+K757*$C$9+L757*$C$10+M757*$C$11</f>
        <v>324103.25722036132</v>
      </c>
      <c r="Q757" s="1">
        <f>(O757-P757)/O757</f>
        <v>2.5828354178648257E-2</v>
      </c>
      <c r="R757" s="1"/>
      <c r="S757" s="1"/>
    </row>
    <row r="758" spans="1:19" x14ac:dyDescent="0.3">
      <c r="A758" s="2">
        <v>887</v>
      </c>
      <c r="B758" s="3" t="s">
        <v>24</v>
      </c>
      <c r="C758" s="3" t="s">
        <v>94</v>
      </c>
      <c r="D758" s="3" t="s">
        <v>14</v>
      </c>
      <c r="E758" s="3" t="s">
        <v>21</v>
      </c>
      <c r="F758" s="3">
        <f>IF(D758="Urban",1,0)</f>
        <v>0</v>
      </c>
      <c r="G758" s="3">
        <v>4069</v>
      </c>
      <c r="H758" s="3">
        <v>7</v>
      </c>
      <c r="I758" s="3">
        <v>98016</v>
      </c>
      <c r="J758" s="3">
        <f>IF(E758="Cold",1,0)</f>
        <v>0</v>
      </c>
      <c r="K758" s="3">
        <f>IF(E758="Hot",1,0)</f>
        <v>1</v>
      </c>
      <c r="L758" s="3">
        <v>1349</v>
      </c>
      <c r="M758" s="3">
        <v>84</v>
      </c>
      <c r="N758" s="4">
        <v>45046</v>
      </c>
      <c r="O758" s="10">
        <v>321192.97869999998</v>
      </c>
      <c r="P758" s="1">
        <f>$C$3+F758*$C$4+H758*$C$6+J758*$C$8+K758*$C$9+L758*$C$10+M758*$C$11</f>
        <v>312983.24726221297</v>
      </c>
      <c r="Q758" s="1">
        <f>(O758-P758)/O758</f>
        <v>2.5560121117887333E-2</v>
      </c>
      <c r="R758" s="1"/>
      <c r="S758" s="1"/>
    </row>
    <row r="759" spans="1:19" x14ac:dyDescent="0.3">
      <c r="A759" s="2">
        <v>434</v>
      </c>
      <c r="B759" s="3" t="s">
        <v>57</v>
      </c>
      <c r="C759" s="3" t="s">
        <v>116</v>
      </c>
      <c r="D759" s="3" t="s">
        <v>18</v>
      </c>
      <c r="E759" s="3" t="s">
        <v>15</v>
      </c>
      <c r="F759" s="3">
        <f>IF(D759="Urban",1,0)</f>
        <v>1</v>
      </c>
      <c r="G759" s="3">
        <v>7935</v>
      </c>
      <c r="H759" s="3">
        <v>4</v>
      </c>
      <c r="I759" s="3">
        <v>67105</v>
      </c>
      <c r="J759" s="3">
        <f>IF(E759="Cold",1,0)</f>
        <v>1</v>
      </c>
      <c r="K759" s="3">
        <f>IF(E759="Hot",1,0)</f>
        <v>0</v>
      </c>
      <c r="L759" s="3">
        <v>2011</v>
      </c>
      <c r="M759" s="3">
        <v>61</v>
      </c>
      <c r="N759" s="4">
        <v>45004</v>
      </c>
      <c r="O759" s="10">
        <v>355517.40120000002</v>
      </c>
      <c r="P759" s="1">
        <f>$C$3+F759*$C$4+H759*$C$6+J759*$C$8+K759*$C$9+L759*$C$10+M759*$C$11</f>
        <v>346452.22525847179</v>
      </c>
      <c r="Q759" s="1">
        <f>(O759-P759)/O759</f>
        <v>2.5498543561946547E-2</v>
      </c>
      <c r="R759" s="1"/>
      <c r="S759" s="1"/>
    </row>
    <row r="760" spans="1:19" x14ac:dyDescent="0.3">
      <c r="A760" s="2">
        <v>584</v>
      </c>
      <c r="B760" s="3" t="s">
        <v>44</v>
      </c>
      <c r="C760" s="3" t="s">
        <v>201</v>
      </c>
      <c r="D760" s="3" t="s">
        <v>18</v>
      </c>
      <c r="E760" s="3" t="s">
        <v>21</v>
      </c>
      <c r="F760" s="3">
        <f>IF(D760="Urban",1,0)</f>
        <v>1</v>
      </c>
      <c r="G760" s="3">
        <v>13535</v>
      </c>
      <c r="H760" s="3">
        <v>0</v>
      </c>
      <c r="I760" s="3">
        <v>69786</v>
      </c>
      <c r="J760" s="3">
        <f>IF(E760="Cold",1,0)</f>
        <v>0</v>
      </c>
      <c r="K760" s="3">
        <f>IF(E760="Hot",1,0)</f>
        <v>1</v>
      </c>
      <c r="L760" s="3">
        <v>1132</v>
      </c>
      <c r="M760" s="3">
        <v>46</v>
      </c>
      <c r="N760" s="4">
        <v>43884</v>
      </c>
      <c r="O760" s="10">
        <v>357312.641</v>
      </c>
      <c r="P760" s="1">
        <f>$C$3+F760*$C$4+H760*$C$6+J760*$C$8+K760*$C$9+L760*$C$10+M760*$C$11</f>
        <v>348308.7394434039</v>
      </c>
      <c r="Q760" s="1">
        <f>(O760-P760)/O760</f>
        <v>2.5198944911092865E-2</v>
      </c>
      <c r="R760" s="1"/>
      <c r="S760" s="1"/>
    </row>
    <row r="761" spans="1:19" x14ac:dyDescent="0.3">
      <c r="A761" s="2">
        <v>116</v>
      </c>
      <c r="B761" s="3" t="s">
        <v>55</v>
      </c>
      <c r="C761" s="3" t="s">
        <v>105</v>
      </c>
      <c r="D761" s="3" t="s">
        <v>18</v>
      </c>
      <c r="E761" s="3" t="s">
        <v>21</v>
      </c>
      <c r="F761" s="3">
        <f>IF(D761="Urban",1,0)</f>
        <v>1</v>
      </c>
      <c r="G761" s="3">
        <v>17656</v>
      </c>
      <c r="H761" s="3">
        <v>4</v>
      </c>
      <c r="I761" s="3">
        <v>90955</v>
      </c>
      <c r="J761" s="3">
        <f>IF(E761="Cold",1,0)</f>
        <v>0</v>
      </c>
      <c r="K761" s="3">
        <f>IF(E761="Hot",1,0)</f>
        <v>1</v>
      </c>
      <c r="L761" s="3">
        <v>1782</v>
      </c>
      <c r="M761" s="3">
        <v>90</v>
      </c>
      <c r="N761" s="4">
        <v>45357</v>
      </c>
      <c r="O761" s="10">
        <v>380564.3039</v>
      </c>
      <c r="P761" s="1">
        <f>$C$3+F761*$C$4+H761*$C$6+J761*$C$8+K761*$C$9+L761*$C$10+M761*$C$11</f>
        <v>371042.55321080447</v>
      </c>
      <c r="Q761" s="1">
        <f>(O761-P761)/O761</f>
        <v>2.5020083574883934E-2</v>
      </c>
      <c r="R761" s="1"/>
      <c r="S761" s="1"/>
    </row>
    <row r="762" spans="1:19" x14ac:dyDescent="0.3">
      <c r="A762" s="2">
        <v>435</v>
      </c>
      <c r="B762" s="3" t="s">
        <v>72</v>
      </c>
      <c r="C762" s="3" t="s">
        <v>158</v>
      </c>
      <c r="D762" s="3" t="s">
        <v>14</v>
      </c>
      <c r="E762" s="3" t="s">
        <v>23</v>
      </c>
      <c r="F762" s="3">
        <f>IF(D762="Urban",1,0)</f>
        <v>0</v>
      </c>
      <c r="G762" s="3">
        <v>10611</v>
      </c>
      <c r="H762" s="3">
        <v>8</v>
      </c>
      <c r="I762" s="3">
        <v>68302</v>
      </c>
      <c r="J762" s="3">
        <f>IF(E762="Cold",1,0)</f>
        <v>0</v>
      </c>
      <c r="K762" s="3">
        <f>IF(E762="Hot",1,0)</f>
        <v>0</v>
      </c>
      <c r="L762" s="3">
        <v>1424</v>
      </c>
      <c r="M762" s="3">
        <v>41</v>
      </c>
      <c r="N762" s="4">
        <v>44851</v>
      </c>
      <c r="O762" s="10">
        <v>306628.65649999998</v>
      </c>
      <c r="P762" s="1">
        <f>$C$3+F762*$C$4+H762*$C$6+J762*$C$8+K762*$C$9+L762*$C$10+M762*$C$11</f>
        <v>298991.72564640769</v>
      </c>
      <c r="Q762" s="1">
        <f>(O762-P762)/O762</f>
        <v>2.4906122411270097E-2</v>
      </c>
      <c r="R762" s="1"/>
      <c r="S762" s="1"/>
    </row>
    <row r="763" spans="1:19" x14ac:dyDescent="0.3">
      <c r="A763" s="2">
        <v>204</v>
      </c>
      <c r="B763" s="3" t="s">
        <v>72</v>
      </c>
      <c r="C763" s="3" t="s">
        <v>160</v>
      </c>
      <c r="D763" s="3" t="s">
        <v>18</v>
      </c>
      <c r="E763" s="3" t="s">
        <v>23</v>
      </c>
      <c r="F763" s="3">
        <f>IF(D763="Urban",1,0)</f>
        <v>1</v>
      </c>
      <c r="G763" s="3">
        <v>18816</v>
      </c>
      <c r="H763" s="3">
        <v>2</v>
      </c>
      <c r="I763" s="3">
        <v>80093</v>
      </c>
      <c r="J763" s="3">
        <f>IF(E763="Cold",1,0)</f>
        <v>0</v>
      </c>
      <c r="K763" s="3">
        <f>IF(E763="Hot",1,0)</f>
        <v>0</v>
      </c>
      <c r="L763" s="3">
        <v>2713</v>
      </c>
      <c r="M763" s="3">
        <v>71</v>
      </c>
      <c r="N763" s="4">
        <v>44565</v>
      </c>
      <c r="O763" s="10">
        <v>393955.61259999999</v>
      </c>
      <c r="P763" s="1">
        <f>$C$3+F763*$C$4+H763*$C$6+J763*$C$8+K763*$C$9+L763*$C$10+M763*$C$11</f>
        <v>384382.08072873403</v>
      </c>
      <c r="Q763" s="1">
        <f>(O763-P763)/O763</f>
        <v>2.430104195770497E-2</v>
      </c>
      <c r="R763" s="1"/>
      <c r="S763" s="1"/>
    </row>
    <row r="764" spans="1:19" x14ac:dyDescent="0.3">
      <c r="A764" s="2">
        <v>279</v>
      </c>
      <c r="B764" s="3" t="s">
        <v>12</v>
      </c>
      <c r="C764" s="3" t="s">
        <v>126</v>
      </c>
      <c r="D764" s="3" t="s">
        <v>18</v>
      </c>
      <c r="E764" s="3" t="s">
        <v>21</v>
      </c>
      <c r="F764" s="3">
        <f>IF(D764="Urban",1,0)</f>
        <v>1</v>
      </c>
      <c r="G764" s="3">
        <v>1714</v>
      </c>
      <c r="H764" s="3">
        <v>3</v>
      </c>
      <c r="I764" s="3">
        <v>71897</v>
      </c>
      <c r="J764" s="3">
        <f>IF(E764="Cold",1,0)</f>
        <v>0</v>
      </c>
      <c r="K764" s="3">
        <f>IF(E764="Hot",1,0)</f>
        <v>1</v>
      </c>
      <c r="L764" s="3">
        <v>1635</v>
      </c>
      <c r="M764" s="3">
        <v>64</v>
      </c>
      <c r="N764" s="4">
        <v>45497</v>
      </c>
      <c r="O764" s="10">
        <v>369944.31219999999</v>
      </c>
      <c r="P764" s="1">
        <f>$C$3+F764*$C$4+H764*$C$6+J764*$C$8+K764*$C$9+L764*$C$10+M764*$C$11</f>
        <v>361044.98356339306</v>
      </c>
      <c r="Q764" s="1">
        <f>(O764-P764)/O764</f>
        <v>2.4055860147393616E-2</v>
      </c>
      <c r="R764" s="1"/>
      <c r="S764" s="1"/>
    </row>
    <row r="765" spans="1:19" x14ac:dyDescent="0.3">
      <c r="A765" s="2">
        <v>598</v>
      </c>
      <c r="B765" s="3" t="s">
        <v>37</v>
      </c>
      <c r="C765" s="3" t="s">
        <v>90</v>
      </c>
      <c r="D765" s="3" t="s">
        <v>18</v>
      </c>
      <c r="E765" s="3" t="s">
        <v>15</v>
      </c>
      <c r="F765" s="3">
        <f>IF(D765="Urban",1,0)</f>
        <v>1</v>
      </c>
      <c r="G765" s="3">
        <v>11980</v>
      </c>
      <c r="H765" s="3">
        <v>1</v>
      </c>
      <c r="I765" s="3">
        <v>61020</v>
      </c>
      <c r="J765" s="3">
        <f>IF(E765="Cold",1,0)</f>
        <v>1</v>
      </c>
      <c r="K765" s="3">
        <f>IF(E765="Hot",1,0)</f>
        <v>0</v>
      </c>
      <c r="L765" s="3">
        <v>1932</v>
      </c>
      <c r="M765" s="3">
        <v>91</v>
      </c>
      <c r="N765" s="4">
        <v>44440</v>
      </c>
      <c r="O765" s="10">
        <v>365759.80190000002</v>
      </c>
      <c r="P765" s="1">
        <f>$C$3+F765*$C$4+H765*$C$6+J765*$C$8+K765*$C$9+L765*$C$10+M765*$C$11</f>
        <v>356972.81219985313</v>
      </c>
      <c r="Q765" s="1">
        <f>(O765-P765)/O765</f>
        <v>2.4023934982743907E-2</v>
      </c>
      <c r="R765" s="1"/>
      <c r="S765" s="1"/>
    </row>
    <row r="766" spans="1:19" x14ac:dyDescent="0.3">
      <c r="A766" s="2">
        <v>74</v>
      </c>
      <c r="B766" s="3" t="s">
        <v>33</v>
      </c>
      <c r="C766" s="3" t="s">
        <v>91</v>
      </c>
      <c r="D766" s="3" t="s">
        <v>14</v>
      </c>
      <c r="E766" s="3" t="s">
        <v>15</v>
      </c>
      <c r="F766" s="3">
        <f>IF(D766="Urban",1,0)</f>
        <v>0</v>
      </c>
      <c r="G766" s="3">
        <v>27646</v>
      </c>
      <c r="H766" s="3">
        <v>1</v>
      </c>
      <c r="I766" s="3">
        <v>96726</v>
      </c>
      <c r="J766" s="3">
        <f>IF(E766="Cold",1,0)</f>
        <v>1</v>
      </c>
      <c r="K766" s="3">
        <f>IF(E766="Hot",1,0)</f>
        <v>0</v>
      </c>
      <c r="L766" s="3">
        <v>1169</v>
      </c>
      <c r="M766" s="3">
        <v>88</v>
      </c>
      <c r="N766" s="4">
        <v>44925</v>
      </c>
      <c r="O766" s="10">
        <v>303354.53360000002</v>
      </c>
      <c r="P766" s="1">
        <f>$C$3+F766*$C$4+H766*$C$6+J766*$C$8+K766*$C$9+L766*$C$10+M766*$C$11</f>
        <v>296102.66258708178</v>
      </c>
      <c r="Q766" s="1">
        <f>(O766-P766)/O766</f>
        <v>2.3905596289787057E-2</v>
      </c>
      <c r="R766" s="1"/>
      <c r="S766" s="1"/>
    </row>
    <row r="767" spans="1:19" x14ac:dyDescent="0.3">
      <c r="A767" s="2">
        <v>684</v>
      </c>
      <c r="B767" s="3" t="s">
        <v>29</v>
      </c>
      <c r="C767" s="3" t="s">
        <v>188</v>
      </c>
      <c r="D767" s="3" t="s">
        <v>18</v>
      </c>
      <c r="E767" s="3" t="s">
        <v>15</v>
      </c>
      <c r="F767" s="3">
        <f>IF(D767="Urban",1,0)</f>
        <v>1</v>
      </c>
      <c r="G767" s="3">
        <v>19075</v>
      </c>
      <c r="H767" s="3">
        <v>1</v>
      </c>
      <c r="I767" s="3">
        <v>75416</v>
      </c>
      <c r="J767" s="3">
        <f>IF(E767="Cold",1,0)</f>
        <v>1</v>
      </c>
      <c r="K767" s="3">
        <f>IF(E767="Hot",1,0)</f>
        <v>0</v>
      </c>
      <c r="L767" s="3">
        <v>1660</v>
      </c>
      <c r="M767" s="3">
        <v>47</v>
      </c>
      <c r="N767" s="4">
        <v>44980</v>
      </c>
      <c r="O767" s="10">
        <v>346237.0209</v>
      </c>
      <c r="P767" s="1">
        <f>$C$3+F767*$C$4+H767*$C$6+J767*$C$8+K767*$C$9+L767*$C$10+M767*$C$11</f>
        <v>337982.37297330622</v>
      </c>
      <c r="Q767" s="1">
        <f>(O767-P767)/O767</f>
        <v>2.3841032091937636E-2</v>
      </c>
      <c r="R767" s="1"/>
      <c r="S767" s="1"/>
    </row>
    <row r="768" spans="1:19" x14ac:dyDescent="0.3">
      <c r="A768" s="2">
        <v>811</v>
      </c>
      <c r="B768" s="3" t="s">
        <v>55</v>
      </c>
      <c r="C768" s="3" t="s">
        <v>175</v>
      </c>
      <c r="D768" s="3" t="s">
        <v>18</v>
      </c>
      <c r="E768" s="3" t="s">
        <v>15</v>
      </c>
      <c r="F768" s="3">
        <f>IF(D768="Urban",1,0)</f>
        <v>1</v>
      </c>
      <c r="G768" s="3">
        <v>14115</v>
      </c>
      <c r="H768" s="3">
        <v>7</v>
      </c>
      <c r="I768" s="3">
        <v>74834</v>
      </c>
      <c r="J768" s="3">
        <f>IF(E768="Cold",1,0)</f>
        <v>1</v>
      </c>
      <c r="K768" s="3">
        <f>IF(E768="Hot",1,0)</f>
        <v>0</v>
      </c>
      <c r="L768" s="3">
        <v>2421</v>
      </c>
      <c r="M768" s="3">
        <v>56</v>
      </c>
      <c r="N768" s="4">
        <v>44296</v>
      </c>
      <c r="O768" s="10">
        <v>358777.79359999998</v>
      </c>
      <c r="P768" s="1">
        <f>$C$3+F768*$C$4+H768*$C$6+J768*$C$8+K768*$C$9+L768*$C$10+M768*$C$11</f>
        <v>350243.17291182268</v>
      </c>
      <c r="Q768" s="1">
        <f>(O768-P768)/O768</f>
        <v>2.3788040509810683E-2</v>
      </c>
      <c r="R768" s="1"/>
      <c r="S768" s="1"/>
    </row>
    <row r="769" spans="1:19" x14ac:dyDescent="0.3">
      <c r="A769" s="2">
        <v>0</v>
      </c>
      <c r="B769" s="3" t="s">
        <v>12</v>
      </c>
      <c r="C769" s="3" t="s">
        <v>13</v>
      </c>
      <c r="D769" s="3" t="s">
        <v>14</v>
      </c>
      <c r="E769" s="3" t="s">
        <v>15</v>
      </c>
      <c r="F769" s="3">
        <f>IF(D769="Urban",1,0)</f>
        <v>0</v>
      </c>
      <c r="G769" s="3">
        <v>4421</v>
      </c>
      <c r="H769" s="3">
        <v>8</v>
      </c>
      <c r="I769" s="3">
        <v>85246</v>
      </c>
      <c r="J769" s="3">
        <f>IF(E769="Cold",1,0)</f>
        <v>1</v>
      </c>
      <c r="K769" s="3">
        <f>IF(E769="Hot",1,0)</f>
        <v>0</v>
      </c>
      <c r="L769" s="3">
        <v>1994</v>
      </c>
      <c r="M769" s="3">
        <v>22</v>
      </c>
      <c r="N769" s="4">
        <v>44110</v>
      </c>
      <c r="O769" s="10">
        <v>292504.02039999998</v>
      </c>
      <c r="P769" s="1">
        <f>$C$3+F769*$C$4+H769*$C$6+J769*$C$8+K769*$C$9+L769*$C$10+M769*$C$11</f>
        <v>285573.36365921743</v>
      </c>
      <c r="Q769" s="1">
        <f>(O769-P769)/O769</f>
        <v>2.3694227283798899E-2</v>
      </c>
      <c r="R769" s="1"/>
      <c r="S769" s="1"/>
    </row>
    <row r="770" spans="1:19" x14ac:dyDescent="0.3">
      <c r="A770" s="2">
        <v>170</v>
      </c>
      <c r="B770" s="3" t="s">
        <v>26</v>
      </c>
      <c r="C770" s="3" t="s">
        <v>99</v>
      </c>
      <c r="D770" s="3" t="s">
        <v>14</v>
      </c>
      <c r="E770" s="3" t="s">
        <v>23</v>
      </c>
      <c r="F770" s="3">
        <f>IF(D770="Urban",1,0)</f>
        <v>0</v>
      </c>
      <c r="G770" s="3">
        <v>13354</v>
      </c>
      <c r="H770" s="3">
        <v>9</v>
      </c>
      <c r="I770" s="3">
        <v>76915</v>
      </c>
      <c r="J770" s="3">
        <f>IF(E770="Cold",1,0)</f>
        <v>0</v>
      </c>
      <c r="K770" s="3">
        <f>IF(E770="Hot",1,0)</f>
        <v>0</v>
      </c>
      <c r="L770" s="3">
        <v>1416</v>
      </c>
      <c r="M770" s="3">
        <v>32</v>
      </c>
      <c r="N770" s="4">
        <v>44495</v>
      </c>
      <c r="O770" s="10">
        <v>302256.0735</v>
      </c>
      <c r="P770" s="1">
        <f>$C$3+F770*$C$4+H770*$C$6+J770*$C$8+K770*$C$9+L770*$C$10+M770*$C$11</f>
        <v>295107.90129190002</v>
      </c>
      <c r="Q770" s="1">
        <f>(O770-P770)/O770</f>
        <v>2.3649391475668646E-2</v>
      </c>
      <c r="R770" s="1"/>
      <c r="S770" s="1"/>
    </row>
    <row r="771" spans="1:19" x14ac:dyDescent="0.3">
      <c r="A771" s="2">
        <v>586</v>
      </c>
      <c r="B771" s="3" t="s">
        <v>12</v>
      </c>
      <c r="C771" s="3" t="s">
        <v>95</v>
      </c>
      <c r="D771" s="3" t="s">
        <v>18</v>
      </c>
      <c r="E771" s="3" t="s">
        <v>15</v>
      </c>
      <c r="F771" s="3">
        <f>IF(D771="Urban",1,0)</f>
        <v>1</v>
      </c>
      <c r="G771" s="3">
        <v>18913</v>
      </c>
      <c r="H771" s="3">
        <v>7</v>
      </c>
      <c r="I771" s="3">
        <v>50927</v>
      </c>
      <c r="J771" s="3">
        <f>IF(E771="Cold",1,0)</f>
        <v>1</v>
      </c>
      <c r="K771" s="3">
        <f>IF(E771="Hot",1,0)</f>
        <v>0</v>
      </c>
      <c r="L771" s="3">
        <v>2717</v>
      </c>
      <c r="M771" s="3">
        <v>57</v>
      </c>
      <c r="N771" s="4">
        <v>45540</v>
      </c>
      <c r="O771" s="10">
        <v>364979.36229999998</v>
      </c>
      <c r="P771" s="1">
        <f>$C$3+F771*$C$4+H771*$C$6+J771*$C$8+K771*$C$9+L771*$C$10+M771*$C$11</f>
        <v>356458.68994680024</v>
      </c>
      <c r="Q771" s="1">
        <f>(O771-P771)/O771</f>
        <v>2.3345627817158751E-2</v>
      </c>
      <c r="R771" s="1"/>
      <c r="S771" s="1"/>
    </row>
    <row r="772" spans="1:19" x14ac:dyDescent="0.3">
      <c r="A772" s="2">
        <v>644</v>
      </c>
      <c r="B772" s="3" t="s">
        <v>28</v>
      </c>
      <c r="C772" s="3" t="s">
        <v>43</v>
      </c>
      <c r="D772" s="3" t="s">
        <v>14</v>
      </c>
      <c r="E772" s="3" t="s">
        <v>21</v>
      </c>
      <c r="F772" s="3">
        <f>IF(D772="Urban",1,0)</f>
        <v>0</v>
      </c>
      <c r="G772" s="3">
        <v>16711</v>
      </c>
      <c r="H772" s="3">
        <v>5</v>
      </c>
      <c r="I772" s="3">
        <v>88651</v>
      </c>
      <c r="J772" s="3">
        <f>IF(E772="Cold",1,0)</f>
        <v>0</v>
      </c>
      <c r="K772" s="3">
        <f>IF(E772="Hot",1,0)</f>
        <v>1</v>
      </c>
      <c r="L772" s="3">
        <v>1531</v>
      </c>
      <c r="M772" s="3">
        <v>56</v>
      </c>
      <c r="N772" s="4">
        <v>44025</v>
      </c>
      <c r="O772" s="10">
        <v>317267.7574</v>
      </c>
      <c r="P772" s="1">
        <f>$C$3+F772*$C$4+H772*$C$6+J772*$C$8+K772*$C$9+L772*$C$10+M772*$C$11</f>
        <v>309885.18487844651</v>
      </c>
      <c r="Q772" s="1">
        <f>(O772-P772)/O772</f>
        <v>2.3269217717089997E-2</v>
      </c>
      <c r="R772" s="1"/>
      <c r="S772" s="1"/>
    </row>
    <row r="773" spans="1:19" x14ac:dyDescent="0.3">
      <c r="A773" s="2">
        <v>459</v>
      </c>
      <c r="B773" s="3" t="s">
        <v>108</v>
      </c>
      <c r="C773" s="3" t="s">
        <v>203</v>
      </c>
      <c r="D773" s="3" t="s">
        <v>14</v>
      </c>
      <c r="E773" s="3" t="s">
        <v>23</v>
      </c>
      <c r="F773" s="3">
        <f>IF(D773="Urban",1,0)</f>
        <v>0</v>
      </c>
      <c r="G773" s="3">
        <v>28477</v>
      </c>
      <c r="H773" s="3">
        <v>6</v>
      </c>
      <c r="I773" s="3">
        <v>86413</v>
      </c>
      <c r="J773" s="3">
        <f>IF(E773="Cold",1,0)</f>
        <v>0</v>
      </c>
      <c r="K773" s="3">
        <f>IF(E773="Hot",1,0)</f>
        <v>0</v>
      </c>
      <c r="L773" s="3">
        <v>2424</v>
      </c>
      <c r="M773" s="3">
        <v>59</v>
      </c>
      <c r="N773" s="4">
        <v>44516</v>
      </c>
      <c r="O773" s="10">
        <v>334163.2549</v>
      </c>
      <c r="P773" s="1">
        <f>$C$3+F773*$C$4+H773*$C$6+J773*$C$8+K773*$C$9+L773*$C$10+M773*$C$11</f>
        <v>326397.11222771503</v>
      </c>
      <c r="Q773" s="1">
        <f>(O773-P773)/O773</f>
        <v>2.3240564479805024E-2</v>
      </c>
      <c r="R773" s="1"/>
      <c r="S773" s="1"/>
    </row>
    <row r="774" spans="1:19" x14ac:dyDescent="0.3">
      <c r="A774" s="2">
        <v>139</v>
      </c>
      <c r="B774" s="3" t="s">
        <v>19</v>
      </c>
      <c r="C774" s="3" t="s">
        <v>129</v>
      </c>
      <c r="D774" s="3" t="s">
        <v>14</v>
      </c>
      <c r="E774" s="3" t="s">
        <v>23</v>
      </c>
      <c r="F774" s="3">
        <f>IF(D774="Urban",1,0)</f>
        <v>0</v>
      </c>
      <c r="G774" s="3">
        <v>24502</v>
      </c>
      <c r="H774" s="3">
        <v>1</v>
      </c>
      <c r="I774" s="3">
        <v>69133</v>
      </c>
      <c r="J774" s="3">
        <f>IF(E774="Cold",1,0)</f>
        <v>0</v>
      </c>
      <c r="K774" s="3">
        <f>IF(E774="Hot",1,0)</f>
        <v>0</v>
      </c>
      <c r="L774" s="3">
        <v>2805</v>
      </c>
      <c r="M774" s="3">
        <v>60</v>
      </c>
      <c r="N774" s="4">
        <v>45310</v>
      </c>
      <c r="O774" s="10">
        <v>347093.64689999999</v>
      </c>
      <c r="P774" s="1">
        <f>$C$3+F774*$C$4+H774*$C$6+J774*$C$8+K774*$C$9+L774*$C$10+M774*$C$11</f>
        <v>339059.46684252261</v>
      </c>
      <c r="Q774" s="1">
        <f>(O774-P774)/O774</f>
        <v>2.3147009832168094E-2</v>
      </c>
      <c r="R774" s="1"/>
      <c r="S774" s="1"/>
    </row>
    <row r="775" spans="1:19" x14ac:dyDescent="0.3">
      <c r="A775" s="2">
        <v>131</v>
      </c>
      <c r="B775" s="3" t="s">
        <v>19</v>
      </c>
      <c r="C775" s="3" t="s">
        <v>130</v>
      </c>
      <c r="D775" s="3" t="s">
        <v>18</v>
      </c>
      <c r="E775" s="3" t="s">
        <v>23</v>
      </c>
      <c r="F775" s="3">
        <f>IF(D775="Urban",1,0)</f>
        <v>1</v>
      </c>
      <c r="G775" s="3">
        <v>13484</v>
      </c>
      <c r="H775" s="3">
        <v>6</v>
      </c>
      <c r="I775" s="3">
        <v>99853</v>
      </c>
      <c r="J775" s="3">
        <f>IF(E775="Cold",1,0)</f>
        <v>0</v>
      </c>
      <c r="K775" s="3">
        <f>IF(E775="Hot",1,0)</f>
        <v>0</v>
      </c>
      <c r="L775" s="3">
        <v>2123</v>
      </c>
      <c r="M775" s="3">
        <v>47</v>
      </c>
      <c r="N775" s="4">
        <v>44062</v>
      </c>
      <c r="O775" s="10">
        <v>369935.47240000003</v>
      </c>
      <c r="P775" s="1">
        <f>$C$3+F775*$C$4+H775*$C$6+J775*$C$8+K775*$C$9+L775*$C$10+M775*$C$11</f>
        <v>361409.50942238548</v>
      </c>
      <c r="Q775" s="1">
        <f>(O775-P775)/O775</f>
        <v>2.3047162582980632E-2</v>
      </c>
      <c r="R775" s="1"/>
      <c r="S775" s="1"/>
    </row>
    <row r="776" spans="1:19" x14ac:dyDescent="0.3">
      <c r="A776" s="2">
        <v>997</v>
      </c>
      <c r="B776" s="3" t="s">
        <v>44</v>
      </c>
      <c r="C776" s="3" t="s">
        <v>111</v>
      </c>
      <c r="D776" s="3" t="s">
        <v>18</v>
      </c>
      <c r="E776" s="3" t="s">
        <v>15</v>
      </c>
      <c r="F776" s="3">
        <f>IF(D776="Urban",1,0)</f>
        <v>1</v>
      </c>
      <c r="G776" s="3">
        <v>8703</v>
      </c>
      <c r="H776" s="3">
        <v>3</v>
      </c>
      <c r="I776" s="3">
        <v>90733</v>
      </c>
      <c r="J776" s="3">
        <f>IF(E776="Cold",1,0)</f>
        <v>1</v>
      </c>
      <c r="K776" s="3">
        <f>IF(E776="Hot",1,0)</f>
        <v>0</v>
      </c>
      <c r="L776" s="3">
        <v>2160</v>
      </c>
      <c r="M776" s="3">
        <v>64</v>
      </c>
      <c r="N776" s="4">
        <v>44928</v>
      </c>
      <c r="O776" s="10">
        <v>359580.90240000002</v>
      </c>
      <c r="P776" s="1">
        <f>$C$3+F776*$C$4+H776*$C$6+J776*$C$8+K776*$C$9+L776*$C$10+M776*$C$11</f>
        <v>351300.61356285348</v>
      </c>
      <c r="Q776" s="1">
        <f>(O776-P776)/O776</f>
        <v>2.3027610148036986E-2</v>
      </c>
      <c r="R776" s="1"/>
      <c r="S776" s="1"/>
    </row>
    <row r="777" spans="1:19" x14ac:dyDescent="0.3">
      <c r="A777" s="2">
        <v>768</v>
      </c>
      <c r="B777" s="3" t="s">
        <v>19</v>
      </c>
      <c r="C777" s="3" t="s">
        <v>199</v>
      </c>
      <c r="D777" s="3" t="s">
        <v>18</v>
      </c>
      <c r="E777" s="3" t="s">
        <v>23</v>
      </c>
      <c r="F777" s="3">
        <f>IF(D777="Urban",1,0)</f>
        <v>1</v>
      </c>
      <c r="G777" s="3">
        <v>12543</v>
      </c>
      <c r="H777" s="3">
        <v>7</v>
      </c>
      <c r="I777" s="3">
        <v>80895</v>
      </c>
      <c r="J777" s="3">
        <f>IF(E777="Cold",1,0)</f>
        <v>0</v>
      </c>
      <c r="K777" s="3">
        <f>IF(E777="Hot",1,0)</f>
        <v>0</v>
      </c>
      <c r="L777" s="3">
        <v>2863</v>
      </c>
      <c r="M777" s="3">
        <v>74</v>
      </c>
      <c r="N777" s="4">
        <v>43888</v>
      </c>
      <c r="O777" s="10">
        <v>392577.98690000002</v>
      </c>
      <c r="P777" s="1">
        <f>$C$3+F777*$C$4+H777*$C$6+J777*$C$8+K777*$C$9+L777*$C$10+M777*$C$11</f>
        <v>383549.84015769174</v>
      </c>
      <c r="Q777" s="1">
        <f>(O777-P777)/O777</f>
        <v>2.2997078398611245E-2</v>
      </c>
      <c r="R777" s="1"/>
      <c r="S777" s="1"/>
    </row>
    <row r="778" spans="1:19" x14ac:dyDescent="0.3">
      <c r="A778" s="2">
        <v>26</v>
      </c>
      <c r="B778" s="3" t="s">
        <v>55</v>
      </c>
      <c r="C778" s="3" t="s">
        <v>56</v>
      </c>
      <c r="D778" s="3" t="s">
        <v>18</v>
      </c>
      <c r="E778" s="3" t="s">
        <v>23</v>
      </c>
      <c r="F778" s="3">
        <f>IF(D778="Urban",1,0)</f>
        <v>1</v>
      </c>
      <c r="G778" s="3">
        <v>15393</v>
      </c>
      <c r="H778" s="3">
        <v>0</v>
      </c>
      <c r="I778" s="3">
        <v>58510</v>
      </c>
      <c r="J778" s="3">
        <f>IF(E778="Cold",1,0)</f>
        <v>0</v>
      </c>
      <c r="K778" s="3">
        <f>IF(E778="Hot",1,0)</f>
        <v>0</v>
      </c>
      <c r="L778" s="3">
        <v>2412</v>
      </c>
      <c r="M778" s="3">
        <v>77</v>
      </c>
      <c r="N778" s="4">
        <v>44993</v>
      </c>
      <c r="O778" s="10">
        <v>391103.51140000002</v>
      </c>
      <c r="P778" s="1">
        <f>$C$3+F778*$C$4+H778*$C$6+J778*$C$8+K778*$C$9+L778*$C$10+M778*$C$11</f>
        <v>382124.58397824666</v>
      </c>
      <c r="Q778" s="1">
        <f>(O778-P778)/O778</f>
        <v>2.2957930982547944E-2</v>
      </c>
      <c r="R778" s="1"/>
      <c r="S778" s="1"/>
    </row>
    <row r="779" spans="1:19" x14ac:dyDescent="0.3">
      <c r="A779" s="2">
        <v>653</v>
      </c>
      <c r="B779" s="3" t="s">
        <v>55</v>
      </c>
      <c r="C779" s="3" t="s">
        <v>169</v>
      </c>
      <c r="D779" s="3" t="s">
        <v>14</v>
      </c>
      <c r="E779" s="3" t="s">
        <v>23</v>
      </c>
      <c r="F779" s="3">
        <f>IF(D779="Urban",1,0)</f>
        <v>0</v>
      </c>
      <c r="G779" s="3">
        <v>3497</v>
      </c>
      <c r="H779" s="3">
        <v>2</v>
      </c>
      <c r="I779" s="3">
        <v>90219</v>
      </c>
      <c r="J779" s="3">
        <f>IF(E779="Cold",1,0)</f>
        <v>0</v>
      </c>
      <c r="K779" s="3">
        <f>IF(E779="Hot",1,0)</f>
        <v>0</v>
      </c>
      <c r="L779" s="3">
        <v>2038</v>
      </c>
      <c r="M779" s="3">
        <v>31</v>
      </c>
      <c r="N779" s="4">
        <v>44496</v>
      </c>
      <c r="O779" s="10">
        <v>321230.71730000002</v>
      </c>
      <c r="P779" s="1">
        <f>$C$3+F779*$C$4+H779*$C$6+J779*$C$8+K779*$C$9+L779*$C$10+M779*$C$11</f>
        <v>313863.64036458009</v>
      </c>
      <c r="Q779" s="1">
        <f>(O779-P779)/O779</f>
        <v>2.2933911791940355E-2</v>
      </c>
      <c r="R779" s="1"/>
      <c r="S779" s="1"/>
    </row>
    <row r="780" spans="1:19" x14ac:dyDescent="0.3">
      <c r="A780" s="2">
        <v>944</v>
      </c>
      <c r="B780" s="3" t="s">
        <v>12</v>
      </c>
      <c r="C780" s="3" t="s">
        <v>95</v>
      </c>
      <c r="D780" s="3" t="s">
        <v>14</v>
      </c>
      <c r="E780" s="3" t="s">
        <v>21</v>
      </c>
      <c r="F780" s="3">
        <f>IF(D780="Urban",1,0)</f>
        <v>0</v>
      </c>
      <c r="G780" s="3">
        <v>10451</v>
      </c>
      <c r="H780" s="3">
        <v>8</v>
      </c>
      <c r="I780" s="3">
        <v>90019</v>
      </c>
      <c r="J780" s="3">
        <f>IF(E780="Cold",1,0)</f>
        <v>0</v>
      </c>
      <c r="K780" s="3">
        <f>IF(E780="Hot",1,0)</f>
        <v>1</v>
      </c>
      <c r="L780" s="3">
        <v>2996</v>
      </c>
      <c r="M780" s="3">
        <v>98</v>
      </c>
      <c r="N780" s="4">
        <v>44929</v>
      </c>
      <c r="O780" s="10">
        <v>357368.179</v>
      </c>
      <c r="P780" s="1">
        <f>$C$3+F780*$C$4+H780*$C$6+J780*$C$8+K780*$C$9+L780*$C$10+M780*$C$11</f>
        <v>349217.63254153862</v>
      </c>
      <c r="Q780" s="1">
        <f>(O780-P780)/O780</f>
        <v>2.2807141031046807E-2</v>
      </c>
      <c r="R780" s="1"/>
      <c r="S780" s="1"/>
    </row>
    <row r="781" spans="1:19" x14ac:dyDescent="0.3">
      <c r="A781" s="2">
        <v>908</v>
      </c>
      <c r="B781" s="3" t="s">
        <v>122</v>
      </c>
      <c r="C781" s="3" t="s">
        <v>189</v>
      </c>
      <c r="D781" s="3" t="s">
        <v>18</v>
      </c>
      <c r="E781" s="3" t="s">
        <v>15</v>
      </c>
      <c r="F781" s="3">
        <f>IF(D781="Urban",1,0)</f>
        <v>1</v>
      </c>
      <c r="G781" s="3">
        <v>12762</v>
      </c>
      <c r="H781" s="3">
        <v>5</v>
      </c>
      <c r="I781" s="3">
        <v>60555</v>
      </c>
      <c r="J781" s="3">
        <f>IF(E781="Cold",1,0)</f>
        <v>1</v>
      </c>
      <c r="K781" s="3">
        <f>IF(E781="Hot",1,0)</f>
        <v>0</v>
      </c>
      <c r="L781" s="3">
        <v>1057</v>
      </c>
      <c r="M781" s="3">
        <v>65</v>
      </c>
      <c r="N781" s="4">
        <v>44631</v>
      </c>
      <c r="O781" s="10">
        <v>335309.67700000003</v>
      </c>
      <c r="P781" s="1">
        <f>$C$3+F781*$C$4+H781*$C$6+J781*$C$8+K781*$C$9+L781*$C$10+M781*$C$11</f>
        <v>327696.02138329903</v>
      </c>
      <c r="Q781" s="1">
        <f>(O781-P781)/O781</f>
        <v>2.2706340254835526E-2</v>
      </c>
      <c r="R781" s="1"/>
      <c r="S781" s="1"/>
    </row>
    <row r="782" spans="1:19" x14ac:dyDescent="0.3">
      <c r="A782" s="2">
        <v>332</v>
      </c>
      <c r="B782" s="3" t="s">
        <v>28</v>
      </c>
      <c r="C782" s="3" t="s">
        <v>187</v>
      </c>
      <c r="D782" s="3" t="s">
        <v>18</v>
      </c>
      <c r="E782" s="3" t="s">
        <v>23</v>
      </c>
      <c r="F782" s="3">
        <f>IF(D782="Urban",1,0)</f>
        <v>1</v>
      </c>
      <c r="G782" s="3">
        <v>8339</v>
      </c>
      <c r="H782" s="3">
        <v>1</v>
      </c>
      <c r="I782" s="3">
        <v>81313</v>
      </c>
      <c r="J782" s="3">
        <f>IF(E782="Cold",1,0)</f>
        <v>0</v>
      </c>
      <c r="K782" s="3">
        <f>IF(E782="Hot",1,0)</f>
        <v>0</v>
      </c>
      <c r="L782" s="3">
        <v>1977</v>
      </c>
      <c r="M782" s="3">
        <v>20</v>
      </c>
      <c r="N782" s="4">
        <v>45473</v>
      </c>
      <c r="O782" s="10">
        <v>363169.74739999999</v>
      </c>
      <c r="P782" s="1">
        <f>$C$3+F782*$C$4+H782*$C$6+J782*$C$8+K782*$C$9+L782*$C$10+M782*$C$11</f>
        <v>354924.0574103187</v>
      </c>
      <c r="Q782" s="1">
        <f>(O782-P782)/O782</f>
        <v>2.2704782126577807E-2</v>
      </c>
      <c r="R782" s="1"/>
      <c r="S782" s="1"/>
    </row>
    <row r="783" spans="1:19" x14ac:dyDescent="0.3">
      <c r="A783" s="2">
        <v>416</v>
      </c>
      <c r="B783" s="3" t="s">
        <v>33</v>
      </c>
      <c r="C783" s="3" t="s">
        <v>68</v>
      </c>
      <c r="D783" s="3" t="s">
        <v>18</v>
      </c>
      <c r="E783" s="3" t="s">
        <v>15</v>
      </c>
      <c r="F783" s="3">
        <f>IF(D783="Urban",1,0)</f>
        <v>1</v>
      </c>
      <c r="G783" s="3">
        <v>5611</v>
      </c>
      <c r="H783" s="3">
        <v>3</v>
      </c>
      <c r="I783" s="3">
        <v>83773</v>
      </c>
      <c r="J783" s="3">
        <f>IF(E783="Cold",1,0)</f>
        <v>1</v>
      </c>
      <c r="K783" s="3">
        <f>IF(E783="Hot",1,0)</f>
        <v>0</v>
      </c>
      <c r="L783" s="3">
        <v>2555</v>
      </c>
      <c r="M783" s="3">
        <v>91</v>
      </c>
      <c r="N783" s="4">
        <v>45297</v>
      </c>
      <c r="O783" s="10">
        <v>375903.88030000002</v>
      </c>
      <c r="P783" s="1">
        <f>$C$3+F783*$C$4+H783*$C$6+J783*$C$8+K783*$C$9+L783*$C$10+M783*$C$11</f>
        <v>367505.85946679895</v>
      </c>
      <c r="Q783" s="1">
        <f>(O783-P783)/O783</f>
        <v>2.2340872955338487E-2</v>
      </c>
      <c r="R783" s="1"/>
      <c r="S783" s="1"/>
    </row>
    <row r="784" spans="1:19" x14ac:dyDescent="0.3">
      <c r="A784" s="2">
        <v>453</v>
      </c>
      <c r="B784" s="3" t="s">
        <v>12</v>
      </c>
      <c r="C784" s="3" t="s">
        <v>126</v>
      </c>
      <c r="D784" s="3" t="s">
        <v>14</v>
      </c>
      <c r="E784" s="3" t="s">
        <v>23</v>
      </c>
      <c r="F784" s="3">
        <f>IF(D784="Urban",1,0)</f>
        <v>0</v>
      </c>
      <c r="G784" s="3">
        <v>24928</v>
      </c>
      <c r="H784" s="3">
        <v>6</v>
      </c>
      <c r="I784" s="3">
        <v>75092</v>
      </c>
      <c r="J784" s="3">
        <f>IF(E784="Cold",1,0)</f>
        <v>0</v>
      </c>
      <c r="K784" s="3">
        <f>IF(E784="Hot",1,0)</f>
        <v>0</v>
      </c>
      <c r="L784" s="3">
        <v>2594</v>
      </c>
      <c r="M784" s="3">
        <v>83</v>
      </c>
      <c r="N784" s="4">
        <v>44235</v>
      </c>
      <c r="O784" s="10">
        <v>344871.3371</v>
      </c>
      <c r="P784" s="1">
        <f>$C$3+F784*$C$4+H784*$C$6+J784*$C$8+K784*$C$9+L784*$C$10+M784*$C$11</f>
        <v>337187.33162970492</v>
      </c>
      <c r="Q784" s="1">
        <f>(O784-P784)/O784</f>
        <v>2.2280788931052883E-2</v>
      </c>
      <c r="R784" s="1"/>
      <c r="S784" s="1"/>
    </row>
    <row r="785" spans="1:19" x14ac:dyDescent="0.3">
      <c r="A785" s="2">
        <v>72</v>
      </c>
      <c r="B785" s="3" t="s">
        <v>55</v>
      </c>
      <c r="C785" s="3" t="s">
        <v>56</v>
      </c>
      <c r="D785" s="3" t="s">
        <v>14</v>
      </c>
      <c r="E785" s="3" t="s">
        <v>23</v>
      </c>
      <c r="F785" s="3">
        <f>IF(D785="Urban",1,0)</f>
        <v>0</v>
      </c>
      <c r="G785" s="3">
        <v>17814</v>
      </c>
      <c r="H785" s="3">
        <v>2</v>
      </c>
      <c r="I785" s="3">
        <v>68227</v>
      </c>
      <c r="J785" s="3">
        <f>IF(E785="Cold",1,0)</f>
        <v>0</v>
      </c>
      <c r="K785" s="3">
        <f>IF(E785="Hot",1,0)</f>
        <v>0</v>
      </c>
      <c r="L785" s="3">
        <v>2262</v>
      </c>
      <c r="M785" s="3">
        <v>29</v>
      </c>
      <c r="N785" s="4">
        <v>45474</v>
      </c>
      <c r="O785" s="10">
        <v>324932.79489999998</v>
      </c>
      <c r="P785" s="1">
        <f>$C$3+F785*$C$4+H785*$C$6+J785*$C$8+K785*$C$9+L785*$C$10+M785*$C$11</f>
        <v>317717.5596521353</v>
      </c>
      <c r="Q785" s="1">
        <f>(O785-P785)/O785</f>
        <v>2.2205315564054442E-2</v>
      </c>
      <c r="R785" s="1"/>
      <c r="S785" s="1"/>
    </row>
    <row r="786" spans="1:19" x14ac:dyDescent="0.3">
      <c r="A786" s="2">
        <v>945</v>
      </c>
      <c r="B786" s="3" t="s">
        <v>57</v>
      </c>
      <c r="C786" s="3" t="s">
        <v>206</v>
      </c>
      <c r="D786" s="3" t="s">
        <v>18</v>
      </c>
      <c r="E786" s="3" t="s">
        <v>21</v>
      </c>
      <c r="F786" s="3">
        <f>IF(D786="Urban",1,0)</f>
        <v>1</v>
      </c>
      <c r="G786" s="3">
        <v>5985</v>
      </c>
      <c r="H786" s="3">
        <v>6</v>
      </c>
      <c r="I786" s="3">
        <v>67971</v>
      </c>
      <c r="J786" s="3">
        <f>IF(E786="Cold",1,0)</f>
        <v>0</v>
      </c>
      <c r="K786" s="3">
        <f>IF(E786="Hot",1,0)</f>
        <v>1</v>
      </c>
      <c r="L786" s="3">
        <v>2770</v>
      </c>
      <c r="M786" s="3">
        <v>24</v>
      </c>
      <c r="N786" s="4">
        <v>44272</v>
      </c>
      <c r="O786" s="10">
        <v>376688.65629999997</v>
      </c>
      <c r="P786" s="1">
        <f>$C$3+F786*$C$4+H786*$C$6+J786*$C$8+K786*$C$9+L786*$C$10+M786*$C$11</f>
        <v>368516.74181606161</v>
      </c>
      <c r="Q786" s="1">
        <f>(O786-P786)/O786</f>
        <v>2.1694081696556698E-2</v>
      </c>
      <c r="R786" s="1"/>
      <c r="S786" s="1"/>
    </row>
    <row r="787" spans="1:19" x14ac:dyDescent="0.3">
      <c r="A787" s="2">
        <v>975</v>
      </c>
      <c r="B787" s="3" t="s">
        <v>57</v>
      </c>
      <c r="C787" s="3" t="s">
        <v>67</v>
      </c>
      <c r="D787" s="3" t="s">
        <v>18</v>
      </c>
      <c r="E787" s="3" t="s">
        <v>21</v>
      </c>
      <c r="F787" s="3">
        <f>IF(D787="Urban",1,0)</f>
        <v>1</v>
      </c>
      <c r="G787" s="3">
        <v>24562</v>
      </c>
      <c r="H787" s="3">
        <v>9</v>
      </c>
      <c r="I787" s="3">
        <v>54360</v>
      </c>
      <c r="J787" s="3">
        <f>IF(E787="Cold",1,0)</f>
        <v>0</v>
      </c>
      <c r="K787" s="3">
        <f>IF(E787="Hot",1,0)</f>
        <v>1</v>
      </c>
      <c r="L787" s="3">
        <v>1151</v>
      </c>
      <c r="M787" s="3">
        <v>86</v>
      </c>
      <c r="N787" s="4">
        <v>45455</v>
      </c>
      <c r="O787" s="10">
        <v>360220.64189999999</v>
      </c>
      <c r="P787" s="1">
        <f>$C$3+F787*$C$4+H787*$C$6+J787*$C$8+K787*$C$9+L787*$C$10+M787*$C$11</f>
        <v>352466.24582696077</v>
      </c>
      <c r="Q787" s="1">
        <f>(O787-P787)/O787</f>
        <v>2.1526795444420682E-2</v>
      </c>
      <c r="R787" s="1"/>
      <c r="S787" s="1"/>
    </row>
    <row r="788" spans="1:19" x14ac:dyDescent="0.3">
      <c r="A788" s="2">
        <v>616</v>
      </c>
      <c r="B788" s="3" t="s">
        <v>44</v>
      </c>
      <c r="C788" s="3" t="s">
        <v>143</v>
      </c>
      <c r="D788" s="3" t="s">
        <v>14</v>
      </c>
      <c r="E788" s="3" t="s">
        <v>23</v>
      </c>
      <c r="F788" s="3">
        <f>IF(D788="Urban",1,0)</f>
        <v>0</v>
      </c>
      <c r="G788" s="3">
        <v>1001</v>
      </c>
      <c r="H788" s="3">
        <v>9</v>
      </c>
      <c r="I788" s="3">
        <v>54581</v>
      </c>
      <c r="J788" s="3">
        <f>IF(E788="Cold",1,0)</f>
        <v>0</v>
      </c>
      <c r="K788" s="3">
        <f>IF(E788="Hot",1,0)</f>
        <v>0</v>
      </c>
      <c r="L788" s="3">
        <v>2560</v>
      </c>
      <c r="M788" s="3">
        <v>74</v>
      </c>
      <c r="N788" s="4">
        <v>44608</v>
      </c>
      <c r="O788" s="10">
        <v>338163.47210000001</v>
      </c>
      <c r="P788" s="1">
        <f>$C$3+F788*$C$4+H788*$C$6+J788*$C$8+K788*$C$9+L788*$C$10+M788*$C$11</f>
        <v>330884.42864873097</v>
      </c>
      <c r="Q788" s="1">
        <f>(O788-P788)/O788</f>
        <v>2.1525220941416519E-2</v>
      </c>
      <c r="R788" s="1"/>
      <c r="S788" s="1"/>
    </row>
    <row r="789" spans="1:19" x14ac:dyDescent="0.3">
      <c r="A789" s="2">
        <v>497</v>
      </c>
      <c r="B789" s="3" t="s">
        <v>12</v>
      </c>
      <c r="C789" s="3" t="s">
        <v>47</v>
      </c>
      <c r="D789" s="3" t="s">
        <v>18</v>
      </c>
      <c r="E789" s="3" t="s">
        <v>21</v>
      </c>
      <c r="F789" s="3">
        <f>IF(D789="Urban",1,0)</f>
        <v>1</v>
      </c>
      <c r="G789" s="3">
        <v>20563</v>
      </c>
      <c r="H789" s="3">
        <v>8</v>
      </c>
      <c r="I789" s="3">
        <v>65487</v>
      </c>
      <c r="J789" s="3">
        <f>IF(E789="Cold",1,0)</f>
        <v>0</v>
      </c>
      <c r="K789" s="3">
        <f>IF(E789="Hot",1,0)</f>
        <v>1</v>
      </c>
      <c r="L789" s="3">
        <v>1331</v>
      </c>
      <c r="M789" s="3">
        <v>92</v>
      </c>
      <c r="N789" s="4">
        <v>44188</v>
      </c>
      <c r="O789" s="10">
        <v>366731.73440000002</v>
      </c>
      <c r="P789" s="1">
        <f>$C$3+F789*$C$4+H789*$C$6+J789*$C$8+K789*$C$9+L789*$C$10+M789*$C$11</f>
        <v>358857.99280075263</v>
      </c>
      <c r="Q789" s="1">
        <f>(O789-P789)/O789</f>
        <v>2.1470030708221642E-2</v>
      </c>
      <c r="R789" s="1"/>
      <c r="S789" s="1"/>
    </row>
    <row r="790" spans="1:19" x14ac:dyDescent="0.3">
      <c r="A790" s="2">
        <v>321</v>
      </c>
      <c r="B790" s="3" t="s">
        <v>31</v>
      </c>
      <c r="C790" s="3" t="s">
        <v>32</v>
      </c>
      <c r="D790" s="3" t="s">
        <v>14</v>
      </c>
      <c r="E790" s="3" t="s">
        <v>21</v>
      </c>
      <c r="F790" s="3">
        <f>IF(D790="Urban",1,0)</f>
        <v>0</v>
      </c>
      <c r="G790" s="3">
        <v>18684</v>
      </c>
      <c r="H790" s="3">
        <v>5</v>
      </c>
      <c r="I790" s="3">
        <v>63376</v>
      </c>
      <c r="J790" s="3">
        <f>IF(E790="Cold",1,0)</f>
        <v>0</v>
      </c>
      <c r="K790" s="3">
        <f>IF(E790="Hot",1,0)</f>
        <v>1</v>
      </c>
      <c r="L790" s="3">
        <v>2926</v>
      </c>
      <c r="M790" s="3">
        <v>67</v>
      </c>
      <c r="N790" s="4">
        <v>43874</v>
      </c>
      <c r="O790" s="10">
        <v>348526.94010000001</v>
      </c>
      <c r="P790" s="1">
        <f>$C$3+F790*$C$4+H790*$C$6+J790*$C$8+K790*$C$9+L790*$C$10+M790*$C$11</f>
        <v>341115.80094172078</v>
      </c>
      <c r="Q790" s="1">
        <f>(O790-P790)/O790</f>
        <v>2.1264178763778806E-2</v>
      </c>
      <c r="R790" s="1"/>
      <c r="S790" s="1"/>
    </row>
    <row r="791" spans="1:19" x14ac:dyDescent="0.3">
      <c r="A791" s="2">
        <v>633</v>
      </c>
      <c r="B791" s="3" t="s">
        <v>108</v>
      </c>
      <c r="C791" s="3" t="s">
        <v>142</v>
      </c>
      <c r="D791" s="3" t="s">
        <v>18</v>
      </c>
      <c r="E791" s="3" t="s">
        <v>23</v>
      </c>
      <c r="F791" s="3">
        <f>IF(D791="Urban",1,0)</f>
        <v>1</v>
      </c>
      <c r="G791" s="3">
        <v>7675</v>
      </c>
      <c r="H791" s="3">
        <v>3</v>
      </c>
      <c r="I791" s="3">
        <v>63344</v>
      </c>
      <c r="J791" s="3">
        <f>IF(E791="Cold",1,0)</f>
        <v>0</v>
      </c>
      <c r="K791" s="3">
        <f>IF(E791="Hot",1,0)</f>
        <v>0</v>
      </c>
      <c r="L791" s="3">
        <v>2332</v>
      </c>
      <c r="M791" s="3">
        <v>43</v>
      </c>
      <c r="N791" s="4">
        <v>45496</v>
      </c>
      <c r="O791" s="10">
        <v>375148.05109999998</v>
      </c>
      <c r="P791" s="1">
        <f>$C$3+F791*$C$4+H791*$C$6+J791*$C$8+K791*$C$9+L791*$C$10+M791*$C$11</f>
        <v>367197.9058472591</v>
      </c>
      <c r="Q791" s="1">
        <f>(O791-P791)/O791</f>
        <v>2.1192020668719086E-2</v>
      </c>
      <c r="R791" s="1"/>
      <c r="S791" s="1"/>
    </row>
    <row r="792" spans="1:19" x14ac:dyDescent="0.3">
      <c r="A792" s="2">
        <v>468</v>
      </c>
      <c r="B792" s="3" t="s">
        <v>28</v>
      </c>
      <c r="C792" s="3" t="s">
        <v>20</v>
      </c>
      <c r="D792" s="3" t="s">
        <v>14</v>
      </c>
      <c r="E792" s="3" t="s">
        <v>23</v>
      </c>
      <c r="F792" s="3">
        <f>IF(D792="Urban",1,0)</f>
        <v>0</v>
      </c>
      <c r="G792" s="3">
        <v>16485</v>
      </c>
      <c r="H792" s="3">
        <v>0</v>
      </c>
      <c r="I792" s="3">
        <v>77011</v>
      </c>
      <c r="J792" s="3">
        <f>IF(E792="Cold",1,0)</f>
        <v>0</v>
      </c>
      <c r="K792" s="3">
        <f>IF(E792="Hot",1,0)</f>
        <v>0</v>
      </c>
      <c r="L792" s="3">
        <v>2124</v>
      </c>
      <c r="M792" s="3">
        <v>97</v>
      </c>
      <c r="N792" s="4">
        <v>44309</v>
      </c>
      <c r="O792" s="10">
        <v>345116.49609999999</v>
      </c>
      <c r="P792" s="1">
        <f>$C$3+F792*$C$4+H792*$C$6+J792*$C$8+K792*$C$9+L792*$C$10+M792*$C$11</f>
        <v>337823.32419310493</v>
      </c>
      <c r="Q792" s="1">
        <f>(O792-P792)/O792</f>
        <v>2.1132492909819684E-2</v>
      </c>
      <c r="R792" s="1"/>
      <c r="S792" s="1"/>
    </row>
    <row r="793" spans="1:19" x14ac:dyDescent="0.3">
      <c r="A793" s="2">
        <v>550</v>
      </c>
      <c r="B793" s="3" t="s">
        <v>44</v>
      </c>
      <c r="C793" s="3" t="s">
        <v>82</v>
      </c>
      <c r="D793" s="3" t="s">
        <v>14</v>
      </c>
      <c r="E793" s="3" t="s">
        <v>15</v>
      </c>
      <c r="F793" s="3">
        <f>IF(D793="Urban",1,0)</f>
        <v>0</v>
      </c>
      <c r="G793" s="3">
        <v>21310</v>
      </c>
      <c r="H793" s="3">
        <v>4</v>
      </c>
      <c r="I793" s="3">
        <v>64682</v>
      </c>
      <c r="J793" s="3">
        <f>IF(E793="Cold",1,0)</f>
        <v>1</v>
      </c>
      <c r="K793" s="3">
        <f>IF(E793="Hot",1,0)</f>
        <v>0</v>
      </c>
      <c r="L793" s="3">
        <v>2218</v>
      </c>
      <c r="M793" s="3">
        <v>45</v>
      </c>
      <c r="N793" s="4">
        <v>45397</v>
      </c>
      <c r="O793" s="10">
        <v>307350.14179999998</v>
      </c>
      <c r="P793" s="1">
        <f>$C$3+F793*$C$4+H793*$C$6+J793*$C$8+K793*$C$9+L793*$C$10+M793*$C$11</f>
        <v>300933.42438276281</v>
      </c>
      <c r="Q793" s="1">
        <f>(O793-P793)/O793</f>
        <v>2.0877548257038657E-2</v>
      </c>
      <c r="R793" s="1"/>
      <c r="S793" s="1"/>
    </row>
    <row r="794" spans="1:19" x14ac:dyDescent="0.3">
      <c r="A794" s="2">
        <v>940</v>
      </c>
      <c r="B794" s="3" t="s">
        <v>26</v>
      </c>
      <c r="C794" s="3" t="s">
        <v>64</v>
      </c>
      <c r="D794" s="3" t="s">
        <v>18</v>
      </c>
      <c r="E794" s="3" t="s">
        <v>23</v>
      </c>
      <c r="F794" s="3">
        <f>IF(D794="Urban",1,0)</f>
        <v>1</v>
      </c>
      <c r="G794" s="3">
        <v>1125</v>
      </c>
      <c r="H794" s="3">
        <v>0</v>
      </c>
      <c r="I794" s="3">
        <v>69771</v>
      </c>
      <c r="J794" s="3">
        <f>IF(E794="Cold",1,0)</f>
        <v>0</v>
      </c>
      <c r="K794" s="3">
        <f>IF(E794="Hot",1,0)</f>
        <v>0</v>
      </c>
      <c r="L794" s="3">
        <v>2154</v>
      </c>
      <c r="M794" s="3">
        <v>34</v>
      </c>
      <c r="N794" s="4">
        <v>44673</v>
      </c>
      <c r="O794" s="10">
        <v>371395.12190000003</v>
      </c>
      <c r="P794" s="1">
        <f>$C$3+F794*$C$4+H794*$C$6+J794*$C$8+K794*$C$9+L794*$C$10+M794*$C$11</f>
        <v>363721.77349400823</v>
      </c>
      <c r="Q794" s="1">
        <f>(O794-P794)/O794</f>
        <v>2.0660875583761396E-2</v>
      </c>
      <c r="R794" s="1"/>
      <c r="S794" s="1"/>
    </row>
    <row r="795" spans="1:19" x14ac:dyDescent="0.3">
      <c r="A795" s="2">
        <v>215</v>
      </c>
      <c r="B795" s="3" t="s">
        <v>37</v>
      </c>
      <c r="C795" s="3" t="s">
        <v>38</v>
      </c>
      <c r="D795" s="3" t="s">
        <v>18</v>
      </c>
      <c r="E795" s="3" t="s">
        <v>15</v>
      </c>
      <c r="F795" s="3">
        <f>IF(D795="Urban",1,0)</f>
        <v>1</v>
      </c>
      <c r="G795" s="3">
        <v>24602</v>
      </c>
      <c r="H795" s="3">
        <v>0</v>
      </c>
      <c r="I795" s="3">
        <v>71501</v>
      </c>
      <c r="J795" s="3">
        <f>IF(E795="Cold",1,0)</f>
        <v>1</v>
      </c>
      <c r="K795" s="3">
        <f>IF(E795="Hot",1,0)</f>
        <v>0</v>
      </c>
      <c r="L795" s="3">
        <v>1547</v>
      </c>
      <c r="M795" s="3">
        <v>50</v>
      </c>
      <c r="N795" s="4">
        <v>45214</v>
      </c>
      <c r="O795" s="10">
        <v>344648.44130000001</v>
      </c>
      <c r="P795" s="1">
        <f>$C$3+F795*$C$4+H795*$C$6+J795*$C$8+K795*$C$9+L795*$C$10+M795*$C$11</f>
        <v>337602.01399868337</v>
      </c>
      <c r="Q795" s="1">
        <f>(O795-P795)/O795</f>
        <v>2.0445260900463669E-2</v>
      </c>
      <c r="R795" s="1"/>
      <c r="S795" s="1"/>
    </row>
    <row r="796" spans="1:19" x14ac:dyDescent="0.3">
      <c r="A796" s="2">
        <v>559</v>
      </c>
      <c r="B796" s="3" t="s">
        <v>122</v>
      </c>
      <c r="C796" s="3" t="s">
        <v>208</v>
      </c>
      <c r="D796" s="3" t="s">
        <v>18</v>
      </c>
      <c r="E796" s="3" t="s">
        <v>23</v>
      </c>
      <c r="F796" s="3">
        <f>IF(D796="Urban",1,0)</f>
        <v>1</v>
      </c>
      <c r="G796" s="3">
        <v>858</v>
      </c>
      <c r="H796" s="3">
        <v>8</v>
      </c>
      <c r="I796" s="3">
        <v>72803</v>
      </c>
      <c r="J796" s="3">
        <f>IF(E796="Cold",1,0)</f>
        <v>0</v>
      </c>
      <c r="K796" s="3">
        <f>IF(E796="Hot",1,0)</f>
        <v>0</v>
      </c>
      <c r="L796" s="3">
        <v>2378</v>
      </c>
      <c r="M796" s="3">
        <v>39</v>
      </c>
      <c r="N796" s="4">
        <v>43902</v>
      </c>
      <c r="O796" s="10">
        <v>369657.04950000002</v>
      </c>
      <c r="P796" s="1">
        <f>$C$3+F796*$C$4+H796*$C$6+J796*$C$8+K796*$C$9+L796*$C$10+M796*$C$11</f>
        <v>362132.52177595772</v>
      </c>
      <c r="Q796" s="1">
        <f>(O796-P796)/O796</f>
        <v>2.0355428725679695E-2</v>
      </c>
      <c r="R796" s="1"/>
      <c r="S796" s="1"/>
    </row>
    <row r="797" spans="1:19" x14ac:dyDescent="0.3">
      <c r="A797" s="2">
        <v>187</v>
      </c>
      <c r="B797" s="3" t="s">
        <v>29</v>
      </c>
      <c r="C797" s="3" t="s">
        <v>132</v>
      </c>
      <c r="D797" s="3" t="s">
        <v>14</v>
      </c>
      <c r="E797" s="3" t="s">
        <v>23</v>
      </c>
      <c r="F797" s="3">
        <f>IF(D797="Urban",1,0)</f>
        <v>0</v>
      </c>
      <c r="G797" s="3">
        <v>8372</v>
      </c>
      <c r="H797" s="3">
        <v>0</v>
      </c>
      <c r="I797" s="3">
        <v>94572</v>
      </c>
      <c r="J797" s="3">
        <f>IF(E797="Cold",1,0)</f>
        <v>0</v>
      </c>
      <c r="K797" s="3">
        <f>IF(E797="Hot",1,0)</f>
        <v>0</v>
      </c>
      <c r="L797" s="3">
        <v>2675</v>
      </c>
      <c r="M797" s="3">
        <v>97</v>
      </c>
      <c r="N797" s="4">
        <v>44680</v>
      </c>
      <c r="O797" s="10">
        <v>356063.95760000002</v>
      </c>
      <c r="P797" s="1">
        <f>$C$3+F797*$C$4+H797*$C$6+J797*$C$8+K797*$C$9+L797*$C$10+M797*$C$11</f>
        <v>348819.65911956102</v>
      </c>
      <c r="Q797" s="1">
        <f>(O797-P797)/O797</f>
        <v>2.0345497840523356E-2</v>
      </c>
      <c r="R797" s="1"/>
      <c r="S797" s="1"/>
    </row>
    <row r="798" spans="1:19" x14ac:dyDescent="0.3">
      <c r="A798" s="2">
        <v>311</v>
      </c>
      <c r="B798" s="3" t="s">
        <v>33</v>
      </c>
      <c r="C798" s="3" t="s">
        <v>92</v>
      </c>
      <c r="D798" s="3" t="s">
        <v>18</v>
      </c>
      <c r="E798" s="3" t="s">
        <v>21</v>
      </c>
      <c r="F798" s="3">
        <f>IF(D798="Urban",1,0)</f>
        <v>1</v>
      </c>
      <c r="G798" s="3">
        <v>738</v>
      </c>
      <c r="H798" s="3">
        <v>7</v>
      </c>
      <c r="I798" s="3">
        <v>58012</v>
      </c>
      <c r="J798" s="3">
        <f>IF(E798="Cold",1,0)</f>
        <v>0</v>
      </c>
      <c r="K798" s="3">
        <f>IF(E798="Hot",1,0)</f>
        <v>1</v>
      </c>
      <c r="L798" s="3">
        <v>2787</v>
      </c>
      <c r="M798" s="3">
        <v>77</v>
      </c>
      <c r="N798" s="4">
        <v>45340</v>
      </c>
      <c r="O798" s="10">
        <v>392204.97960000002</v>
      </c>
      <c r="P798" s="1">
        <f>$C$3+F798*$C$4+H798*$C$6+J798*$C$8+K798*$C$9+L798*$C$10+M798*$C$11</f>
        <v>384242.10575872607</v>
      </c>
      <c r="Q798" s="1">
        <f>(O798-P798)/O798</f>
        <v>2.0302837178138539E-2</v>
      </c>
      <c r="R798" s="1"/>
      <c r="S798" s="1"/>
    </row>
    <row r="799" spans="1:19" x14ac:dyDescent="0.3">
      <c r="A799" s="2">
        <v>9</v>
      </c>
      <c r="B799" s="3" t="s">
        <v>33</v>
      </c>
      <c r="C799" s="3" t="s">
        <v>34</v>
      </c>
      <c r="D799" s="3" t="s">
        <v>18</v>
      </c>
      <c r="E799" s="3" t="s">
        <v>23</v>
      </c>
      <c r="F799" s="3">
        <f>IF(D799="Urban",1,0)</f>
        <v>1</v>
      </c>
      <c r="G799" s="3">
        <v>24488</v>
      </c>
      <c r="H799" s="3">
        <v>7</v>
      </c>
      <c r="I799" s="3">
        <v>58091</v>
      </c>
      <c r="J799" s="3">
        <f>IF(E799="Cold",1,0)</f>
        <v>0</v>
      </c>
      <c r="K799" s="3">
        <f>IF(E799="Hot",1,0)</f>
        <v>0</v>
      </c>
      <c r="L799" s="3">
        <v>1863</v>
      </c>
      <c r="M799" s="3">
        <v>41</v>
      </c>
      <c r="N799" s="4">
        <v>44218</v>
      </c>
      <c r="O799" s="10">
        <v>360674.67849999998</v>
      </c>
      <c r="P799" s="1">
        <f>$C$3+F799*$C$4+H799*$C$6+J799*$C$8+K799*$C$9+L799*$C$10+M799*$C$11</f>
        <v>353421.19839393563</v>
      </c>
      <c r="Q799" s="1">
        <f>(O799-P799)/O799</f>
        <v>2.0110865936668054E-2</v>
      </c>
      <c r="R799" s="1"/>
      <c r="S799" s="1"/>
    </row>
    <row r="800" spans="1:19" x14ac:dyDescent="0.3">
      <c r="A800" s="2">
        <v>677</v>
      </c>
      <c r="B800" s="3" t="s">
        <v>29</v>
      </c>
      <c r="C800" s="3" t="s">
        <v>135</v>
      </c>
      <c r="D800" s="3" t="s">
        <v>18</v>
      </c>
      <c r="E800" s="3" t="s">
        <v>21</v>
      </c>
      <c r="F800" s="3">
        <f>IF(D800="Urban",1,0)</f>
        <v>1</v>
      </c>
      <c r="G800" s="3">
        <v>16196</v>
      </c>
      <c r="H800" s="3">
        <v>6</v>
      </c>
      <c r="I800" s="3">
        <v>71155</v>
      </c>
      <c r="J800" s="3">
        <f>IF(E800="Cold",1,0)</f>
        <v>0</v>
      </c>
      <c r="K800" s="3">
        <f>IF(E800="Hot",1,0)</f>
        <v>1</v>
      </c>
      <c r="L800" s="3">
        <v>2980</v>
      </c>
      <c r="M800" s="3">
        <v>75</v>
      </c>
      <c r="N800" s="4">
        <v>44345</v>
      </c>
      <c r="O800" s="10">
        <v>396281.55410000001</v>
      </c>
      <c r="P800" s="1">
        <f>$C$3+F800*$C$4+H800*$C$6+J800*$C$8+K800*$C$9+L800*$C$10+M800*$C$11</f>
        <v>388427.45412945258</v>
      </c>
      <c r="Q800" s="1">
        <f>(O800-P800)/O800</f>
        <v>1.981949421891455E-2</v>
      </c>
      <c r="R800" s="1"/>
      <c r="S800" s="1"/>
    </row>
    <row r="801" spans="1:19" x14ac:dyDescent="0.3">
      <c r="A801" s="2">
        <v>289</v>
      </c>
      <c r="B801" s="3" t="s">
        <v>53</v>
      </c>
      <c r="C801" s="3" t="s">
        <v>149</v>
      </c>
      <c r="D801" s="3" t="s">
        <v>18</v>
      </c>
      <c r="E801" s="3" t="s">
        <v>21</v>
      </c>
      <c r="F801" s="3">
        <f>IF(D801="Urban",1,0)</f>
        <v>1</v>
      </c>
      <c r="G801" s="3">
        <v>5174</v>
      </c>
      <c r="H801" s="3">
        <v>6</v>
      </c>
      <c r="I801" s="3">
        <v>59946</v>
      </c>
      <c r="J801" s="3">
        <f>IF(E801="Cold",1,0)</f>
        <v>0</v>
      </c>
      <c r="K801" s="3">
        <f>IF(E801="Hot",1,0)</f>
        <v>1</v>
      </c>
      <c r="L801" s="3">
        <v>1683</v>
      </c>
      <c r="M801" s="3">
        <v>70</v>
      </c>
      <c r="N801" s="4">
        <v>45502</v>
      </c>
      <c r="O801" s="10">
        <v>368253.49479999999</v>
      </c>
      <c r="P801" s="1">
        <f>$C$3+F801*$C$4+H801*$C$6+J801*$C$8+K801*$C$9+L801*$C$10+M801*$C$11</f>
        <v>361002.00922959461</v>
      </c>
      <c r="Q801" s="1">
        <f>(O801-P801)/O801</f>
        <v>1.9691559408943803E-2</v>
      </c>
      <c r="R801" s="1"/>
      <c r="S801" s="1"/>
    </row>
    <row r="802" spans="1:19" x14ac:dyDescent="0.3">
      <c r="A802" s="2">
        <v>796</v>
      </c>
      <c r="B802" s="3" t="s">
        <v>31</v>
      </c>
      <c r="C802" s="3" t="s">
        <v>165</v>
      </c>
      <c r="D802" s="3" t="s">
        <v>18</v>
      </c>
      <c r="E802" s="3" t="s">
        <v>23</v>
      </c>
      <c r="F802" s="3">
        <f>IF(D802="Urban",1,0)</f>
        <v>1</v>
      </c>
      <c r="G802" s="3">
        <v>15607</v>
      </c>
      <c r="H802" s="3">
        <v>1</v>
      </c>
      <c r="I802" s="3">
        <v>56836</v>
      </c>
      <c r="J802" s="3">
        <f>IF(E802="Cold",1,0)</f>
        <v>0</v>
      </c>
      <c r="K802" s="3">
        <f>IF(E802="Hot",1,0)</f>
        <v>0</v>
      </c>
      <c r="L802" s="3">
        <v>1853</v>
      </c>
      <c r="M802" s="3">
        <v>82</v>
      </c>
      <c r="N802" s="4">
        <v>44708</v>
      </c>
      <c r="O802" s="10">
        <v>378972.83889999997</v>
      </c>
      <c r="P802" s="1">
        <f>$C$3+F802*$C$4+H802*$C$6+J802*$C$8+K802*$C$9+L802*$C$10+M802*$C$11</f>
        <v>371559.64515569061</v>
      </c>
      <c r="Q802" s="1">
        <f>(O802-P802)/O802</f>
        <v>1.9561279815795696E-2</v>
      </c>
      <c r="R802" s="1"/>
      <c r="S802" s="1"/>
    </row>
    <row r="803" spans="1:19" x14ac:dyDescent="0.3">
      <c r="A803" s="2">
        <v>591</v>
      </c>
      <c r="B803" s="3" t="s">
        <v>35</v>
      </c>
      <c r="C803" s="3" t="s">
        <v>177</v>
      </c>
      <c r="D803" s="3" t="s">
        <v>14</v>
      </c>
      <c r="E803" s="3" t="s">
        <v>23</v>
      </c>
      <c r="F803" s="3">
        <f>IF(D803="Urban",1,0)</f>
        <v>0</v>
      </c>
      <c r="G803" s="3">
        <v>12218</v>
      </c>
      <c r="H803" s="3">
        <v>4</v>
      </c>
      <c r="I803" s="3">
        <v>83997</v>
      </c>
      <c r="J803" s="3">
        <f>IF(E803="Cold",1,0)</f>
        <v>0</v>
      </c>
      <c r="K803" s="3">
        <f>IF(E803="Hot",1,0)</f>
        <v>0</v>
      </c>
      <c r="L803" s="3">
        <v>1005</v>
      </c>
      <c r="M803" s="3">
        <v>37</v>
      </c>
      <c r="N803" s="4">
        <v>44573</v>
      </c>
      <c r="O803" s="10">
        <v>298909.61259999999</v>
      </c>
      <c r="P803" s="1">
        <f>$C$3+F803*$C$4+H803*$C$6+J803*$C$8+K803*$C$9+L803*$C$10+M803*$C$11</f>
        <v>293197.19189656829</v>
      </c>
      <c r="Q803" s="1">
        <f>(O803-P803)/O803</f>
        <v>1.9110863159412853E-2</v>
      </c>
      <c r="R803" s="1"/>
      <c r="S803" s="1"/>
    </row>
    <row r="804" spans="1:19" x14ac:dyDescent="0.3">
      <c r="A804" s="2">
        <v>29</v>
      </c>
      <c r="B804" s="3" t="s">
        <v>19</v>
      </c>
      <c r="C804" s="3" t="s">
        <v>60</v>
      </c>
      <c r="D804" s="3" t="s">
        <v>14</v>
      </c>
      <c r="E804" s="3" t="s">
        <v>21</v>
      </c>
      <c r="F804" s="3">
        <f>IF(D804="Urban",1,0)</f>
        <v>0</v>
      </c>
      <c r="G804" s="3">
        <v>14389</v>
      </c>
      <c r="H804" s="3">
        <v>4</v>
      </c>
      <c r="I804" s="3">
        <v>58940</v>
      </c>
      <c r="J804" s="3">
        <f>IF(E804="Cold",1,0)</f>
        <v>0</v>
      </c>
      <c r="K804" s="3">
        <f>IF(E804="Hot",1,0)</f>
        <v>1</v>
      </c>
      <c r="L804" s="3">
        <v>1467</v>
      </c>
      <c r="M804" s="3">
        <v>89</v>
      </c>
      <c r="N804" s="4">
        <v>44495</v>
      </c>
      <c r="O804" s="10">
        <v>325892.32439999998</v>
      </c>
      <c r="P804" s="1">
        <f>$C$3+F804*$C$4+H804*$C$6+J804*$C$8+K804*$C$9+L804*$C$10+M804*$C$11</f>
        <v>319729.62236960401</v>
      </c>
      <c r="Q804" s="1">
        <f>(O804-P804)/O804</f>
        <v>1.8910239882888057E-2</v>
      </c>
      <c r="R804" s="1"/>
      <c r="S804" s="1"/>
    </row>
    <row r="805" spans="1:19" x14ac:dyDescent="0.3">
      <c r="A805" s="2">
        <v>285</v>
      </c>
      <c r="B805" s="3" t="s">
        <v>33</v>
      </c>
      <c r="C805" s="3" t="s">
        <v>184</v>
      </c>
      <c r="D805" s="3" t="s">
        <v>18</v>
      </c>
      <c r="E805" s="3" t="s">
        <v>21</v>
      </c>
      <c r="F805" s="3">
        <f>IF(D805="Urban",1,0)</f>
        <v>1</v>
      </c>
      <c r="G805" s="3">
        <v>2425</v>
      </c>
      <c r="H805" s="3">
        <v>9</v>
      </c>
      <c r="I805" s="3">
        <v>70367</v>
      </c>
      <c r="J805" s="3">
        <f>IF(E805="Cold",1,0)</f>
        <v>0</v>
      </c>
      <c r="K805" s="3">
        <f>IF(E805="Hot",1,0)</f>
        <v>1</v>
      </c>
      <c r="L805" s="3">
        <v>2906</v>
      </c>
      <c r="M805" s="3">
        <v>32</v>
      </c>
      <c r="N805" s="4">
        <v>45137</v>
      </c>
      <c r="O805" s="10">
        <v>377869.04210000002</v>
      </c>
      <c r="P805" s="1">
        <f>$C$3+F805*$C$4+H805*$C$6+J805*$C$8+K805*$C$9+L805*$C$10+M805*$C$11</f>
        <v>370846.44800787367</v>
      </c>
      <c r="Q805" s="1">
        <f>(O805-P805)/O805</f>
        <v>1.8584729918858716E-2</v>
      </c>
      <c r="R805" s="1"/>
      <c r="S805" s="1"/>
    </row>
    <row r="806" spans="1:19" x14ac:dyDescent="0.3">
      <c r="A806" s="2">
        <v>56</v>
      </c>
      <c r="B806" s="3" t="s">
        <v>33</v>
      </c>
      <c r="C806" s="3" t="s">
        <v>80</v>
      </c>
      <c r="D806" s="3" t="s">
        <v>18</v>
      </c>
      <c r="E806" s="3" t="s">
        <v>15</v>
      </c>
      <c r="F806" s="3">
        <f>IF(D806="Urban",1,0)</f>
        <v>1</v>
      </c>
      <c r="G806" s="3">
        <v>11163</v>
      </c>
      <c r="H806" s="3">
        <v>9</v>
      </c>
      <c r="I806" s="3">
        <v>69830</v>
      </c>
      <c r="J806" s="3">
        <f>IF(E806="Cold",1,0)</f>
        <v>1</v>
      </c>
      <c r="K806" s="3">
        <f>IF(E806="Hot",1,0)</f>
        <v>0</v>
      </c>
      <c r="L806" s="3">
        <v>1422</v>
      </c>
      <c r="M806" s="3">
        <v>40</v>
      </c>
      <c r="N806" s="4">
        <v>43923</v>
      </c>
      <c r="O806" s="10">
        <v>329598.27879999997</v>
      </c>
      <c r="P806" s="1">
        <f>$C$3+F806*$C$4+H806*$C$6+J806*$C$8+K806*$C$9+L806*$C$10+M806*$C$11</f>
        <v>323474.20344668551</v>
      </c>
      <c r="Q806" s="1">
        <f>(O806-P806)/O806</f>
        <v>1.8580422736462605E-2</v>
      </c>
      <c r="R806" s="1"/>
      <c r="S806" s="1"/>
    </row>
    <row r="807" spans="1:19" x14ac:dyDescent="0.3">
      <c r="A807" s="2">
        <v>14</v>
      </c>
      <c r="B807" s="3" t="s">
        <v>40</v>
      </c>
      <c r="C807" s="3" t="s">
        <v>42</v>
      </c>
      <c r="D807" s="3" t="s">
        <v>18</v>
      </c>
      <c r="E807" s="3" t="s">
        <v>23</v>
      </c>
      <c r="F807" s="3">
        <f>IF(D807="Urban",1,0)</f>
        <v>1</v>
      </c>
      <c r="G807" s="3">
        <v>1189</v>
      </c>
      <c r="H807" s="3">
        <v>1</v>
      </c>
      <c r="I807" s="3">
        <v>78860</v>
      </c>
      <c r="J807" s="3">
        <f>IF(E807="Cold",1,0)</f>
        <v>0</v>
      </c>
      <c r="K807" s="3">
        <f>IF(E807="Hot",1,0)</f>
        <v>0</v>
      </c>
      <c r="L807" s="3">
        <v>2298</v>
      </c>
      <c r="M807" s="3">
        <v>66</v>
      </c>
      <c r="N807" s="4">
        <v>44963</v>
      </c>
      <c r="O807" s="10">
        <v>382455.79550000001</v>
      </c>
      <c r="P807" s="1">
        <f>$C$3+F807*$C$4+H807*$C$6+J807*$C$8+K807*$C$9+L807*$C$10+M807*$C$11</f>
        <v>375508.85218583042</v>
      </c>
      <c r="Q807" s="1">
        <f>(O807-P807)/O807</f>
        <v>1.816404247473246E-2</v>
      </c>
      <c r="R807" s="1"/>
      <c r="S807" s="1"/>
    </row>
    <row r="808" spans="1:19" x14ac:dyDescent="0.3">
      <c r="A808" s="2">
        <v>786</v>
      </c>
      <c r="B808" s="3" t="s">
        <v>108</v>
      </c>
      <c r="C808" s="3" t="s">
        <v>117</v>
      </c>
      <c r="D808" s="3" t="s">
        <v>14</v>
      </c>
      <c r="E808" s="3" t="s">
        <v>21</v>
      </c>
      <c r="F808" s="3">
        <f>IF(D808="Urban",1,0)</f>
        <v>0</v>
      </c>
      <c r="G808" s="3">
        <v>3029</v>
      </c>
      <c r="H808" s="3">
        <v>3</v>
      </c>
      <c r="I808" s="3">
        <v>78212</v>
      </c>
      <c r="J808" s="3">
        <f>IF(E808="Cold",1,0)</f>
        <v>0</v>
      </c>
      <c r="K808" s="3">
        <f>IF(E808="Hot",1,0)</f>
        <v>1</v>
      </c>
      <c r="L808" s="3">
        <v>2536</v>
      </c>
      <c r="M808" s="3">
        <v>71</v>
      </c>
      <c r="N808" s="4">
        <v>44524</v>
      </c>
      <c r="O808" s="10">
        <v>342625.05050000001</v>
      </c>
      <c r="P808" s="1">
        <f>$C$3+F808*$C$4+H808*$C$6+J808*$C$8+K808*$C$9+L808*$C$10+M808*$C$11</f>
        <v>336465.66661493969</v>
      </c>
      <c r="Q808" s="1">
        <f>(O808-P808)/O808</f>
        <v>1.7977038970360751E-2</v>
      </c>
      <c r="R808" s="1"/>
      <c r="S808" s="1"/>
    </row>
    <row r="809" spans="1:19" x14ac:dyDescent="0.3">
      <c r="A809" s="2">
        <v>803</v>
      </c>
      <c r="B809" s="3" t="s">
        <v>19</v>
      </c>
      <c r="C809" s="3" t="s">
        <v>216</v>
      </c>
      <c r="D809" s="3" t="s">
        <v>14</v>
      </c>
      <c r="E809" s="3" t="s">
        <v>23</v>
      </c>
      <c r="F809" s="3">
        <f>IF(D809="Urban",1,0)</f>
        <v>0</v>
      </c>
      <c r="G809" s="3">
        <v>3523</v>
      </c>
      <c r="H809" s="3">
        <v>7</v>
      </c>
      <c r="I809" s="3">
        <v>85391</v>
      </c>
      <c r="J809" s="3">
        <f>IF(E809="Cold",1,0)</f>
        <v>0</v>
      </c>
      <c r="K809" s="3">
        <f>IF(E809="Hot",1,0)</f>
        <v>0</v>
      </c>
      <c r="L809" s="3">
        <v>1180</v>
      </c>
      <c r="M809" s="3">
        <v>84</v>
      </c>
      <c r="N809" s="4">
        <v>44623</v>
      </c>
      <c r="O809" s="10">
        <v>313922.26750000002</v>
      </c>
      <c r="P809" s="1">
        <f>$C$3+F809*$C$4+H809*$C$6+J809*$C$8+K809*$C$9+L809*$C$10+M809*$C$11</f>
        <v>308326.19434201915</v>
      </c>
      <c r="Q809" s="1">
        <f>(O809-P809)/O809</f>
        <v>1.782630204141496E-2</v>
      </c>
      <c r="R809" s="1"/>
      <c r="S809" s="1"/>
    </row>
    <row r="810" spans="1:19" x14ac:dyDescent="0.3">
      <c r="A810" s="2">
        <v>514</v>
      </c>
      <c r="B810" s="3" t="s">
        <v>122</v>
      </c>
      <c r="C810" s="3" t="s">
        <v>208</v>
      </c>
      <c r="D810" s="3" t="s">
        <v>14</v>
      </c>
      <c r="E810" s="3" t="s">
        <v>15</v>
      </c>
      <c r="F810" s="3">
        <f>IF(D810="Urban",1,0)</f>
        <v>0</v>
      </c>
      <c r="G810" s="3">
        <v>1210</v>
      </c>
      <c r="H810" s="3">
        <v>8</v>
      </c>
      <c r="I810" s="3">
        <v>52337</v>
      </c>
      <c r="J810" s="3">
        <f>IF(E810="Cold",1,0)</f>
        <v>1</v>
      </c>
      <c r="K810" s="3">
        <f>IF(E810="Hot",1,0)</f>
        <v>0</v>
      </c>
      <c r="L810" s="3">
        <v>1627</v>
      </c>
      <c r="M810" s="3">
        <v>34</v>
      </c>
      <c r="N810" s="4">
        <v>44528</v>
      </c>
      <c r="O810" s="10">
        <v>287039.56069999997</v>
      </c>
      <c r="P810" s="1">
        <f>$C$3+F810*$C$4+H810*$C$6+J810*$C$8+K810*$C$9+L810*$C$10+M810*$C$11</f>
        <v>281947.88645139534</v>
      </c>
      <c r="Q810" s="1">
        <f>(O810-P810)/O810</f>
        <v>1.7738580132256411E-2</v>
      </c>
      <c r="R810" s="1"/>
      <c r="S810" s="1"/>
    </row>
    <row r="811" spans="1:19" x14ac:dyDescent="0.3">
      <c r="A811" s="2">
        <v>322</v>
      </c>
      <c r="B811" s="3" t="s">
        <v>29</v>
      </c>
      <c r="C811" s="3" t="s">
        <v>107</v>
      </c>
      <c r="D811" s="3" t="s">
        <v>14</v>
      </c>
      <c r="E811" s="3" t="s">
        <v>15</v>
      </c>
      <c r="F811" s="3">
        <f>IF(D811="Urban",1,0)</f>
        <v>0</v>
      </c>
      <c r="G811" s="3">
        <v>13118</v>
      </c>
      <c r="H811" s="3">
        <v>5</v>
      </c>
      <c r="I811" s="3">
        <v>86802</v>
      </c>
      <c r="J811" s="3">
        <f>IF(E811="Cold",1,0)</f>
        <v>1</v>
      </c>
      <c r="K811" s="3">
        <f>IF(E811="Hot",1,0)</f>
        <v>0</v>
      </c>
      <c r="L811" s="3">
        <v>1150</v>
      </c>
      <c r="M811" s="3">
        <v>57</v>
      </c>
      <c r="N811" s="4">
        <v>44869</v>
      </c>
      <c r="O811" s="10">
        <v>287433.24300000002</v>
      </c>
      <c r="P811" s="1">
        <f>$C$3+F811*$C$4+H811*$C$6+J811*$C$8+K811*$C$9+L811*$C$10+M811*$C$11</f>
        <v>282367.95699164987</v>
      </c>
      <c r="Q811" s="1">
        <f>(O811-P811)/O811</f>
        <v>1.7622478024750057E-2</v>
      </c>
      <c r="R811" s="1"/>
      <c r="S811" s="1"/>
    </row>
    <row r="812" spans="1:19" x14ac:dyDescent="0.3">
      <c r="A812" s="2">
        <v>349</v>
      </c>
      <c r="B812" s="3" t="s">
        <v>26</v>
      </c>
      <c r="C812" s="3" t="s">
        <v>93</v>
      </c>
      <c r="D812" s="3" t="s">
        <v>18</v>
      </c>
      <c r="E812" s="3" t="s">
        <v>23</v>
      </c>
      <c r="F812" s="3">
        <f>IF(D812="Urban",1,0)</f>
        <v>1</v>
      </c>
      <c r="G812" s="3">
        <v>27193</v>
      </c>
      <c r="H812" s="3">
        <v>4</v>
      </c>
      <c r="I812" s="3">
        <v>78031</v>
      </c>
      <c r="J812" s="3">
        <f>IF(E812="Cold",1,0)</f>
        <v>0</v>
      </c>
      <c r="K812" s="3">
        <f>IF(E812="Hot",1,0)</f>
        <v>0</v>
      </c>
      <c r="L812" s="3">
        <v>1801</v>
      </c>
      <c r="M812" s="3">
        <v>21</v>
      </c>
      <c r="N812" s="4">
        <v>44872</v>
      </c>
      <c r="O812" s="10">
        <v>355066.08789999998</v>
      </c>
      <c r="P812" s="1">
        <f>$C$3+F812*$C$4+H812*$C$6+J812*$C$8+K812*$C$9+L812*$C$10+M812*$C$11</f>
        <v>348869.5535597612</v>
      </c>
      <c r="Q812" s="1">
        <f>(O812-P812)/O812</f>
        <v>1.7451777433568814E-2</v>
      </c>
      <c r="R812" s="1"/>
      <c r="S812" s="1"/>
    </row>
    <row r="813" spans="1:19" x14ac:dyDescent="0.3">
      <c r="A813" s="2">
        <v>987</v>
      </c>
      <c r="B813" s="3" t="s">
        <v>57</v>
      </c>
      <c r="C813" s="3" t="s">
        <v>78</v>
      </c>
      <c r="D813" s="3" t="s">
        <v>14</v>
      </c>
      <c r="E813" s="3" t="s">
        <v>23</v>
      </c>
      <c r="F813" s="3">
        <f>IF(D813="Urban",1,0)</f>
        <v>0</v>
      </c>
      <c r="G813" s="3">
        <v>4944</v>
      </c>
      <c r="H813" s="3">
        <v>6</v>
      </c>
      <c r="I813" s="3">
        <v>86468</v>
      </c>
      <c r="J813" s="3">
        <f>IF(E813="Cold",1,0)</f>
        <v>0</v>
      </c>
      <c r="K813" s="3">
        <f>IF(E813="Hot",1,0)</f>
        <v>0</v>
      </c>
      <c r="L813" s="3">
        <v>2807</v>
      </c>
      <c r="M813" s="3">
        <v>37</v>
      </c>
      <c r="N813" s="4">
        <v>44506</v>
      </c>
      <c r="O813" s="10">
        <v>333058.62589999998</v>
      </c>
      <c r="P813" s="1">
        <f>$C$3+F813*$C$4+H813*$C$6+J813*$C$8+K813*$C$9+L813*$C$10+M813*$C$11</f>
        <v>327259.60191903455</v>
      </c>
      <c r="Q813" s="1">
        <f>(O813-P813)/O813</f>
        <v>1.7411421083285718E-2</v>
      </c>
      <c r="R813" s="1"/>
      <c r="S813" s="1"/>
    </row>
    <row r="814" spans="1:19" x14ac:dyDescent="0.3">
      <c r="A814" s="2">
        <v>358</v>
      </c>
      <c r="B814" s="3" t="s">
        <v>19</v>
      </c>
      <c r="C814" s="3" t="s">
        <v>60</v>
      </c>
      <c r="D814" s="3" t="s">
        <v>18</v>
      </c>
      <c r="E814" s="3" t="s">
        <v>15</v>
      </c>
      <c r="F814" s="3">
        <f>IF(D814="Urban",1,0)</f>
        <v>1</v>
      </c>
      <c r="G814" s="3">
        <v>3629</v>
      </c>
      <c r="H814" s="3">
        <v>1</v>
      </c>
      <c r="I814" s="3">
        <v>82908</v>
      </c>
      <c r="J814" s="3">
        <f>IF(E814="Cold",1,0)</f>
        <v>1</v>
      </c>
      <c r="K814" s="3">
        <f>IF(E814="Hot",1,0)</f>
        <v>0</v>
      </c>
      <c r="L814" s="3">
        <v>2593</v>
      </c>
      <c r="M814" s="3">
        <v>71</v>
      </c>
      <c r="N814" s="4">
        <v>44343</v>
      </c>
      <c r="O814" s="10">
        <v>370280.76909999998</v>
      </c>
      <c r="P814" s="1">
        <f>$C$3+F814*$C$4+H814*$C$6+J814*$C$8+K814*$C$9+L814*$C$10+M814*$C$11</f>
        <v>363999.82204659557</v>
      </c>
      <c r="Q814" s="1">
        <f>(O814-P814)/O814</f>
        <v>1.6962660709252612E-2</v>
      </c>
      <c r="R814" s="1"/>
      <c r="S814" s="1"/>
    </row>
    <row r="815" spans="1:19" x14ac:dyDescent="0.3">
      <c r="A815" s="2">
        <v>488</v>
      </c>
      <c r="B815" s="3" t="s">
        <v>28</v>
      </c>
      <c r="C815" s="3" t="s">
        <v>112</v>
      </c>
      <c r="D815" s="3" t="s">
        <v>14</v>
      </c>
      <c r="E815" s="3" t="s">
        <v>21</v>
      </c>
      <c r="F815" s="3">
        <f>IF(D815="Urban",1,0)</f>
        <v>0</v>
      </c>
      <c r="G815" s="3">
        <v>10131</v>
      </c>
      <c r="H815" s="3">
        <v>1</v>
      </c>
      <c r="I815" s="3">
        <v>53508</v>
      </c>
      <c r="J815" s="3">
        <f>IF(E815="Cold",1,0)</f>
        <v>0</v>
      </c>
      <c r="K815" s="3">
        <f>IF(E815="Hot",1,0)</f>
        <v>1</v>
      </c>
      <c r="L815" s="3">
        <v>2761</v>
      </c>
      <c r="M815" s="3">
        <v>44</v>
      </c>
      <c r="N815" s="4">
        <v>45007</v>
      </c>
      <c r="O815" s="10">
        <v>340263.62270000001</v>
      </c>
      <c r="P815" s="1">
        <f>$C$3+F815*$C$4+H815*$C$6+J815*$C$8+K815*$C$9+L815*$C$10+M815*$C$11</f>
        <v>334533.98744329525</v>
      </c>
      <c r="Q815" s="1">
        <f>(O815-P815)/O815</f>
        <v>1.6838812245752174E-2</v>
      </c>
      <c r="R815" s="1"/>
      <c r="S815" s="1"/>
    </row>
    <row r="816" spans="1:19" x14ac:dyDescent="0.3">
      <c r="A816" s="2">
        <v>830</v>
      </c>
      <c r="B816" s="3" t="s">
        <v>12</v>
      </c>
      <c r="C816" s="3" t="s">
        <v>47</v>
      </c>
      <c r="D816" s="3" t="s">
        <v>18</v>
      </c>
      <c r="E816" s="3" t="s">
        <v>23</v>
      </c>
      <c r="F816" s="3">
        <f>IF(D816="Urban",1,0)</f>
        <v>1</v>
      </c>
      <c r="G816" s="3">
        <v>5332</v>
      </c>
      <c r="H816" s="3">
        <v>2</v>
      </c>
      <c r="I816" s="3">
        <v>89586</v>
      </c>
      <c r="J816" s="3">
        <f>IF(E816="Cold",1,0)</f>
        <v>0</v>
      </c>
      <c r="K816" s="3">
        <f>IF(E816="Hot",1,0)</f>
        <v>0</v>
      </c>
      <c r="L816" s="3">
        <v>2894</v>
      </c>
      <c r="M816" s="3">
        <v>27</v>
      </c>
      <c r="N816" s="4">
        <v>44207</v>
      </c>
      <c r="O816" s="10">
        <v>380794.53450000001</v>
      </c>
      <c r="P816" s="1">
        <f>$C$3+F816*$C$4+H816*$C$6+J816*$C$8+K816*$C$9+L816*$C$10+M816*$C$11</f>
        <v>374432.18546168727</v>
      </c>
      <c r="Q816" s="1">
        <f>(O816-P816)/O816</f>
        <v>1.6708089171150475E-2</v>
      </c>
      <c r="R816" s="1"/>
      <c r="S816" s="1"/>
    </row>
    <row r="817" spans="1:19" x14ac:dyDescent="0.3">
      <c r="A817" s="2">
        <v>570</v>
      </c>
      <c r="B817" s="3" t="s">
        <v>16</v>
      </c>
      <c r="C817" s="3" t="s">
        <v>87</v>
      </c>
      <c r="D817" s="3" t="s">
        <v>18</v>
      </c>
      <c r="E817" s="3" t="s">
        <v>23</v>
      </c>
      <c r="F817" s="3">
        <f>IF(D817="Urban",1,0)</f>
        <v>1</v>
      </c>
      <c r="G817" s="3">
        <v>4797</v>
      </c>
      <c r="H817" s="3">
        <v>0</v>
      </c>
      <c r="I817" s="3">
        <v>52257</v>
      </c>
      <c r="J817" s="3">
        <f>IF(E817="Cold",1,0)</f>
        <v>0</v>
      </c>
      <c r="K817" s="3">
        <f>IF(E817="Hot",1,0)</f>
        <v>0</v>
      </c>
      <c r="L817" s="3">
        <v>2512</v>
      </c>
      <c r="M817" s="3">
        <v>35</v>
      </c>
      <c r="N817" s="4">
        <v>44115</v>
      </c>
      <c r="O817" s="10">
        <v>377262.38329999999</v>
      </c>
      <c r="P817" s="1">
        <f>$C$3+F817*$C$4+H817*$C$6+J817*$C$8+K817*$C$9+L817*$C$10+M817*$C$11</f>
        <v>371174.62767134566</v>
      </c>
      <c r="Q817" s="1">
        <f>(O817-P817)/O817</f>
        <v>1.6136662169716844E-2</v>
      </c>
      <c r="R817" s="1"/>
      <c r="S817" s="1"/>
    </row>
    <row r="818" spans="1:19" x14ac:dyDescent="0.3">
      <c r="A818" s="2">
        <v>300</v>
      </c>
      <c r="B818" s="3" t="s">
        <v>31</v>
      </c>
      <c r="C818" s="3" t="s">
        <v>63</v>
      </c>
      <c r="D818" s="3" t="s">
        <v>14</v>
      </c>
      <c r="E818" s="3" t="s">
        <v>15</v>
      </c>
      <c r="F818" s="3">
        <f>IF(D818="Urban",1,0)</f>
        <v>0</v>
      </c>
      <c r="G818" s="3">
        <v>6324</v>
      </c>
      <c r="H818" s="3">
        <v>1</v>
      </c>
      <c r="I818" s="3">
        <v>59741</v>
      </c>
      <c r="J818" s="3">
        <f>IF(E818="Cold",1,0)</f>
        <v>1</v>
      </c>
      <c r="K818" s="3">
        <f>IF(E818="Hot",1,0)</f>
        <v>0</v>
      </c>
      <c r="L818" s="3">
        <v>2415</v>
      </c>
      <c r="M818" s="3">
        <v>64</v>
      </c>
      <c r="N818" s="4">
        <v>44154</v>
      </c>
      <c r="O818" s="10">
        <v>318639.60830000002</v>
      </c>
      <c r="P818" s="1">
        <f>$C$3+F818*$C$4+H818*$C$6+J818*$C$8+K818*$C$9+L818*$C$10+M818*$C$11</f>
        <v>313571.62695253629</v>
      </c>
      <c r="Q818" s="1">
        <f>(O818-P818)/O818</f>
        <v>1.5905057674726414E-2</v>
      </c>
      <c r="R818" s="1"/>
      <c r="S818" s="1"/>
    </row>
    <row r="819" spans="1:19" x14ac:dyDescent="0.3">
      <c r="A819" s="2">
        <v>484</v>
      </c>
      <c r="B819" s="3" t="s">
        <v>35</v>
      </c>
      <c r="C819" s="3" t="s">
        <v>119</v>
      </c>
      <c r="D819" s="3" t="s">
        <v>18</v>
      </c>
      <c r="E819" s="3" t="s">
        <v>23</v>
      </c>
      <c r="F819" s="3">
        <f>IF(D819="Urban",1,0)</f>
        <v>1</v>
      </c>
      <c r="G819" s="3">
        <v>16616</v>
      </c>
      <c r="H819" s="3">
        <v>8</v>
      </c>
      <c r="I819" s="3">
        <v>79350</v>
      </c>
      <c r="J819" s="3">
        <f>IF(E819="Cold",1,0)</f>
        <v>0</v>
      </c>
      <c r="K819" s="3">
        <f>IF(E819="Hot",1,0)</f>
        <v>0</v>
      </c>
      <c r="L819" s="3">
        <v>1915</v>
      </c>
      <c r="M819" s="3">
        <v>22</v>
      </c>
      <c r="N819" s="4">
        <v>45156</v>
      </c>
      <c r="O819" s="10">
        <v>353236.72779999999</v>
      </c>
      <c r="P819" s="1">
        <f>$C$3+F819*$C$4+H819*$C$6+J819*$C$8+K819*$C$9+L819*$C$10+M819*$C$11</f>
        <v>347652.49675298721</v>
      </c>
      <c r="Q819" s="1">
        <f>(O819-P819)/O819</f>
        <v>1.5808749791653982E-2</v>
      </c>
      <c r="R819" s="1"/>
      <c r="S819" s="1"/>
    </row>
    <row r="820" spans="1:19" x14ac:dyDescent="0.3">
      <c r="A820" s="2">
        <v>695</v>
      </c>
      <c r="B820" s="3" t="s">
        <v>37</v>
      </c>
      <c r="C820" s="3" t="s">
        <v>166</v>
      </c>
      <c r="D820" s="3" t="s">
        <v>18</v>
      </c>
      <c r="E820" s="3" t="s">
        <v>21</v>
      </c>
      <c r="F820" s="3">
        <f>IF(D820="Urban",1,0)</f>
        <v>1</v>
      </c>
      <c r="G820" s="3">
        <v>15871</v>
      </c>
      <c r="H820" s="3">
        <v>8</v>
      </c>
      <c r="I820" s="3">
        <v>93121</v>
      </c>
      <c r="J820" s="3">
        <f>IF(E820="Cold",1,0)</f>
        <v>0</v>
      </c>
      <c r="K820" s="3">
        <f>IF(E820="Hot",1,0)</f>
        <v>1</v>
      </c>
      <c r="L820" s="3">
        <v>2129</v>
      </c>
      <c r="M820" s="3">
        <v>53</v>
      </c>
      <c r="N820" s="4">
        <v>43930</v>
      </c>
      <c r="O820" s="10">
        <v>368447.58929999999</v>
      </c>
      <c r="P820" s="1">
        <f>$C$3+F820*$C$4+H820*$C$6+J820*$C$8+K820*$C$9+L820*$C$10+M820*$C$11</f>
        <v>362762.7479689719</v>
      </c>
      <c r="Q820" s="1">
        <f>(O820-P820)/O820</f>
        <v>1.542917227882671E-2</v>
      </c>
      <c r="R820" s="1"/>
      <c r="S820" s="1"/>
    </row>
    <row r="821" spans="1:19" x14ac:dyDescent="0.3">
      <c r="A821" s="2">
        <v>618</v>
      </c>
      <c r="B821" s="3" t="s">
        <v>33</v>
      </c>
      <c r="C821" s="3" t="s">
        <v>184</v>
      </c>
      <c r="D821" s="3" t="s">
        <v>18</v>
      </c>
      <c r="E821" s="3" t="s">
        <v>23</v>
      </c>
      <c r="F821" s="3">
        <f>IF(D821="Urban",1,0)</f>
        <v>1</v>
      </c>
      <c r="G821" s="3">
        <v>6176</v>
      </c>
      <c r="H821" s="3">
        <v>1</v>
      </c>
      <c r="I821" s="3">
        <v>91582</v>
      </c>
      <c r="J821" s="3">
        <f>IF(E821="Cold",1,0)</f>
        <v>0</v>
      </c>
      <c r="K821" s="3">
        <f>IF(E821="Hot",1,0)</f>
        <v>0</v>
      </c>
      <c r="L821" s="3">
        <v>2699</v>
      </c>
      <c r="M821" s="3">
        <v>48</v>
      </c>
      <c r="N821" s="4">
        <v>43902</v>
      </c>
      <c r="O821" s="10">
        <v>383839.63030000002</v>
      </c>
      <c r="P821" s="1">
        <f>$C$3+F821*$C$4+H821*$C$6+J821*$C$8+K821*$C$9+L821*$C$10+M821*$C$11</f>
        <v>377963.48892042157</v>
      </c>
      <c r="Q821" s="1">
        <f>(O821-P821)/O821</f>
        <v>1.5308844933457738E-2</v>
      </c>
      <c r="R821" s="1"/>
      <c r="S821" s="1"/>
    </row>
    <row r="822" spans="1:19" x14ac:dyDescent="0.3">
      <c r="A822" s="2">
        <v>297</v>
      </c>
      <c r="B822" s="3" t="s">
        <v>31</v>
      </c>
      <c r="C822" s="3" t="s">
        <v>185</v>
      </c>
      <c r="D822" s="3" t="s">
        <v>14</v>
      </c>
      <c r="E822" s="3" t="s">
        <v>15</v>
      </c>
      <c r="F822" s="3">
        <f>IF(D822="Urban",1,0)</f>
        <v>0</v>
      </c>
      <c r="G822" s="3">
        <v>20238</v>
      </c>
      <c r="H822" s="3">
        <v>9</v>
      </c>
      <c r="I822" s="3">
        <v>68595</v>
      </c>
      <c r="J822" s="3">
        <f>IF(E822="Cold",1,0)</f>
        <v>1</v>
      </c>
      <c r="K822" s="3">
        <f>IF(E822="Hot",1,0)</f>
        <v>0</v>
      </c>
      <c r="L822" s="3">
        <v>1626</v>
      </c>
      <c r="M822" s="3">
        <v>88</v>
      </c>
      <c r="N822" s="4">
        <v>45454</v>
      </c>
      <c r="O822" s="10">
        <v>302229.31949999998</v>
      </c>
      <c r="P822" s="1">
        <f>$C$3+F822*$C$4+H822*$C$6+J822*$C$8+K822*$C$9+L822*$C$10+M822*$C$11</f>
        <v>297622.25351450522</v>
      </c>
      <c r="Q822" s="1">
        <f>(O822-P822)/O822</f>
        <v>1.5243610358904173E-2</v>
      </c>
      <c r="R822" s="1"/>
      <c r="S822" s="1"/>
    </row>
    <row r="823" spans="1:19" x14ac:dyDescent="0.3">
      <c r="A823" s="2">
        <v>106</v>
      </c>
      <c r="B823" s="3" t="s">
        <v>37</v>
      </c>
      <c r="C823" s="3" t="s">
        <v>114</v>
      </c>
      <c r="D823" s="3" t="s">
        <v>18</v>
      </c>
      <c r="E823" s="3" t="s">
        <v>21</v>
      </c>
      <c r="F823" s="3">
        <f>IF(D823="Urban",1,0)</f>
        <v>1</v>
      </c>
      <c r="G823" s="3">
        <v>638</v>
      </c>
      <c r="H823" s="3">
        <v>3</v>
      </c>
      <c r="I823" s="3">
        <v>52434</v>
      </c>
      <c r="J823" s="3">
        <f>IF(E823="Cold",1,0)</f>
        <v>0</v>
      </c>
      <c r="K823" s="3">
        <f>IF(E823="Hot",1,0)</f>
        <v>1</v>
      </c>
      <c r="L823" s="3">
        <v>2611</v>
      </c>
      <c r="M823" s="3">
        <v>44</v>
      </c>
      <c r="N823" s="4">
        <v>44718</v>
      </c>
      <c r="O823" s="10">
        <v>380127.4118</v>
      </c>
      <c r="P823" s="1">
        <f>$C$3+F823*$C$4+H823*$C$6+J823*$C$8+K823*$C$9+L823*$C$10+M823*$C$11</f>
        <v>374358.46437535092</v>
      </c>
      <c r="Q823" s="1">
        <f>(O823-P823)/O823</f>
        <v>1.5176352048203135E-2</v>
      </c>
      <c r="R823" s="1"/>
      <c r="S823" s="1"/>
    </row>
    <row r="824" spans="1:19" x14ac:dyDescent="0.3">
      <c r="A824" s="2">
        <v>582</v>
      </c>
      <c r="B824" s="3" t="s">
        <v>53</v>
      </c>
      <c r="C824" s="3" t="s">
        <v>157</v>
      </c>
      <c r="D824" s="3" t="s">
        <v>14</v>
      </c>
      <c r="E824" s="3" t="s">
        <v>15</v>
      </c>
      <c r="F824" s="3">
        <f>IF(D824="Urban",1,0)</f>
        <v>0</v>
      </c>
      <c r="G824" s="3">
        <v>6815</v>
      </c>
      <c r="H824" s="3">
        <v>1</v>
      </c>
      <c r="I824" s="3">
        <v>80350</v>
      </c>
      <c r="J824" s="3">
        <f>IF(E824="Cold",1,0)</f>
        <v>1</v>
      </c>
      <c r="K824" s="3">
        <f>IF(E824="Hot",1,0)</f>
        <v>0</v>
      </c>
      <c r="L824" s="3">
        <v>1664</v>
      </c>
      <c r="M824" s="3">
        <v>43</v>
      </c>
      <c r="N824" s="4">
        <v>43860</v>
      </c>
      <c r="O824" s="10">
        <v>296554.2672</v>
      </c>
      <c r="P824" s="1">
        <f>$C$3+F824*$C$4+H824*$C$6+J824*$C$8+K824*$C$9+L824*$C$10+M824*$C$11</f>
        <v>292111.05120182381</v>
      </c>
      <c r="Q824" s="1">
        <f>(O824-P824)/O824</f>
        <v>1.4982809184059498E-2</v>
      </c>
      <c r="R824" s="1"/>
      <c r="S824" s="1"/>
    </row>
    <row r="825" spans="1:19" x14ac:dyDescent="0.3">
      <c r="A825" s="2">
        <v>362</v>
      </c>
      <c r="B825" s="3" t="s">
        <v>16</v>
      </c>
      <c r="C825" s="3" t="s">
        <v>84</v>
      </c>
      <c r="D825" s="3" t="s">
        <v>18</v>
      </c>
      <c r="E825" s="3" t="s">
        <v>21</v>
      </c>
      <c r="F825" s="3">
        <f>IF(D825="Urban",1,0)</f>
        <v>1</v>
      </c>
      <c r="G825" s="3">
        <v>17596</v>
      </c>
      <c r="H825" s="3">
        <v>4</v>
      </c>
      <c r="I825" s="3">
        <v>76704</v>
      </c>
      <c r="J825" s="3">
        <f>IF(E825="Cold",1,0)</f>
        <v>0</v>
      </c>
      <c r="K825" s="3">
        <f>IF(E825="Hot",1,0)</f>
        <v>1</v>
      </c>
      <c r="L825" s="3">
        <v>1681</v>
      </c>
      <c r="M825" s="3">
        <v>69</v>
      </c>
      <c r="N825" s="4">
        <v>44553</v>
      </c>
      <c r="O825" s="10">
        <v>368047.35440000001</v>
      </c>
      <c r="P825" s="1">
        <f>$C$3+F825*$C$4+H825*$C$6+J825*$C$8+K825*$C$9+L825*$C$10+M825*$C$11</f>
        <v>362554.06040418724</v>
      </c>
      <c r="Q825" s="1">
        <f>(O825-P825)/O825</f>
        <v>1.4925508715496878E-2</v>
      </c>
      <c r="R825" s="1"/>
      <c r="S825" s="1"/>
    </row>
    <row r="826" spans="1:19" x14ac:dyDescent="0.3">
      <c r="A826" s="2">
        <v>814</v>
      </c>
      <c r="B826" s="3" t="s">
        <v>29</v>
      </c>
      <c r="C826" s="3" t="s">
        <v>110</v>
      </c>
      <c r="D826" s="3" t="s">
        <v>14</v>
      </c>
      <c r="E826" s="3" t="s">
        <v>15</v>
      </c>
      <c r="F826" s="3">
        <f>IF(D826="Urban",1,0)</f>
        <v>0</v>
      </c>
      <c r="G826" s="3">
        <v>22414</v>
      </c>
      <c r="H826" s="3">
        <v>7</v>
      </c>
      <c r="I826" s="3">
        <v>64470</v>
      </c>
      <c r="J826" s="3">
        <f>IF(E826="Cold",1,0)</f>
        <v>1</v>
      </c>
      <c r="K826" s="3">
        <f>IF(E826="Hot",1,0)</f>
        <v>0</v>
      </c>
      <c r="L826" s="3">
        <v>2249</v>
      </c>
      <c r="M826" s="3">
        <v>99</v>
      </c>
      <c r="N826" s="4">
        <v>44347</v>
      </c>
      <c r="O826" s="10">
        <v>320117.73</v>
      </c>
      <c r="P826" s="1">
        <f>$C$3+F826*$C$4+H826*$C$6+J826*$C$8+K826*$C$9+L826*$C$10+M826*$C$11</f>
        <v>315346.22175903345</v>
      </c>
      <c r="Q826" s="1">
        <f>(O826-P826)/O826</f>
        <v>1.4905479433977412E-2</v>
      </c>
      <c r="R826" s="1"/>
      <c r="S826" s="1"/>
    </row>
    <row r="827" spans="1:19" x14ac:dyDescent="0.3">
      <c r="A827" s="2">
        <v>572</v>
      </c>
      <c r="B827" s="3" t="s">
        <v>33</v>
      </c>
      <c r="C827" s="3" t="s">
        <v>88</v>
      </c>
      <c r="D827" s="3" t="s">
        <v>14</v>
      </c>
      <c r="E827" s="3" t="s">
        <v>15</v>
      </c>
      <c r="F827" s="3">
        <f>IF(D827="Urban",1,0)</f>
        <v>0</v>
      </c>
      <c r="G827" s="3">
        <v>8761</v>
      </c>
      <c r="H827" s="3">
        <v>0</v>
      </c>
      <c r="I827" s="3">
        <v>77075</v>
      </c>
      <c r="J827" s="3">
        <f>IF(E827="Cold",1,0)</f>
        <v>1</v>
      </c>
      <c r="K827" s="3">
        <f>IF(E827="Hot",1,0)</f>
        <v>0</v>
      </c>
      <c r="L827" s="3">
        <v>2764</v>
      </c>
      <c r="M827" s="3">
        <v>53</v>
      </c>
      <c r="N827" s="4">
        <v>44812</v>
      </c>
      <c r="O827" s="10">
        <v>322905.32809999998</v>
      </c>
      <c r="P827" s="1">
        <f>$C$3+F827*$C$4+H827*$C$6+J827*$C$8+K827*$C$9+L827*$C$10+M827*$C$11</f>
        <v>318096.20493515494</v>
      </c>
      <c r="Q827" s="1">
        <f>(O827-P827)/O827</f>
        <v>1.4893291458342612E-2</v>
      </c>
      <c r="R827" s="1"/>
      <c r="S827" s="1"/>
    </row>
    <row r="828" spans="1:19" x14ac:dyDescent="0.3">
      <c r="A828" s="2">
        <v>239</v>
      </c>
      <c r="B828" s="3" t="s">
        <v>26</v>
      </c>
      <c r="C828" s="3" t="s">
        <v>93</v>
      </c>
      <c r="D828" s="3" t="s">
        <v>18</v>
      </c>
      <c r="E828" s="3" t="s">
        <v>15</v>
      </c>
      <c r="F828" s="3">
        <f>IF(D828="Urban",1,0)</f>
        <v>1</v>
      </c>
      <c r="G828" s="3">
        <v>13701</v>
      </c>
      <c r="H828" s="3">
        <v>6</v>
      </c>
      <c r="I828" s="3">
        <v>66647</v>
      </c>
      <c r="J828" s="3">
        <f>IF(E828="Cold",1,0)</f>
        <v>1</v>
      </c>
      <c r="K828" s="3">
        <f>IF(E828="Hot",1,0)</f>
        <v>0</v>
      </c>
      <c r="L828" s="3">
        <v>2639</v>
      </c>
      <c r="M828" s="3">
        <v>90</v>
      </c>
      <c r="N828" s="4">
        <v>45005</v>
      </c>
      <c r="O828" s="10">
        <v>371424.40090000001</v>
      </c>
      <c r="P828" s="1">
        <f>$C$3+F828*$C$4+H828*$C$6+J828*$C$8+K828*$C$9+L828*$C$10+M828*$C$11</f>
        <v>366023.72872839269</v>
      </c>
      <c r="Q828" s="1">
        <f>(O828-P828)/O828</f>
        <v>1.4540434496282235E-2</v>
      </c>
      <c r="R828" s="1"/>
      <c r="S828" s="1"/>
    </row>
    <row r="829" spans="1:19" x14ac:dyDescent="0.3">
      <c r="A829" s="2">
        <v>817</v>
      </c>
      <c r="B829" s="3" t="s">
        <v>53</v>
      </c>
      <c r="C829" s="3" t="s">
        <v>157</v>
      </c>
      <c r="D829" s="3" t="s">
        <v>18</v>
      </c>
      <c r="E829" s="3" t="s">
        <v>23</v>
      </c>
      <c r="F829" s="3">
        <f>IF(D829="Urban",1,0)</f>
        <v>1</v>
      </c>
      <c r="G829" s="3">
        <v>4693</v>
      </c>
      <c r="H829" s="3">
        <v>4</v>
      </c>
      <c r="I829" s="3">
        <v>93928</v>
      </c>
      <c r="J829" s="3">
        <f>IF(E829="Cold",1,0)</f>
        <v>0</v>
      </c>
      <c r="K829" s="3">
        <f>IF(E829="Hot",1,0)</f>
        <v>0</v>
      </c>
      <c r="L829" s="3">
        <v>2219</v>
      </c>
      <c r="M829" s="3">
        <v>41</v>
      </c>
      <c r="N829" s="4">
        <v>45199</v>
      </c>
      <c r="O829" s="10">
        <v>368651.26120000001</v>
      </c>
      <c r="P829" s="1">
        <f>$C$3+F829*$C$4+H829*$C$6+J829*$C$8+K829*$C$9+L829*$C$10+M829*$C$11</f>
        <v>363376.20140021679</v>
      </c>
      <c r="Q829" s="1">
        <f>(O829-P829)/O829</f>
        <v>1.4309078402749332E-2</v>
      </c>
      <c r="R829" s="1"/>
      <c r="S829" s="1"/>
    </row>
    <row r="830" spans="1:19" x14ac:dyDescent="0.3">
      <c r="A830" s="2">
        <v>136</v>
      </c>
      <c r="B830" s="3" t="s">
        <v>29</v>
      </c>
      <c r="C830" s="3" t="s">
        <v>132</v>
      </c>
      <c r="D830" s="3" t="s">
        <v>14</v>
      </c>
      <c r="E830" s="3" t="s">
        <v>21</v>
      </c>
      <c r="F830" s="3">
        <f>IF(D830="Urban",1,0)</f>
        <v>0</v>
      </c>
      <c r="G830" s="3">
        <v>22615</v>
      </c>
      <c r="H830" s="3">
        <v>4</v>
      </c>
      <c r="I830" s="3">
        <v>79108</v>
      </c>
      <c r="J830" s="3">
        <f>IF(E830="Cold",1,0)</f>
        <v>0</v>
      </c>
      <c r="K830" s="3">
        <f>IF(E830="Hot",1,0)</f>
        <v>1</v>
      </c>
      <c r="L830" s="3">
        <v>2800</v>
      </c>
      <c r="M830" s="3">
        <v>36</v>
      </c>
      <c r="N830" s="4">
        <v>44700</v>
      </c>
      <c r="O830" s="10">
        <v>334784.2096</v>
      </c>
      <c r="P830" s="1">
        <f>$C$3+F830*$C$4+H830*$C$6+J830*$C$8+K830*$C$9+L830*$C$10+M830*$C$11</f>
        <v>329996.17919494002</v>
      </c>
      <c r="Q830" s="1">
        <f>(O830-P830)/O830</f>
        <v>1.4301840611839839E-2</v>
      </c>
      <c r="R830" s="1"/>
      <c r="S830" s="1"/>
    </row>
    <row r="831" spans="1:19" x14ac:dyDescent="0.3">
      <c r="A831" s="2">
        <v>485</v>
      </c>
      <c r="B831" s="3" t="s">
        <v>29</v>
      </c>
      <c r="C831" s="3" t="s">
        <v>104</v>
      </c>
      <c r="D831" s="3" t="s">
        <v>18</v>
      </c>
      <c r="E831" s="3" t="s">
        <v>21</v>
      </c>
      <c r="F831" s="3">
        <f>IF(D831="Urban",1,0)</f>
        <v>1</v>
      </c>
      <c r="G831" s="3">
        <v>701</v>
      </c>
      <c r="H831" s="3">
        <v>4</v>
      </c>
      <c r="I831" s="3">
        <v>94516</v>
      </c>
      <c r="J831" s="3">
        <f>IF(E831="Cold",1,0)</f>
        <v>0</v>
      </c>
      <c r="K831" s="3">
        <f>IF(E831="Hot",1,0)</f>
        <v>1</v>
      </c>
      <c r="L831" s="3">
        <v>2710</v>
      </c>
      <c r="M831" s="3">
        <v>35</v>
      </c>
      <c r="N831" s="4">
        <v>44166</v>
      </c>
      <c r="O831" s="10">
        <v>378013.2648</v>
      </c>
      <c r="P831" s="1">
        <f>$C$3+F831*$C$4+H831*$C$6+J831*$C$8+K831*$C$9+L831*$C$10+M831*$C$11</f>
        <v>372610.04444394814</v>
      </c>
      <c r="Q831" s="1">
        <f>(O831-P831)/O831</f>
        <v>1.4293732149612831E-2</v>
      </c>
      <c r="R831" s="1"/>
      <c r="S831" s="1"/>
    </row>
    <row r="832" spans="1:19" x14ac:dyDescent="0.3">
      <c r="A832" s="2">
        <v>592</v>
      </c>
      <c r="B832" s="3" t="s">
        <v>29</v>
      </c>
      <c r="C832" s="3" t="s">
        <v>132</v>
      </c>
      <c r="D832" s="3" t="s">
        <v>18</v>
      </c>
      <c r="E832" s="3" t="s">
        <v>21</v>
      </c>
      <c r="F832" s="3">
        <f>IF(D832="Urban",1,0)</f>
        <v>1</v>
      </c>
      <c r="G832" s="3">
        <v>20171</v>
      </c>
      <c r="H832" s="3">
        <v>7</v>
      </c>
      <c r="I832" s="3">
        <v>71887</v>
      </c>
      <c r="J832" s="3">
        <f>IF(E832="Cold",1,0)</f>
        <v>0</v>
      </c>
      <c r="K832" s="3">
        <f>IF(E832="Hot",1,0)</f>
        <v>1</v>
      </c>
      <c r="L832" s="3">
        <v>1900</v>
      </c>
      <c r="M832" s="3">
        <v>69</v>
      </c>
      <c r="N832" s="4">
        <v>43986</v>
      </c>
      <c r="O832" s="10">
        <v>369286.23599999998</v>
      </c>
      <c r="P832" s="1">
        <f>$C$3+F832*$C$4+H832*$C$6+J832*$C$8+K832*$C$9+L832*$C$10+M832*$C$11</f>
        <v>364074.36154075956</v>
      </c>
      <c r="Q832" s="1">
        <f>(O832-P832)/O832</f>
        <v>1.4113373180906778E-2</v>
      </c>
      <c r="R832" s="1"/>
      <c r="S832" s="1"/>
    </row>
    <row r="833" spans="1:19" x14ac:dyDescent="0.3">
      <c r="A833" s="2">
        <v>252</v>
      </c>
      <c r="B833" s="3" t="s">
        <v>29</v>
      </c>
      <c r="C833" s="3" t="s">
        <v>135</v>
      </c>
      <c r="D833" s="3" t="s">
        <v>18</v>
      </c>
      <c r="E833" s="3" t="s">
        <v>23</v>
      </c>
      <c r="F833" s="3">
        <f>IF(D833="Urban",1,0)</f>
        <v>1</v>
      </c>
      <c r="G833" s="3">
        <v>17179</v>
      </c>
      <c r="H833" s="3">
        <v>1</v>
      </c>
      <c r="I833" s="3">
        <v>92229</v>
      </c>
      <c r="J833" s="3">
        <f>IF(E833="Cold",1,0)</f>
        <v>0</v>
      </c>
      <c r="K833" s="3">
        <f>IF(E833="Hot",1,0)</f>
        <v>0</v>
      </c>
      <c r="L833" s="3">
        <v>1553</v>
      </c>
      <c r="M833" s="3">
        <v>65</v>
      </c>
      <c r="N833" s="4">
        <v>44593</v>
      </c>
      <c r="O833" s="10">
        <v>365394.26360000001</v>
      </c>
      <c r="P833" s="1">
        <f>$C$3+F833*$C$4+H833*$C$6+J833*$C$8+K833*$C$9+L833*$C$10+M833*$C$11</f>
        <v>360332.61939408554</v>
      </c>
      <c r="Q833" s="1">
        <f>(O833-P833)/O833</f>
        <v>1.385255519899317E-2</v>
      </c>
      <c r="R833" s="1"/>
      <c r="S833" s="1"/>
    </row>
    <row r="834" spans="1:19" x14ac:dyDescent="0.3">
      <c r="A834" s="2">
        <v>32</v>
      </c>
      <c r="B834" s="3" t="s">
        <v>26</v>
      </c>
      <c r="C834" s="3" t="s">
        <v>47</v>
      </c>
      <c r="D834" s="3" t="s">
        <v>14</v>
      </c>
      <c r="E834" s="3" t="s">
        <v>15</v>
      </c>
      <c r="F834" s="3">
        <f>IF(D834="Urban",1,0)</f>
        <v>0</v>
      </c>
      <c r="G834" s="3">
        <v>19602</v>
      </c>
      <c r="H834" s="3">
        <v>4</v>
      </c>
      <c r="I834" s="3">
        <v>97049</v>
      </c>
      <c r="J834" s="3">
        <f>IF(E834="Cold",1,0)</f>
        <v>1</v>
      </c>
      <c r="K834" s="3">
        <f>IF(E834="Hot",1,0)</f>
        <v>0</v>
      </c>
      <c r="L834" s="3">
        <v>1577</v>
      </c>
      <c r="M834" s="3">
        <v>74</v>
      </c>
      <c r="N834" s="4">
        <v>43838</v>
      </c>
      <c r="O834" s="10">
        <v>301248.18959999998</v>
      </c>
      <c r="P834" s="1">
        <f>$C$3+F834*$C$4+H834*$C$6+J834*$C$8+K834*$C$9+L834*$C$10+M834*$C$11</f>
        <v>297079.62584437552</v>
      </c>
      <c r="Q834" s="1">
        <f>(O834-P834)/O834</f>
        <v>1.3837639194311899E-2</v>
      </c>
      <c r="R834" s="1"/>
      <c r="S834" s="1"/>
    </row>
    <row r="835" spans="1:19" x14ac:dyDescent="0.3">
      <c r="A835" s="2">
        <v>30</v>
      </c>
      <c r="B835" s="3" t="s">
        <v>28</v>
      </c>
      <c r="C835" s="3" t="s">
        <v>43</v>
      </c>
      <c r="D835" s="3" t="s">
        <v>14</v>
      </c>
      <c r="E835" s="3" t="s">
        <v>23</v>
      </c>
      <c r="F835" s="3">
        <f>IF(D835="Urban",1,0)</f>
        <v>0</v>
      </c>
      <c r="G835" s="3">
        <v>9579</v>
      </c>
      <c r="H835" s="3">
        <v>3</v>
      </c>
      <c r="I835" s="3">
        <v>74908</v>
      </c>
      <c r="J835" s="3">
        <f>IF(E835="Cold",1,0)</f>
        <v>0</v>
      </c>
      <c r="K835" s="3">
        <f>IF(E835="Hot",1,0)</f>
        <v>0</v>
      </c>
      <c r="L835" s="3">
        <v>2678</v>
      </c>
      <c r="M835" s="3">
        <v>24</v>
      </c>
      <c r="N835" s="4">
        <v>45437</v>
      </c>
      <c r="O835" s="10">
        <v>328033.96159999998</v>
      </c>
      <c r="P835" s="1">
        <f>$C$3+F835*$C$4+H835*$C$6+J835*$C$8+K835*$C$9+L835*$C$10+M835*$C$11</f>
        <v>323528.44491828798</v>
      </c>
      <c r="Q835" s="1">
        <f>(O835-P835)/O835</f>
        <v>1.3734909214083048E-2</v>
      </c>
      <c r="R835" s="1"/>
      <c r="S835" s="1"/>
    </row>
    <row r="836" spans="1:19" x14ac:dyDescent="0.3">
      <c r="A836" s="2">
        <v>812</v>
      </c>
      <c r="B836" s="3" t="s">
        <v>122</v>
      </c>
      <c r="C836" s="3" t="s">
        <v>195</v>
      </c>
      <c r="D836" s="3" t="s">
        <v>14</v>
      </c>
      <c r="E836" s="3" t="s">
        <v>21</v>
      </c>
      <c r="F836" s="3">
        <f>IF(D836="Urban",1,0)</f>
        <v>0</v>
      </c>
      <c r="G836" s="3">
        <v>7540</v>
      </c>
      <c r="H836" s="3">
        <v>7</v>
      </c>
      <c r="I836" s="3">
        <v>76021</v>
      </c>
      <c r="J836" s="3">
        <f>IF(E836="Cold",1,0)</f>
        <v>0</v>
      </c>
      <c r="K836" s="3">
        <f>IF(E836="Hot",1,0)</f>
        <v>1</v>
      </c>
      <c r="L836" s="3">
        <v>2002</v>
      </c>
      <c r="M836" s="3">
        <v>58</v>
      </c>
      <c r="N836" s="4">
        <v>44394</v>
      </c>
      <c r="O836" s="10">
        <v>322368.53529999999</v>
      </c>
      <c r="P836" s="1">
        <f>$C$3+F836*$C$4+H836*$C$6+J836*$C$8+K836*$C$9+L836*$C$10+M836*$C$11</f>
        <v>318001.22050702915</v>
      </c>
      <c r="Q836" s="1">
        <f>(O836-P836)/O836</f>
        <v>1.3547583944278435E-2</v>
      </c>
      <c r="R836" s="1"/>
      <c r="S836" s="1"/>
    </row>
    <row r="837" spans="1:19" x14ac:dyDescent="0.3">
      <c r="A837" s="2">
        <v>427</v>
      </c>
      <c r="B837" s="3" t="s">
        <v>26</v>
      </c>
      <c r="C837" s="3" t="s">
        <v>67</v>
      </c>
      <c r="D837" s="3" t="s">
        <v>18</v>
      </c>
      <c r="E837" s="3" t="s">
        <v>23</v>
      </c>
      <c r="F837" s="3">
        <f>IF(D837="Urban",1,0)</f>
        <v>1</v>
      </c>
      <c r="G837" s="3">
        <v>5286</v>
      </c>
      <c r="H837" s="3">
        <v>8</v>
      </c>
      <c r="I837" s="3">
        <v>53803</v>
      </c>
      <c r="J837" s="3">
        <f>IF(E837="Cold",1,0)</f>
        <v>0</v>
      </c>
      <c r="K837" s="3">
        <f>IF(E837="Hot",1,0)</f>
        <v>0</v>
      </c>
      <c r="L837" s="3">
        <v>2137</v>
      </c>
      <c r="M837" s="3">
        <v>57</v>
      </c>
      <c r="N837" s="4">
        <v>45400</v>
      </c>
      <c r="O837" s="10">
        <v>367807.48670000001</v>
      </c>
      <c r="P837" s="1">
        <f>$C$3+F837*$C$4+H837*$C$6+J837*$C$8+K837*$C$9+L837*$C$10+M837*$C$11</f>
        <v>362871.01315068227</v>
      </c>
      <c r="Q837" s="1">
        <f>(O837-P837)/O837</f>
        <v>1.34213514618971E-2</v>
      </c>
      <c r="R837" s="1"/>
      <c r="S837" s="1"/>
    </row>
    <row r="838" spans="1:19" x14ac:dyDescent="0.3">
      <c r="A838" s="2">
        <v>519</v>
      </c>
      <c r="B838" s="3" t="s">
        <v>29</v>
      </c>
      <c r="C838" s="3" t="s">
        <v>188</v>
      </c>
      <c r="D838" s="3" t="s">
        <v>14</v>
      </c>
      <c r="E838" s="3" t="s">
        <v>23</v>
      </c>
      <c r="F838" s="3">
        <f>IF(D838="Urban",1,0)</f>
        <v>0</v>
      </c>
      <c r="G838" s="3">
        <v>21194</v>
      </c>
      <c r="H838" s="3">
        <v>5</v>
      </c>
      <c r="I838" s="3">
        <v>90611</v>
      </c>
      <c r="J838" s="3">
        <f>IF(E838="Cold",1,0)</f>
        <v>0</v>
      </c>
      <c r="K838" s="3">
        <f>IF(E838="Hot",1,0)</f>
        <v>0</v>
      </c>
      <c r="L838" s="3">
        <v>1124</v>
      </c>
      <c r="M838" s="3">
        <v>44</v>
      </c>
      <c r="N838" s="4">
        <v>45369</v>
      </c>
      <c r="O838" s="10">
        <v>300752.59419999999</v>
      </c>
      <c r="P838" s="1">
        <f>$C$3+F838*$C$4+H838*$C$6+J838*$C$8+K838*$C$9+L838*$C$10+M838*$C$11</f>
        <v>296779.59350272454</v>
      </c>
      <c r="Q838" s="1">
        <f>(O838-P838)/O838</f>
        <v>1.3210195934780233E-2</v>
      </c>
      <c r="R838" s="1"/>
      <c r="S838" s="1"/>
    </row>
    <row r="839" spans="1:19" x14ac:dyDescent="0.3">
      <c r="A839" s="2">
        <v>613</v>
      </c>
      <c r="B839" s="3" t="s">
        <v>122</v>
      </c>
      <c r="C839" s="3" t="s">
        <v>194</v>
      </c>
      <c r="D839" s="3" t="s">
        <v>14</v>
      </c>
      <c r="E839" s="3" t="s">
        <v>21</v>
      </c>
      <c r="F839" s="3">
        <f>IF(D839="Urban",1,0)</f>
        <v>0</v>
      </c>
      <c r="G839" s="3">
        <v>7264</v>
      </c>
      <c r="H839" s="3">
        <v>1</v>
      </c>
      <c r="I839" s="3">
        <v>80928</v>
      </c>
      <c r="J839" s="3">
        <f>IF(E839="Cold",1,0)</f>
        <v>0</v>
      </c>
      <c r="K839" s="3">
        <f>IF(E839="Hot",1,0)</f>
        <v>1</v>
      </c>
      <c r="L839" s="3">
        <v>2080</v>
      </c>
      <c r="M839" s="3">
        <v>85</v>
      </c>
      <c r="N839" s="4">
        <v>44957</v>
      </c>
      <c r="O839" s="10">
        <v>337975.65110000002</v>
      </c>
      <c r="P839" s="1">
        <f>$C$3+F839*$C$4+H839*$C$6+J839*$C$8+K839*$C$9+L839*$C$10+M839*$C$11</f>
        <v>333580.66727049998</v>
      </c>
      <c r="Q839" s="1">
        <f>(O839-P839)/O839</f>
        <v>1.3003847511487306E-2</v>
      </c>
      <c r="R839" s="1"/>
      <c r="S839" s="1"/>
    </row>
    <row r="840" spans="1:19" x14ac:dyDescent="0.3">
      <c r="A840" s="2">
        <v>10</v>
      </c>
      <c r="B840" s="3" t="s">
        <v>35</v>
      </c>
      <c r="C840" s="3" t="s">
        <v>36</v>
      </c>
      <c r="D840" s="3" t="s">
        <v>18</v>
      </c>
      <c r="E840" s="3" t="s">
        <v>21</v>
      </c>
      <c r="F840" s="3">
        <f>IF(D840="Urban",1,0)</f>
        <v>1</v>
      </c>
      <c r="G840" s="3">
        <v>12381</v>
      </c>
      <c r="H840" s="3">
        <v>2</v>
      </c>
      <c r="I840" s="3">
        <v>67275</v>
      </c>
      <c r="J840" s="3">
        <f>IF(E840="Cold",1,0)</f>
        <v>0</v>
      </c>
      <c r="K840" s="3">
        <f>IF(E840="Hot",1,0)</f>
        <v>1</v>
      </c>
      <c r="L840" s="3">
        <v>1494</v>
      </c>
      <c r="M840" s="3">
        <v>56</v>
      </c>
      <c r="N840" s="4">
        <v>45178</v>
      </c>
      <c r="O840" s="10">
        <v>361361.4901</v>
      </c>
      <c r="P840" s="1">
        <f>$C$3+F840*$C$4+H840*$C$6+J840*$C$8+K840*$C$9+L840*$C$10+M840*$C$11</f>
        <v>356715.29680946248</v>
      </c>
      <c r="Q840" s="1">
        <f>(O840-P840)/O840</f>
        <v>1.2857466602907154E-2</v>
      </c>
      <c r="R840" s="1"/>
      <c r="S840" s="1"/>
    </row>
    <row r="841" spans="1:19" x14ac:dyDescent="0.3">
      <c r="A841" s="2">
        <v>569</v>
      </c>
      <c r="B841" s="3" t="s">
        <v>40</v>
      </c>
      <c r="C841" s="3" t="s">
        <v>121</v>
      </c>
      <c r="D841" s="3" t="s">
        <v>14</v>
      </c>
      <c r="E841" s="3" t="s">
        <v>15</v>
      </c>
      <c r="F841" s="3">
        <f>IF(D841="Urban",1,0)</f>
        <v>0</v>
      </c>
      <c r="G841" s="3">
        <v>3554</v>
      </c>
      <c r="H841" s="3">
        <v>6</v>
      </c>
      <c r="I841" s="3">
        <v>64576</v>
      </c>
      <c r="J841" s="3">
        <f>IF(E841="Cold",1,0)</f>
        <v>1</v>
      </c>
      <c r="K841" s="3">
        <f>IF(E841="Hot",1,0)</f>
        <v>0</v>
      </c>
      <c r="L841" s="3">
        <v>2160</v>
      </c>
      <c r="M841" s="3">
        <v>90</v>
      </c>
      <c r="N841" s="4">
        <v>44448</v>
      </c>
      <c r="O841" s="10">
        <v>315737.91850000003</v>
      </c>
      <c r="P841" s="1">
        <f>$C$3+F841*$C$4+H841*$C$6+J841*$C$8+K841*$C$9+L841*$C$10+M841*$C$11</f>
        <v>311746.07160788705</v>
      </c>
      <c r="Q841" s="1">
        <f>(O841-P841)/O841</f>
        <v>1.264291254936167E-2</v>
      </c>
      <c r="R841" s="1"/>
      <c r="S841" s="1"/>
    </row>
    <row r="842" spans="1:19" x14ac:dyDescent="0.3">
      <c r="A842" s="2">
        <v>231</v>
      </c>
      <c r="B842" s="3" t="s">
        <v>57</v>
      </c>
      <c r="C842" s="3" t="s">
        <v>168</v>
      </c>
      <c r="D842" s="3" t="s">
        <v>18</v>
      </c>
      <c r="E842" s="3" t="s">
        <v>23</v>
      </c>
      <c r="F842" s="3">
        <f>IF(D842="Urban",1,0)</f>
        <v>1</v>
      </c>
      <c r="G842" s="3">
        <v>16168</v>
      </c>
      <c r="H842" s="3">
        <v>9</v>
      </c>
      <c r="I842" s="3">
        <v>71263</v>
      </c>
      <c r="J842" s="3">
        <f>IF(E842="Cold",1,0)</f>
        <v>0</v>
      </c>
      <c r="K842" s="3">
        <f>IF(E842="Hot",1,0)</f>
        <v>0</v>
      </c>
      <c r="L842" s="3">
        <v>1430</v>
      </c>
      <c r="M842" s="3">
        <v>64</v>
      </c>
      <c r="N842" s="4">
        <v>44763</v>
      </c>
      <c r="O842" s="10">
        <v>354374.20850000001</v>
      </c>
      <c r="P842" s="1">
        <f>$C$3+F842*$C$4+H842*$C$6+J842*$C$8+K842*$C$9+L842*$C$10+M842*$C$11</f>
        <v>349968.89089249598</v>
      </c>
      <c r="Q842" s="1">
        <f>(O842-P842)/O842</f>
        <v>1.2431259109264507E-2</v>
      </c>
      <c r="R842" s="1"/>
      <c r="S842" s="1"/>
    </row>
    <row r="843" spans="1:19" x14ac:dyDescent="0.3">
      <c r="A843" s="2">
        <v>805</v>
      </c>
      <c r="B843" s="3" t="s">
        <v>12</v>
      </c>
      <c r="C843" s="3" t="s">
        <v>13</v>
      </c>
      <c r="D843" s="3" t="s">
        <v>14</v>
      </c>
      <c r="E843" s="3" t="s">
        <v>15</v>
      </c>
      <c r="F843" s="3">
        <f>IF(D843="Urban",1,0)</f>
        <v>0</v>
      </c>
      <c r="G843" s="3">
        <v>6789</v>
      </c>
      <c r="H843" s="3">
        <v>2</v>
      </c>
      <c r="I843" s="3">
        <v>83246</v>
      </c>
      <c r="J843" s="3">
        <f>IF(E843="Cold",1,0)</f>
        <v>1</v>
      </c>
      <c r="K843" s="3">
        <f>IF(E843="Hot",1,0)</f>
        <v>0</v>
      </c>
      <c r="L843" s="3">
        <v>1294</v>
      </c>
      <c r="M843" s="3">
        <v>98</v>
      </c>
      <c r="N843" s="4">
        <v>45385</v>
      </c>
      <c r="O843" s="10">
        <v>304477.35259999998</v>
      </c>
      <c r="P843" s="1">
        <f>$C$3+F843*$C$4+H843*$C$6+J843*$C$8+K843*$C$9+L843*$C$10+M843*$C$11</f>
        <v>300729.49659556762</v>
      </c>
      <c r="Q843" s="1">
        <f>(O843-P843)/O843</f>
        <v>1.2309145400893005E-2</v>
      </c>
      <c r="R843" s="1"/>
      <c r="S843" s="1"/>
    </row>
    <row r="844" spans="1:19" x14ac:dyDescent="0.3">
      <c r="A844" s="2">
        <v>495</v>
      </c>
      <c r="B844" s="3" t="s">
        <v>72</v>
      </c>
      <c r="C844" s="3" t="s">
        <v>160</v>
      </c>
      <c r="D844" s="3" t="s">
        <v>14</v>
      </c>
      <c r="E844" s="3" t="s">
        <v>21</v>
      </c>
      <c r="F844" s="3">
        <f>IF(D844="Urban",1,0)</f>
        <v>0</v>
      </c>
      <c r="G844" s="3">
        <v>10009</v>
      </c>
      <c r="H844" s="3">
        <v>1</v>
      </c>
      <c r="I844" s="3">
        <v>63790</v>
      </c>
      <c r="J844" s="3">
        <f>IF(E844="Cold",1,0)</f>
        <v>0</v>
      </c>
      <c r="K844" s="3">
        <f>IF(E844="Hot",1,0)</f>
        <v>1</v>
      </c>
      <c r="L844" s="3">
        <v>2203</v>
      </c>
      <c r="M844" s="3">
        <v>67</v>
      </c>
      <c r="N844" s="4">
        <v>44916</v>
      </c>
      <c r="O844" s="10">
        <v>334562.88219999999</v>
      </c>
      <c r="P844" s="1">
        <f>$C$3+F844*$C$4+H844*$C$6+J844*$C$8+K844*$C$9+L844*$C$10+M844*$C$11</f>
        <v>330487.24391515506</v>
      </c>
      <c r="Q844" s="1">
        <f>(O844-P844)/O844</f>
        <v>1.218197983603134E-2</v>
      </c>
      <c r="R844" s="1"/>
      <c r="S844" s="1"/>
    </row>
    <row r="845" spans="1:19" x14ac:dyDescent="0.3">
      <c r="A845" s="2">
        <v>338</v>
      </c>
      <c r="B845" s="3" t="s">
        <v>19</v>
      </c>
      <c r="C845" s="3" t="s">
        <v>52</v>
      </c>
      <c r="D845" s="3" t="s">
        <v>14</v>
      </c>
      <c r="E845" s="3" t="s">
        <v>21</v>
      </c>
      <c r="F845" s="3">
        <f>IF(D845="Urban",1,0)</f>
        <v>0</v>
      </c>
      <c r="G845" s="3">
        <v>7936</v>
      </c>
      <c r="H845" s="3">
        <v>8</v>
      </c>
      <c r="I845" s="3">
        <v>54824</v>
      </c>
      <c r="J845" s="3">
        <f>IF(E845="Cold",1,0)</f>
        <v>0</v>
      </c>
      <c r="K845" s="3">
        <f>IF(E845="Hot",1,0)</f>
        <v>1</v>
      </c>
      <c r="L845" s="3">
        <v>2484</v>
      </c>
      <c r="M845" s="3">
        <v>90</v>
      </c>
      <c r="N845" s="4">
        <v>44347</v>
      </c>
      <c r="O845" s="10">
        <v>340678.60350000003</v>
      </c>
      <c r="P845" s="1">
        <f>$C$3+F845*$C$4+H845*$C$6+J845*$C$8+K845*$C$9+L845*$C$10+M845*$C$11</f>
        <v>336533.78232978086</v>
      </c>
      <c r="Q845" s="1">
        <f>(O845-P845)/O845</f>
        <v>1.2166367736737425E-2</v>
      </c>
      <c r="R845" s="1"/>
      <c r="S845" s="1"/>
    </row>
    <row r="846" spans="1:19" x14ac:dyDescent="0.3">
      <c r="A846" s="2">
        <v>756</v>
      </c>
      <c r="B846" s="3" t="s">
        <v>122</v>
      </c>
      <c r="C846" s="3" t="s">
        <v>137</v>
      </c>
      <c r="D846" s="3" t="s">
        <v>18</v>
      </c>
      <c r="E846" s="3" t="s">
        <v>23</v>
      </c>
      <c r="F846" s="3">
        <f>IF(D846="Urban",1,0)</f>
        <v>1</v>
      </c>
      <c r="G846" s="3">
        <v>11583</v>
      </c>
      <c r="H846" s="3">
        <v>5</v>
      </c>
      <c r="I846" s="3">
        <v>94189</v>
      </c>
      <c r="J846" s="3">
        <f>IF(E846="Cold",1,0)</f>
        <v>0</v>
      </c>
      <c r="K846" s="3">
        <f>IF(E846="Hot",1,0)</f>
        <v>0</v>
      </c>
      <c r="L846" s="3">
        <v>2693</v>
      </c>
      <c r="M846" s="3">
        <v>78</v>
      </c>
      <c r="N846" s="4">
        <v>44729</v>
      </c>
      <c r="O846" s="10">
        <v>387833.63170000003</v>
      </c>
      <c r="P846" s="1">
        <f>$C$3+F846*$C$4+H846*$C$6+J846*$C$8+K846*$C$9+L846*$C$10+M846*$C$11</f>
        <v>383290.25698121981</v>
      </c>
      <c r="Q846" s="1">
        <f>(O846-P846)/O846</f>
        <v>1.1714751758028677E-2</v>
      </c>
      <c r="R846" s="1"/>
      <c r="S846" s="1"/>
    </row>
    <row r="847" spans="1:19" x14ac:dyDescent="0.3">
      <c r="A847" s="2">
        <v>328</v>
      </c>
      <c r="B847" s="3" t="s">
        <v>122</v>
      </c>
      <c r="C847" s="3" t="s">
        <v>189</v>
      </c>
      <c r="D847" s="3" t="s">
        <v>18</v>
      </c>
      <c r="E847" s="3" t="s">
        <v>23</v>
      </c>
      <c r="F847" s="3">
        <f>IF(D847="Urban",1,0)</f>
        <v>1</v>
      </c>
      <c r="G847" s="3">
        <v>5686</v>
      </c>
      <c r="H847" s="3">
        <v>4</v>
      </c>
      <c r="I847" s="3">
        <v>66567</v>
      </c>
      <c r="J847" s="3">
        <f>IF(E847="Cold",1,0)</f>
        <v>0</v>
      </c>
      <c r="K847" s="3">
        <f>IF(E847="Hot",1,0)</f>
        <v>0</v>
      </c>
      <c r="L847" s="3">
        <v>2459</v>
      </c>
      <c r="M847" s="3">
        <v>55</v>
      </c>
      <c r="N847" s="4">
        <v>44640</v>
      </c>
      <c r="O847" s="10">
        <v>376808.01689999999</v>
      </c>
      <c r="P847" s="1">
        <f>$C$3+F847*$C$4+H847*$C$6+J847*$C$8+K847*$C$9+L847*$C$10+M847*$C$11</f>
        <v>372481.11402259825</v>
      </c>
      <c r="Q847" s="1">
        <f>(O847-P847)/O847</f>
        <v>1.148304357481343E-2</v>
      </c>
      <c r="R847" s="1"/>
      <c r="S847" s="1"/>
    </row>
    <row r="848" spans="1:19" x14ac:dyDescent="0.3">
      <c r="A848" s="2">
        <v>900</v>
      </c>
      <c r="B848" s="3" t="s">
        <v>53</v>
      </c>
      <c r="C848" s="3" t="s">
        <v>212</v>
      </c>
      <c r="D848" s="3" t="s">
        <v>14</v>
      </c>
      <c r="E848" s="3" t="s">
        <v>15</v>
      </c>
      <c r="F848" s="3">
        <f>IF(D848="Urban",1,0)</f>
        <v>0</v>
      </c>
      <c r="G848" s="3">
        <v>16249</v>
      </c>
      <c r="H848" s="3">
        <v>6</v>
      </c>
      <c r="I848" s="3">
        <v>90318</v>
      </c>
      <c r="J848" s="3">
        <f>IF(E848="Cold",1,0)</f>
        <v>1</v>
      </c>
      <c r="K848" s="3">
        <f>IF(E848="Hot",1,0)</f>
        <v>0</v>
      </c>
      <c r="L848" s="3">
        <v>1101</v>
      </c>
      <c r="M848" s="3">
        <v>51</v>
      </c>
      <c r="N848" s="4">
        <v>45423</v>
      </c>
      <c r="O848" s="10">
        <v>281808.75679999997</v>
      </c>
      <c r="P848" s="1">
        <f>$C$3+F848*$C$4+H848*$C$6+J848*$C$8+K848*$C$9+L848*$C$10+M848*$C$11</f>
        <v>278590.58365736029</v>
      </c>
      <c r="Q848" s="1">
        <f>(O848-P848)/O848</f>
        <v>1.1419705970753879E-2</v>
      </c>
      <c r="R848" s="1"/>
      <c r="S848" s="1"/>
    </row>
    <row r="849" spans="1:19" x14ac:dyDescent="0.3">
      <c r="A849" s="2">
        <v>383</v>
      </c>
      <c r="B849" s="3" t="s">
        <v>16</v>
      </c>
      <c r="C849" s="3" t="s">
        <v>51</v>
      </c>
      <c r="D849" s="3" t="s">
        <v>18</v>
      </c>
      <c r="E849" s="3" t="s">
        <v>15</v>
      </c>
      <c r="F849" s="3">
        <f>IF(D849="Urban",1,0)</f>
        <v>1</v>
      </c>
      <c r="G849" s="3">
        <v>11889</v>
      </c>
      <c r="H849" s="3">
        <v>9</v>
      </c>
      <c r="I849" s="3">
        <v>56275</v>
      </c>
      <c r="J849" s="3">
        <f>IF(E849="Cold",1,0)</f>
        <v>1</v>
      </c>
      <c r="K849" s="3">
        <f>IF(E849="Hot",1,0)</f>
        <v>0</v>
      </c>
      <c r="L849" s="3">
        <v>2528</v>
      </c>
      <c r="M849" s="3">
        <v>40</v>
      </c>
      <c r="N849" s="4">
        <v>44290</v>
      </c>
      <c r="O849" s="10">
        <v>349426.67300000001</v>
      </c>
      <c r="P849" s="1">
        <f>$C$3+F849*$C$4+H849*$C$6+J849*$C$8+K849*$C$9+L849*$C$10+M849*$C$11</f>
        <v>345546.70150233066</v>
      </c>
      <c r="Q849" s="1">
        <f>(O849-P849)/O849</f>
        <v>1.1103821767118934E-2</v>
      </c>
      <c r="R849" s="1"/>
      <c r="S849" s="1"/>
    </row>
    <row r="850" spans="1:19" x14ac:dyDescent="0.3">
      <c r="A850" s="2">
        <v>237</v>
      </c>
      <c r="B850" s="3" t="s">
        <v>31</v>
      </c>
      <c r="C850" s="3" t="s">
        <v>63</v>
      </c>
      <c r="D850" s="3" t="s">
        <v>14</v>
      </c>
      <c r="E850" s="3" t="s">
        <v>21</v>
      </c>
      <c r="F850" s="3">
        <f>IF(D850="Urban",1,0)</f>
        <v>0</v>
      </c>
      <c r="G850" s="3">
        <v>3737</v>
      </c>
      <c r="H850" s="3">
        <v>4</v>
      </c>
      <c r="I850" s="3">
        <v>56452</v>
      </c>
      <c r="J850" s="3">
        <f>IF(E850="Cold",1,0)</f>
        <v>0</v>
      </c>
      <c r="K850" s="3">
        <f>IF(E850="Hot",1,0)</f>
        <v>1</v>
      </c>
      <c r="L850" s="3">
        <v>1680</v>
      </c>
      <c r="M850" s="3">
        <v>71</v>
      </c>
      <c r="N850" s="4">
        <v>44201</v>
      </c>
      <c r="O850" s="10">
        <v>321760.16190000001</v>
      </c>
      <c r="P850" s="1">
        <f>$C$3+F850*$C$4+H850*$C$6+J850*$C$8+K850*$C$9+L850*$C$10+M850*$C$11</f>
        <v>318432.33357574919</v>
      </c>
      <c r="Q850" s="1">
        <f>(O850-P850)/O850</f>
        <v>1.0342574122911698E-2</v>
      </c>
      <c r="R850" s="1"/>
      <c r="S850" s="1"/>
    </row>
    <row r="851" spans="1:19" x14ac:dyDescent="0.3">
      <c r="A851" s="2">
        <v>932</v>
      </c>
      <c r="B851" s="3" t="s">
        <v>16</v>
      </c>
      <c r="C851" s="3" t="s">
        <v>183</v>
      </c>
      <c r="D851" s="3" t="s">
        <v>18</v>
      </c>
      <c r="E851" s="3" t="s">
        <v>15</v>
      </c>
      <c r="F851" s="3">
        <f>IF(D851="Urban",1,0)</f>
        <v>1</v>
      </c>
      <c r="G851" s="3">
        <v>20169</v>
      </c>
      <c r="H851" s="3">
        <v>8</v>
      </c>
      <c r="I851" s="3">
        <v>54837</v>
      </c>
      <c r="J851" s="3">
        <f>IF(E851="Cold",1,0)</f>
        <v>1</v>
      </c>
      <c r="K851" s="3">
        <f>IF(E851="Hot",1,0)</f>
        <v>0</v>
      </c>
      <c r="L851" s="3">
        <v>1940</v>
      </c>
      <c r="M851" s="3">
        <v>42</v>
      </c>
      <c r="N851" s="4">
        <v>44344</v>
      </c>
      <c r="O851" s="10">
        <v>338853.29399999999</v>
      </c>
      <c r="P851" s="1">
        <f>$C$3+F851*$C$4+H851*$C$6+J851*$C$8+K851*$C$9+L851*$C$10+M851*$C$11</f>
        <v>335378.51342043321</v>
      </c>
      <c r="Q851" s="1">
        <f>(O851-P851)/O851</f>
        <v>1.0254527965623912E-2</v>
      </c>
      <c r="R851" s="1"/>
      <c r="S851" s="1"/>
    </row>
    <row r="852" spans="1:19" x14ac:dyDescent="0.3">
      <c r="A852" s="2">
        <v>50</v>
      </c>
      <c r="B852" s="3" t="s">
        <v>57</v>
      </c>
      <c r="C852" s="3" t="s">
        <v>58</v>
      </c>
      <c r="D852" s="3" t="s">
        <v>18</v>
      </c>
      <c r="E852" s="3" t="s">
        <v>21</v>
      </c>
      <c r="F852" s="3">
        <f>IF(D852="Urban",1,0)</f>
        <v>1</v>
      </c>
      <c r="G852" s="3">
        <v>6869</v>
      </c>
      <c r="H852" s="3">
        <v>5</v>
      </c>
      <c r="I852" s="3">
        <v>73584</v>
      </c>
      <c r="J852" s="3">
        <f>IF(E852="Cold",1,0)</f>
        <v>0</v>
      </c>
      <c r="K852" s="3">
        <f>IF(E852="Hot",1,0)</f>
        <v>1</v>
      </c>
      <c r="L852" s="3">
        <v>1440</v>
      </c>
      <c r="M852" s="3">
        <v>81</v>
      </c>
      <c r="N852" s="4">
        <v>44213</v>
      </c>
      <c r="O852" s="10">
        <v>364226.88429999998</v>
      </c>
      <c r="P852" s="1">
        <f>$C$3+F852*$C$4+H852*$C$6+J852*$C$8+K852*$C$9+L852*$C$10+M852*$C$11</f>
        <v>360493.07392810012</v>
      </c>
      <c r="Q852" s="1">
        <f>(O852-P852)/O852</f>
        <v>1.0251331059967726E-2</v>
      </c>
      <c r="R852" s="1"/>
      <c r="S852" s="1"/>
    </row>
    <row r="853" spans="1:19" x14ac:dyDescent="0.3">
      <c r="A853" s="2">
        <v>970</v>
      </c>
      <c r="B853" s="3" t="s">
        <v>37</v>
      </c>
      <c r="C853" s="3" t="s">
        <v>114</v>
      </c>
      <c r="D853" s="3" t="s">
        <v>14</v>
      </c>
      <c r="E853" s="3" t="s">
        <v>15</v>
      </c>
      <c r="F853" s="3">
        <f>IF(D853="Urban",1,0)</f>
        <v>0</v>
      </c>
      <c r="G853" s="3">
        <v>12005</v>
      </c>
      <c r="H853" s="3">
        <v>4</v>
      </c>
      <c r="I853" s="3">
        <v>58685</v>
      </c>
      <c r="J853" s="3">
        <f>IF(E853="Cold",1,0)</f>
        <v>1</v>
      </c>
      <c r="K853" s="3">
        <f>IF(E853="Hot",1,0)</f>
        <v>0</v>
      </c>
      <c r="L853" s="3">
        <v>2954</v>
      </c>
      <c r="M853" s="3">
        <v>82</v>
      </c>
      <c r="N853" s="4">
        <v>44834</v>
      </c>
      <c r="O853" s="10">
        <v>330391.51079999999</v>
      </c>
      <c r="P853" s="1">
        <f>$C$3+F853*$C$4+H853*$C$6+J853*$C$8+K853*$C$9+L853*$C$10+M853*$C$11</f>
        <v>327026.32489712158</v>
      </c>
      <c r="Q853" s="1">
        <f>(O853-P853)/O853</f>
        <v>1.0185449059299526E-2</v>
      </c>
      <c r="R853" s="1"/>
      <c r="S853" s="1"/>
    </row>
    <row r="854" spans="1:19" x14ac:dyDescent="0.3">
      <c r="A854" s="2">
        <v>753</v>
      </c>
      <c r="B854" s="3" t="s">
        <v>122</v>
      </c>
      <c r="C854" s="3" t="s">
        <v>98</v>
      </c>
      <c r="D854" s="3" t="s">
        <v>18</v>
      </c>
      <c r="E854" s="3" t="s">
        <v>21</v>
      </c>
      <c r="F854" s="3">
        <f>IF(D854="Urban",1,0)</f>
        <v>1</v>
      </c>
      <c r="G854" s="3">
        <v>12120</v>
      </c>
      <c r="H854" s="3">
        <v>3</v>
      </c>
      <c r="I854" s="3">
        <v>51629</v>
      </c>
      <c r="J854" s="3">
        <f>IF(E854="Cold",1,0)</f>
        <v>0</v>
      </c>
      <c r="K854" s="3">
        <f>IF(E854="Hot",1,0)</f>
        <v>1</v>
      </c>
      <c r="L854" s="3">
        <v>2342</v>
      </c>
      <c r="M854" s="3">
        <v>89</v>
      </c>
      <c r="N854" s="4">
        <v>44716</v>
      </c>
      <c r="O854" s="10">
        <v>386755.8702</v>
      </c>
      <c r="P854" s="1">
        <f>$C$3+F854*$C$4+H854*$C$6+J854*$C$8+K854*$C$9+L854*$C$10+M854*$C$11</f>
        <v>382860.36921501742</v>
      </c>
      <c r="Q854" s="1">
        <f>(O854-P854)/O854</f>
        <v>1.0072247857461447E-2</v>
      </c>
      <c r="R854" s="1"/>
      <c r="S854" s="1"/>
    </row>
    <row r="855" spans="1:19" x14ac:dyDescent="0.3">
      <c r="A855" s="2">
        <v>985</v>
      </c>
      <c r="B855" s="3" t="s">
        <v>57</v>
      </c>
      <c r="C855" s="3" t="s">
        <v>174</v>
      </c>
      <c r="D855" s="3" t="s">
        <v>18</v>
      </c>
      <c r="E855" s="3" t="s">
        <v>21</v>
      </c>
      <c r="F855" s="3">
        <f>IF(D855="Urban",1,0)</f>
        <v>1</v>
      </c>
      <c r="G855" s="3">
        <v>3017</v>
      </c>
      <c r="H855" s="3">
        <v>7</v>
      </c>
      <c r="I855" s="3">
        <v>72669</v>
      </c>
      <c r="J855" s="3">
        <f>IF(E855="Cold",1,0)</f>
        <v>0</v>
      </c>
      <c r="K855" s="3">
        <f>IF(E855="Hot",1,0)</f>
        <v>1</v>
      </c>
      <c r="L855" s="3">
        <v>1352</v>
      </c>
      <c r="M855" s="3">
        <v>59</v>
      </c>
      <c r="N855" s="4">
        <v>44632</v>
      </c>
      <c r="O855" s="10">
        <v>353578.63789999997</v>
      </c>
      <c r="P855" s="1">
        <f>$C$3+F855*$C$4+H855*$C$6+J855*$C$8+K855*$C$9+L855*$C$10+M855*$C$11</f>
        <v>350055.59743891895</v>
      </c>
      <c r="Q855" s="1">
        <f>(O855-P855)/O855</f>
        <v>9.9639516742451428E-3</v>
      </c>
      <c r="R855" s="1"/>
      <c r="S855" s="1"/>
    </row>
    <row r="856" spans="1:19" x14ac:dyDescent="0.3">
      <c r="A856" s="2">
        <v>833</v>
      </c>
      <c r="B856" s="3" t="s">
        <v>31</v>
      </c>
      <c r="C856" s="3" t="s">
        <v>172</v>
      </c>
      <c r="D856" s="3" t="s">
        <v>18</v>
      </c>
      <c r="E856" s="3" t="s">
        <v>15</v>
      </c>
      <c r="F856" s="3">
        <f>IF(D856="Urban",1,0)</f>
        <v>1</v>
      </c>
      <c r="G856" s="3">
        <v>13142</v>
      </c>
      <c r="H856" s="3">
        <v>9</v>
      </c>
      <c r="I856" s="3">
        <v>56130</v>
      </c>
      <c r="J856" s="3">
        <f>IF(E856="Cold",1,0)</f>
        <v>1</v>
      </c>
      <c r="K856" s="3">
        <f>IF(E856="Hot",1,0)</f>
        <v>0</v>
      </c>
      <c r="L856" s="3">
        <v>1078</v>
      </c>
      <c r="M856" s="3">
        <v>54</v>
      </c>
      <c r="N856" s="4">
        <v>45108</v>
      </c>
      <c r="O856" s="10">
        <v>324108.3702</v>
      </c>
      <c r="P856" s="1">
        <f>$C$3+F856*$C$4+H856*$C$6+J856*$C$8+K856*$C$9+L856*$C$10+M856*$C$11</f>
        <v>320924.19847006438</v>
      </c>
      <c r="Q856" s="1">
        <f>(O856-P856)/O856</f>
        <v>9.8244044977016283E-3</v>
      </c>
      <c r="R856" s="1"/>
      <c r="S856" s="1"/>
    </row>
    <row r="857" spans="1:19" x14ac:dyDescent="0.3">
      <c r="A857" s="2">
        <v>602</v>
      </c>
      <c r="B857" s="3" t="s">
        <v>12</v>
      </c>
      <c r="C857" s="3" t="s">
        <v>85</v>
      </c>
      <c r="D857" s="3" t="s">
        <v>18</v>
      </c>
      <c r="E857" s="3" t="s">
        <v>15</v>
      </c>
      <c r="F857" s="3">
        <f>IF(D857="Urban",1,0)</f>
        <v>1</v>
      </c>
      <c r="G857" s="3">
        <v>18980</v>
      </c>
      <c r="H857" s="3">
        <v>7</v>
      </c>
      <c r="I857" s="3">
        <v>85429</v>
      </c>
      <c r="J857" s="3">
        <f>IF(E857="Cold",1,0)</f>
        <v>1</v>
      </c>
      <c r="K857" s="3">
        <f>IF(E857="Hot",1,0)</f>
        <v>0</v>
      </c>
      <c r="L857" s="3">
        <v>1261</v>
      </c>
      <c r="M857" s="3">
        <v>96</v>
      </c>
      <c r="N857" s="4">
        <v>45081</v>
      </c>
      <c r="O857" s="10">
        <v>342775.30820000003</v>
      </c>
      <c r="P857" s="1">
        <f>$C$3+F857*$C$4+H857*$C$6+J857*$C$8+K857*$C$9+L857*$C$10+M857*$C$11</f>
        <v>339422.19542902004</v>
      </c>
      <c r="Q857" s="1">
        <f>(O857-P857)/O857</f>
        <v>9.7822471186388409E-3</v>
      </c>
      <c r="R857" s="1"/>
      <c r="S857" s="1"/>
    </row>
    <row r="858" spans="1:19" x14ac:dyDescent="0.3">
      <c r="A858" s="2">
        <v>725</v>
      </c>
      <c r="B858" s="3" t="s">
        <v>44</v>
      </c>
      <c r="C858" s="3" t="s">
        <v>190</v>
      </c>
      <c r="D858" s="3" t="s">
        <v>14</v>
      </c>
      <c r="E858" s="3" t="s">
        <v>21</v>
      </c>
      <c r="F858" s="3">
        <f>IF(D858="Urban",1,0)</f>
        <v>0</v>
      </c>
      <c r="G858" s="3">
        <v>24293</v>
      </c>
      <c r="H858" s="3">
        <v>5</v>
      </c>
      <c r="I858" s="3">
        <v>70036</v>
      </c>
      <c r="J858" s="3">
        <f>IF(E858="Cold",1,0)</f>
        <v>0</v>
      </c>
      <c r="K858" s="3">
        <f>IF(E858="Hot",1,0)</f>
        <v>1</v>
      </c>
      <c r="L858" s="3">
        <v>2452</v>
      </c>
      <c r="M858" s="3">
        <v>50</v>
      </c>
      <c r="N858" s="4">
        <v>44281</v>
      </c>
      <c r="O858" s="10">
        <v>329629.05829999998</v>
      </c>
      <c r="P858" s="1">
        <f>$C$3+F858*$C$4+H858*$C$6+J858*$C$8+K858*$C$9+L858*$C$10+M858*$C$11</f>
        <v>326416.24836123484</v>
      </c>
      <c r="Q858" s="1">
        <f>(O858-P858)/O858</f>
        <v>9.746743674039526E-3</v>
      </c>
      <c r="R858" s="1"/>
      <c r="S858" s="1"/>
    </row>
    <row r="859" spans="1:19" x14ac:dyDescent="0.3">
      <c r="A859" s="2">
        <v>479</v>
      </c>
      <c r="B859" s="3" t="s">
        <v>40</v>
      </c>
      <c r="C859" s="3" t="s">
        <v>41</v>
      </c>
      <c r="D859" s="3" t="s">
        <v>14</v>
      </c>
      <c r="E859" s="3" t="s">
        <v>15</v>
      </c>
      <c r="F859" s="3">
        <f>IF(D859="Urban",1,0)</f>
        <v>0</v>
      </c>
      <c r="G859" s="3">
        <v>11182</v>
      </c>
      <c r="H859" s="3">
        <v>4</v>
      </c>
      <c r="I859" s="3">
        <v>93553</v>
      </c>
      <c r="J859" s="3">
        <f>IF(E859="Cold",1,0)</f>
        <v>1</v>
      </c>
      <c r="K859" s="3">
        <f>IF(E859="Hot",1,0)</f>
        <v>0</v>
      </c>
      <c r="L859" s="3">
        <v>2248</v>
      </c>
      <c r="M859" s="3">
        <v>70</v>
      </c>
      <c r="N859" s="4">
        <v>45415</v>
      </c>
      <c r="O859" s="10">
        <v>312187.79629999999</v>
      </c>
      <c r="P859" s="1">
        <f>$C$3+F859*$C$4+H859*$C$6+J859*$C$8+K859*$C$9+L859*$C$10+M859*$C$11</f>
        <v>309237.88672184478</v>
      </c>
      <c r="Q859" s="1">
        <f>(O859-P859)/O859</f>
        <v>9.4491508416314172E-3</v>
      </c>
      <c r="R859" s="1"/>
      <c r="S859" s="1"/>
    </row>
    <row r="860" spans="1:19" x14ac:dyDescent="0.3">
      <c r="A860" s="2">
        <v>133</v>
      </c>
      <c r="B860" s="3" t="s">
        <v>19</v>
      </c>
      <c r="C860" s="3" t="s">
        <v>60</v>
      </c>
      <c r="D860" s="3" t="s">
        <v>14</v>
      </c>
      <c r="E860" s="3" t="s">
        <v>21</v>
      </c>
      <c r="F860" s="3">
        <f>IF(D860="Urban",1,0)</f>
        <v>0</v>
      </c>
      <c r="G860" s="3">
        <v>4005</v>
      </c>
      <c r="H860" s="3">
        <v>9</v>
      </c>
      <c r="I860" s="3">
        <v>52485</v>
      </c>
      <c r="J860" s="3">
        <f>IF(E860="Cold",1,0)</f>
        <v>0</v>
      </c>
      <c r="K860" s="3">
        <f>IF(E860="Hot",1,0)</f>
        <v>1</v>
      </c>
      <c r="L860" s="3">
        <v>1403</v>
      </c>
      <c r="M860" s="3">
        <v>61</v>
      </c>
      <c r="N860" s="4">
        <v>45356</v>
      </c>
      <c r="O860" s="10">
        <v>307974.82799999998</v>
      </c>
      <c r="P860" s="1">
        <f>$C$3+F860*$C$4+H860*$C$6+J860*$C$8+K860*$C$9+L860*$C$10+M860*$C$11</f>
        <v>305071.44193730614</v>
      </c>
      <c r="Q860" s="1">
        <f>(O860-P860)/O860</f>
        <v>9.427348597119245E-3</v>
      </c>
      <c r="R860" s="1"/>
      <c r="S860" s="1"/>
    </row>
    <row r="861" spans="1:19" x14ac:dyDescent="0.3">
      <c r="A861" s="2">
        <v>891</v>
      </c>
      <c r="B861" s="3" t="s">
        <v>40</v>
      </c>
      <c r="C861" s="3" t="s">
        <v>210</v>
      </c>
      <c r="D861" s="3" t="s">
        <v>14</v>
      </c>
      <c r="E861" s="3" t="s">
        <v>21</v>
      </c>
      <c r="F861" s="3">
        <f>IF(D861="Urban",1,0)</f>
        <v>0</v>
      </c>
      <c r="G861" s="3">
        <v>20515</v>
      </c>
      <c r="H861" s="3">
        <v>3</v>
      </c>
      <c r="I861" s="3">
        <v>56792</v>
      </c>
      <c r="J861" s="3">
        <f>IF(E861="Cold",1,0)</f>
        <v>0</v>
      </c>
      <c r="K861" s="3">
        <f>IF(E861="Hot",1,0)</f>
        <v>1</v>
      </c>
      <c r="L861" s="3">
        <v>1760</v>
      </c>
      <c r="M861" s="3">
        <v>90</v>
      </c>
      <c r="N861" s="4">
        <v>44238</v>
      </c>
      <c r="O861" s="10">
        <v>329944.29440000001</v>
      </c>
      <c r="P861" s="1">
        <f>$C$3+F861*$C$4+H861*$C$6+J861*$C$8+K861*$C$9+L861*$C$10+M861*$C$11</f>
        <v>326835.36590688315</v>
      </c>
      <c r="Q861" s="1">
        <f>(O861-P861)/O861</f>
        <v>9.4225860118915452E-3</v>
      </c>
      <c r="R861" s="1"/>
      <c r="S861" s="1"/>
    </row>
    <row r="862" spans="1:19" x14ac:dyDescent="0.3">
      <c r="A862" s="2">
        <v>688</v>
      </c>
      <c r="B862" s="3" t="s">
        <v>122</v>
      </c>
      <c r="C862" s="3" t="s">
        <v>208</v>
      </c>
      <c r="D862" s="3" t="s">
        <v>14</v>
      </c>
      <c r="E862" s="3" t="s">
        <v>15</v>
      </c>
      <c r="F862" s="3">
        <f>IF(D862="Urban",1,0)</f>
        <v>0</v>
      </c>
      <c r="G862" s="3">
        <v>11017</v>
      </c>
      <c r="H862" s="3">
        <v>7</v>
      </c>
      <c r="I862" s="3">
        <v>99637</v>
      </c>
      <c r="J862" s="3">
        <f>IF(E862="Cold",1,0)</f>
        <v>1</v>
      </c>
      <c r="K862" s="3">
        <f>IF(E862="Hot",1,0)</f>
        <v>0</v>
      </c>
      <c r="L862" s="3">
        <v>2600</v>
      </c>
      <c r="M862" s="3">
        <v>60</v>
      </c>
      <c r="N862" s="4">
        <v>44287</v>
      </c>
      <c r="O862" s="10">
        <v>313241.67330000002</v>
      </c>
      <c r="P862" s="1">
        <f>$C$3+F862*$C$4+H862*$C$6+J862*$C$8+K862*$C$9+L862*$C$10+M862*$C$11</f>
        <v>310330.17527185177</v>
      </c>
      <c r="Q862" s="1">
        <f>(O862-P862)/O862</f>
        <v>9.2947339907734315E-3</v>
      </c>
      <c r="R862" s="1"/>
      <c r="S862" s="1"/>
    </row>
    <row r="863" spans="1:19" x14ac:dyDescent="0.3">
      <c r="A863" s="2">
        <v>22</v>
      </c>
      <c r="B863" s="3" t="s">
        <v>12</v>
      </c>
      <c r="C863" s="3" t="s">
        <v>50</v>
      </c>
      <c r="D863" s="3" t="s">
        <v>18</v>
      </c>
      <c r="E863" s="3" t="s">
        <v>23</v>
      </c>
      <c r="F863" s="3">
        <f>IF(D863="Urban",1,0)</f>
        <v>1</v>
      </c>
      <c r="G863" s="3">
        <v>7238</v>
      </c>
      <c r="H863" s="3">
        <v>5</v>
      </c>
      <c r="I863" s="3">
        <v>56962</v>
      </c>
      <c r="J863" s="3">
        <f>IF(E863="Cold",1,0)</f>
        <v>0</v>
      </c>
      <c r="K863" s="3">
        <f>IF(E863="Hot",1,0)</f>
        <v>0</v>
      </c>
      <c r="L863" s="3">
        <v>2669</v>
      </c>
      <c r="M863" s="3">
        <v>85</v>
      </c>
      <c r="N863" s="4">
        <v>44133</v>
      </c>
      <c r="O863" s="10">
        <v>388524.81719999999</v>
      </c>
      <c r="P863" s="1">
        <f>$C$3+F863*$C$4+H863*$C$6+J863*$C$8+K863*$C$9+L863*$C$10+M863*$C$11</f>
        <v>384968.89799402631</v>
      </c>
      <c r="Q863" s="1">
        <f>(O863-P863)/O863</f>
        <v>9.15236054057059E-3</v>
      </c>
      <c r="R863" s="1"/>
      <c r="S863" s="1"/>
    </row>
    <row r="864" spans="1:19" x14ac:dyDescent="0.3">
      <c r="A864" s="2">
        <v>160</v>
      </c>
      <c r="B864" s="3" t="s">
        <v>44</v>
      </c>
      <c r="C864" s="3" t="s">
        <v>143</v>
      </c>
      <c r="D864" s="3" t="s">
        <v>18</v>
      </c>
      <c r="E864" s="3" t="s">
        <v>23</v>
      </c>
      <c r="F864" s="3">
        <f>IF(D864="Urban",1,0)</f>
        <v>1</v>
      </c>
      <c r="G864" s="3">
        <v>6732</v>
      </c>
      <c r="H864" s="3">
        <v>0</v>
      </c>
      <c r="I864" s="3">
        <v>97691</v>
      </c>
      <c r="J864" s="3">
        <f>IF(E864="Cold",1,0)</f>
        <v>0</v>
      </c>
      <c r="K864" s="3">
        <f>IF(E864="Hot",1,0)</f>
        <v>0</v>
      </c>
      <c r="L864" s="3">
        <v>2830</v>
      </c>
      <c r="M864" s="3">
        <v>76</v>
      </c>
      <c r="N864" s="4">
        <v>45061</v>
      </c>
      <c r="O864" s="10">
        <v>393744.39539999998</v>
      </c>
      <c r="P864" s="1">
        <f>$C$3+F864*$C$4+H864*$C$6+J864*$C$8+K864*$C$9+L864*$C$10+M864*$C$11</f>
        <v>390158.40113109065</v>
      </c>
      <c r="Q864" s="1">
        <f>(O864-P864)/O864</f>
        <v>9.1074166662521334E-3</v>
      </c>
      <c r="R864" s="1"/>
      <c r="S864" s="1"/>
    </row>
    <row r="865" spans="1:19" x14ac:dyDescent="0.3">
      <c r="A865" s="2">
        <v>347</v>
      </c>
      <c r="B865" s="3" t="s">
        <v>53</v>
      </c>
      <c r="C865" s="3" t="s">
        <v>157</v>
      </c>
      <c r="D865" s="3" t="s">
        <v>14</v>
      </c>
      <c r="E865" s="3" t="s">
        <v>15</v>
      </c>
      <c r="F865" s="3">
        <f>IF(D865="Urban",1,0)</f>
        <v>0</v>
      </c>
      <c r="G865" s="3">
        <v>3077</v>
      </c>
      <c r="H865" s="3">
        <v>3</v>
      </c>
      <c r="I865" s="3">
        <v>52050</v>
      </c>
      <c r="J865" s="3">
        <f>IF(E865="Cold",1,0)</f>
        <v>1</v>
      </c>
      <c r="K865" s="3">
        <f>IF(E865="Hot",1,0)</f>
        <v>0</v>
      </c>
      <c r="L865" s="3">
        <v>2803</v>
      </c>
      <c r="M865" s="3">
        <v>21</v>
      </c>
      <c r="N865" s="4">
        <v>45306</v>
      </c>
      <c r="O865" s="10">
        <v>308945.02960000001</v>
      </c>
      <c r="P865" s="1">
        <f>$C$3+F865*$C$4+H865*$C$6+J865*$C$8+K865*$C$9+L865*$C$10+M865*$C$11</f>
        <v>306160.87590095785</v>
      </c>
      <c r="Q865" s="1">
        <f>(O865-P865)/O865</f>
        <v>9.0118093262315391E-3</v>
      </c>
      <c r="R865" s="1"/>
      <c r="S865" s="1"/>
    </row>
    <row r="866" spans="1:19" x14ac:dyDescent="0.3">
      <c r="A866" s="2">
        <v>672</v>
      </c>
      <c r="B866" s="3" t="s">
        <v>26</v>
      </c>
      <c r="C866" s="3" t="s">
        <v>93</v>
      </c>
      <c r="D866" s="3" t="s">
        <v>18</v>
      </c>
      <c r="E866" s="3" t="s">
        <v>23</v>
      </c>
      <c r="F866" s="3">
        <f>IF(D866="Urban",1,0)</f>
        <v>1</v>
      </c>
      <c r="G866" s="3">
        <v>22913</v>
      </c>
      <c r="H866" s="3">
        <v>9</v>
      </c>
      <c r="I866" s="3">
        <v>64796</v>
      </c>
      <c r="J866" s="3">
        <f>IF(E866="Cold",1,0)</f>
        <v>0</v>
      </c>
      <c r="K866" s="3">
        <f>IF(E866="Hot",1,0)</f>
        <v>0</v>
      </c>
      <c r="L866" s="3">
        <v>2721</v>
      </c>
      <c r="M866" s="3">
        <v>56</v>
      </c>
      <c r="N866" s="4">
        <v>45458</v>
      </c>
      <c r="O866" s="10">
        <v>376540.12609999999</v>
      </c>
      <c r="P866" s="1">
        <f>$C$3+F866*$C$4+H866*$C$6+J866*$C$8+K866*$C$9+L866*$C$10+M866*$C$11</f>
        <v>373267.60306259012</v>
      </c>
      <c r="Q866" s="1">
        <f>(O866-P866)/O866</f>
        <v>8.6910339976376712E-3</v>
      </c>
      <c r="R866" s="1"/>
      <c r="S866" s="1"/>
    </row>
    <row r="867" spans="1:19" x14ac:dyDescent="0.3">
      <c r="A867" s="2">
        <v>904</v>
      </c>
      <c r="B867" s="3" t="s">
        <v>37</v>
      </c>
      <c r="C867" s="3" t="s">
        <v>202</v>
      </c>
      <c r="D867" s="3" t="s">
        <v>14</v>
      </c>
      <c r="E867" s="3" t="s">
        <v>21</v>
      </c>
      <c r="F867" s="3">
        <f>IF(D867="Urban",1,0)</f>
        <v>0</v>
      </c>
      <c r="G867" s="3">
        <v>5481</v>
      </c>
      <c r="H867" s="3">
        <v>8</v>
      </c>
      <c r="I867" s="3">
        <v>95252</v>
      </c>
      <c r="J867" s="3">
        <f>IF(E867="Cold",1,0)</f>
        <v>0</v>
      </c>
      <c r="K867" s="3">
        <f>IF(E867="Hot",1,0)</f>
        <v>1</v>
      </c>
      <c r="L867" s="3">
        <v>1100</v>
      </c>
      <c r="M867" s="3">
        <v>95</v>
      </c>
      <c r="N867" s="4">
        <v>44366</v>
      </c>
      <c r="O867" s="10">
        <v>312930.82569999999</v>
      </c>
      <c r="P867" s="1">
        <f>$C$3+F867*$C$4+H867*$C$6+J867*$C$8+K867*$C$9+L867*$C$10+M867*$C$11</f>
        <v>310454.37434791663</v>
      </c>
      <c r="Q867" s="1">
        <f>(O867-P867)/O867</f>
        <v>7.9137341185348022E-3</v>
      </c>
      <c r="R867" s="1"/>
      <c r="S867" s="1"/>
    </row>
    <row r="868" spans="1:19" x14ac:dyDescent="0.3">
      <c r="A868" s="2">
        <v>651</v>
      </c>
      <c r="B868" s="3" t="s">
        <v>33</v>
      </c>
      <c r="C868" s="3" t="s">
        <v>198</v>
      </c>
      <c r="D868" s="3" t="s">
        <v>14</v>
      </c>
      <c r="E868" s="3" t="s">
        <v>23</v>
      </c>
      <c r="F868" s="3">
        <f>IF(D868="Urban",1,0)</f>
        <v>0</v>
      </c>
      <c r="G868" s="3">
        <v>2563</v>
      </c>
      <c r="H868" s="3">
        <v>0</v>
      </c>
      <c r="I868" s="3">
        <v>98901</v>
      </c>
      <c r="J868" s="3">
        <f>IF(E868="Cold",1,0)</f>
        <v>0</v>
      </c>
      <c r="K868" s="3">
        <f>IF(E868="Hot",1,0)</f>
        <v>0</v>
      </c>
      <c r="L868" s="3">
        <v>2259</v>
      </c>
      <c r="M868" s="3">
        <v>26</v>
      </c>
      <c r="N868" s="4">
        <v>44702</v>
      </c>
      <c r="O868" s="10">
        <v>321173.03590000002</v>
      </c>
      <c r="P868" s="1">
        <f>$C$3+F868*$C$4+H868*$C$6+J868*$C$8+K868*$C$9+L868*$C$10+M868*$C$11</f>
        <v>318633.19371055777</v>
      </c>
      <c r="Q868" s="1">
        <f>(O868-P868)/O868</f>
        <v>7.9080181258835546E-3</v>
      </c>
      <c r="R868" s="1"/>
      <c r="S868" s="1"/>
    </row>
    <row r="869" spans="1:19" x14ac:dyDescent="0.3">
      <c r="A869" s="2">
        <v>200</v>
      </c>
      <c r="B869" s="3" t="s">
        <v>26</v>
      </c>
      <c r="C869" s="3" t="s">
        <v>159</v>
      </c>
      <c r="D869" s="3" t="s">
        <v>18</v>
      </c>
      <c r="E869" s="3" t="s">
        <v>15</v>
      </c>
      <c r="F869" s="3">
        <f>IF(D869="Urban",1,0)</f>
        <v>1</v>
      </c>
      <c r="G869" s="3">
        <v>2318</v>
      </c>
      <c r="H869" s="3">
        <v>7</v>
      </c>
      <c r="I869" s="3">
        <v>91950</v>
      </c>
      <c r="J869" s="3">
        <f>IF(E869="Cold",1,0)</f>
        <v>1</v>
      </c>
      <c r="K869" s="3">
        <f>IF(E869="Hot",1,0)</f>
        <v>0</v>
      </c>
      <c r="L869" s="3">
        <v>2964</v>
      </c>
      <c r="M869" s="3">
        <v>86</v>
      </c>
      <c r="N869" s="4">
        <v>44550</v>
      </c>
      <c r="O869" s="10">
        <v>373265.97899999999</v>
      </c>
      <c r="P869" s="1">
        <f>$C$3+F869*$C$4+H869*$C$6+J869*$C$8+K869*$C$9+L869*$C$10+M869*$C$11</f>
        <v>370326.75241511542</v>
      </c>
      <c r="Q869" s="1">
        <f>(O869-P869)/O869</f>
        <v>7.8743489903872841E-3</v>
      </c>
      <c r="R869" s="1"/>
      <c r="S869" s="1"/>
    </row>
    <row r="870" spans="1:19" x14ac:dyDescent="0.3">
      <c r="A870" s="2">
        <v>861</v>
      </c>
      <c r="B870" s="3" t="s">
        <v>57</v>
      </c>
      <c r="C870" s="3" t="s">
        <v>162</v>
      </c>
      <c r="D870" s="3" t="s">
        <v>14</v>
      </c>
      <c r="E870" s="3" t="s">
        <v>21</v>
      </c>
      <c r="F870" s="3">
        <f>IF(D870="Urban",1,0)</f>
        <v>0</v>
      </c>
      <c r="G870" s="3">
        <v>13492</v>
      </c>
      <c r="H870" s="3">
        <v>0</v>
      </c>
      <c r="I870" s="3">
        <v>52776</v>
      </c>
      <c r="J870" s="3">
        <f>IF(E870="Cold",1,0)</f>
        <v>0</v>
      </c>
      <c r="K870" s="3">
        <f>IF(E870="Hot",1,0)</f>
        <v>1</v>
      </c>
      <c r="L870" s="3">
        <v>1767</v>
      </c>
      <c r="M870" s="3">
        <v>41</v>
      </c>
      <c r="N870" s="4">
        <v>44454</v>
      </c>
      <c r="O870" s="10">
        <v>317196.93060000002</v>
      </c>
      <c r="P870" s="1">
        <f>$C$3+F870*$C$4+H870*$C$6+J870*$C$8+K870*$C$9+L870*$C$10+M870*$C$11</f>
        <v>314722.08662029204</v>
      </c>
      <c r="Q870" s="1">
        <f>(O870-P870)/O870</f>
        <v>7.8022318028949334E-3</v>
      </c>
      <c r="R870" s="1"/>
      <c r="S870" s="1"/>
    </row>
    <row r="871" spans="1:19" x14ac:dyDescent="0.3">
      <c r="A871" s="2">
        <v>825</v>
      </c>
      <c r="B871" s="3" t="s">
        <v>29</v>
      </c>
      <c r="C871" s="3" t="s">
        <v>110</v>
      </c>
      <c r="D871" s="3" t="s">
        <v>18</v>
      </c>
      <c r="E871" s="3" t="s">
        <v>21</v>
      </c>
      <c r="F871" s="3">
        <f>IF(D871="Urban",1,0)</f>
        <v>1</v>
      </c>
      <c r="G871" s="3">
        <v>1840</v>
      </c>
      <c r="H871" s="3">
        <v>8</v>
      </c>
      <c r="I871" s="3">
        <v>74067</v>
      </c>
      <c r="J871" s="3">
        <f>IF(E871="Cold",1,0)</f>
        <v>0</v>
      </c>
      <c r="K871" s="3">
        <f>IF(E871="Hot",1,0)</f>
        <v>1</v>
      </c>
      <c r="L871" s="3">
        <v>1108</v>
      </c>
      <c r="M871" s="3">
        <v>58</v>
      </c>
      <c r="N871" s="4">
        <v>44440</v>
      </c>
      <c r="O871" s="10">
        <v>346599.04840000003</v>
      </c>
      <c r="P871" s="1">
        <f>$C$3+F871*$C$4+H871*$C$6+J871*$C$8+K871*$C$9+L871*$C$10+M871*$C$11</f>
        <v>343927.74938511779</v>
      </c>
      <c r="Q871" s="1">
        <f>(O871-P871)/O871</f>
        <v>7.7071735401863344E-3</v>
      </c>
      <c r="R871" s="1"/>
      <c r="S871" s="1"/>
    </row>
    <row r="872" spans="1:19" x14ac:dyDescent="0.3">
      <c r="A872" s="2">
        <v>889</v>
      </c>
      <c r="B872" s="3" t="s">
        <v>74</v>
      </c>
      <c r="C872" s="3" t="s">
        <v>75</v>
      </c>
      <c r="D872" s="3" t="s">
        <v>14</v>
      </c>
      <c r="E872" s="3" t="s">
        <v>21</v>
      </c>
      <c r="F872" s="3">
        <f>IF(D872="Urban",1,0)</f>
        <v>0</v>
      </c>
      <c r="G872" s="3">
        <v>1803</v>
      </c>
      <c r="H872" s="3">
        <v>4</v>
      </c>
      <c r="I872" s="3">
        <v>94786</v>
      </c>
      <c r="J872" s="3">
        <f>IF(E872="Cold",1,0)</f>
        <v>0</v>
      </c>
      <c r="K872" s="3">
        <f>IF(E872="Hot",1,0)</f>
        <v>1</v>
      </c>
      <c r="L872" s="3">
        <v>1400</v>
      </c>
      <c r="M872" s="3">
        <v>64</v>
      </c>
      <c r="N872" s="4">
        <v>44881</v>
      </c>
      <c r="O872" s="10">
        <v>312910.03159999999</v>
      </c>
      <c r="P872" s="1">
        <f>$C$3+F872*$C$4+H872*$C$6+J872*$C$8+K872*$C$9+L872*$C$10+M872*$C$11</f>
        <v>310686.74915524275</v>
      </c>
      <c r="Q872" s="1">
        <f>(O872-P872)/O872</f>
        <v>7.1051811071346773E-3</v>
      </c>
      <c r="R872" s="1"/>
      <c r="S872" s="1"/>
    </row>
    <row r="873" spans="1:19" x14ac:dyDescent="0.3">
      <c r="A873" s="2">
        <v>755</v>
      </c>
      <c r="B873" s="3" t="s">
        <v>31</v>
      </c>
      <c r="C873" s="3" t="s">
        <v>170</v>
      </c>
      <c r="D873" s="3" t="s">
        <v>18</v>
      </c>
      <c r="E873" s="3" t="s">
        <v>15</v>
      </c>
      <c r="F873" s="3">
        <f>IF(D873="Urban",1,0)</f>
        <v>1</v>
      </c>
      <c r="G873" s="3">
        <v>23262</v>
      </c>
      <c r="H873" s="3">
        <v>5</v>
      </c>
      <c r="I873" s="3">
        <v>53237</v>
      </c>
      <c r="J873" s="3">
        <f>IF(E873="Cold",1,0)</f>
        <v>1</v>
      </c>
      <c r="K873" s="3">
        <f>IF(E873="Hot",1,0)</f>
        <v>0</v>
      </c>
      <c r="L873" s="3">
        <v>1136</v>
      </c>
      <c r="M873" s="3">
        <v>48</v>
      </c>
      <c r="N873" s="4">
        <v>45004</v>
      </c>
      <c r="O873" s="10">
        <v>326319.21230000001</v>
      </c>
      <c r="P873" s="1">
        <f>$C$3+F873*$C$4+H873*$C$6+J873*$C$8+K873*$C$9+L873*$C$10+M873*$C$11</f>
        <v>324032.71783063572</v>
      </c>
      <c r="Q873" s="1">
        <f>(O873-P873)/O873</f>
        <v>7.0069256825191538E-3</v>
      </c>
      <c r="R873" s="1"/>
      <c r="S873" s="1"/>
    </row>
    <row r="874" spans="1:19" x14ac:dyDescent="0.3">
      <c r="A874" s="2">
        <v>802</v>
      </c>
      <c r="B874" s="3" t="s">
        <v>72</v>
      </c>
      <c r="C874" s="3" t="s">
        <v>96</v>
      </c>
      <c r="D874" s="3" t="s">
        <v>18</v>
      </c>
      <c r="E874" s="3" t="s">
        <v>23</v>
      </c>
      <c r="F874" s="3">
        <f>IF(D874="Urban",1,0)</f>
        <v>1</v>
      </c>
      <c r="G874" s="3">
        <v>1340</v>
      </c>
      <c r="H874" s="3">
        <v>3</v>
      </c>
      <c r="I874" s="3">
        <v>89067</v>
      </c>
      <c r="J874" s="3">
        <f>IF(E874="Cold",1,0)</f>
        <v>0</v>
      </c>
      <c r="K874" s="3">
        <f>IF(E874="Hot",1,0)</f>
        <v>0</v>
      </c>
      <c r="L874" s="3">
        <v>1451</v>
      </c>
      <c r="M874" s="3">
        <v>72</v>
      </c>
      <c r="N874" s="4">
        <v>45032</v>
      </c>
      <c r="O874" s="10">
        <v>361083.88549999997</v>
      </c>
      <c r="P874" s="1">
        <f>$C$3+F874*$C$4+H874*$C$6+J874*$C$8+K874*$C$9+L874*$C$10+M874*$C$11</f>
        <v>358554.41514489823</v>
      </c>
      <c r="Q874" s="1">
        <f>(O874-P874)/O874</f>
        <v>7.0052152884062862E-3</v>
      </c>
      <c r="R874" s="1"/>
      <c r="S874" s="1"/>
    </row>
    <row r="875" spans="1:19" x14ac:dyDescent="0.3">
      <c r="A875" s="2">
        <v>741</v>
      </c>
      <c r="B875" s="3" t="s">
        <v>26</v>
      </c>
      <c r="C875" s="3" t="s">
        <v>69</v>
      </c>
      <c r="D875" s="3" t="s">
        <v>14</v>
      </c>
      <c r="E875" s="3" t="s">
        <v>15</v>
      </c>
      <c r="F875" s="3">
        <f>IF(D875="Urban",1,0)</f>
        <v>0</v>
      </c>
      <c r="G875" s="3">
        <v>10212</v>
      </c>
      <c r="H875" s="3">
        <v>7</v>
      </c>
      <c r="I875" s="3">
        <v>95644</v>
      </c>
      <c r="J875" s="3">
        <f>IF(E875="Cold",1,0)</f>
        <v>1</v>
      </c>
      <c r="K875" s="3">
        <f>IF(E875="Hot",1,0)</f>
        <v>0</v>
      </c>
      <c r="L875" s="3">
        <v>2236</v>
      </c>
      <c r="M875" s="3">
        <v>73</v>
      </c>
      <c r="N875" s="4">
        <v>45517</v>
      </c>
      <c r="O875" s="10">
        <v>309152.25579999998</v>
      </c>
      <c r="P875" s="1">
        <f>$C$3+F875*$C$4+H875*$C$6+J875*$C$8+K875*$C$9+L875*$C$10+M875*$C$11</f>
        <v>307072.79924882273</v>
      </c>
      <c r="Q875" s="1">
        <f>(O875-P875)/O875</f>
        <v>6.7263185442273353E-3</v>
      </c>
      <c r="R875" s="1"/>
      <c r="S875" s="1"/>
    </row>
    <row r="876" spans="1:19" x14ac:dyDescent="0.3">
      <c r="A876" s="2">
        <v>284</v>
      </c>
      <c r="B876" s="3" t="s">
        <v>16</v>
      </c>
      <c r="C876" s="3" t="s">
        <v>183</v>
      </c>
      <c r="D876" s="3" t="s">
        <v>18</v>
      </c>
      <c r="E876" s="3" t="s">
        <v>21</v>
      </c>
      <c r="F876" s="3">
        <f>IF(D876="Urban",1,0)</f>
        <v>1</v>
      </c>
      <c r="G876" s="3">
        <v>21800</v>
      </c>
      <c r="H876" s="3">
        <v>1</v>
      </c>
      <c r="I876" s="3">
        <v>59687</v>
      </c>
      <c r="J876" s="3">
        <f>IF(E876="Cold",1,0)</f>
        <v>0</v>
      </c>
      <c r="K876" s="3">
        <f>IF(E876="Hot",1,0)</f>
        <v>1</v>
      </c>
      <c r="L876" s="3">
        <v>1535</v>
      </c>
      <c r="M876" s="3">
        <v>96</v>
      </c>
      <c r="N876" s="4">
        <v>43839</v>
      </c>
      <c r="O876" s="10">
        <v>373263.77260000003</v>
      </c>
      <c r="P876" s="1">
        <f>$C$3+F876*$C$4+H876*$C$6+J876*$C$8+K876*$C$9+L876*$C$10+M876*$C$11</f>
        <v>370812.83485156234</v>
      </c>
      <c r="Q876" s="1">
        <f>(O876-P876)/O876</f>
        <v>6.5662352694060748E-3</v>
      </c>
      <c r="R876" s="1"/>
      <c r="S876" s="1"/>
    </row>
    <row r="877" spans="1:19" x14ac:dyDescent="0.3">
      <c r="A877" s="2">
        <v>902</v>
      </c>
      <c r="B877" s="3" t="s">
        <v>74</v>
      </c>
      <c r="C877" s="3" t="s">
        <v>106</v>
      </c>
      <c r="D877" s="3" t="s">
        <v>18</v>
      </c>
      <c r="E877" s="3" t="s">
        <v>23</v>
      </c>
      <c r="F877" s="3">
        <f>IF(D877="Urban",1,0)</f>
        <v>1</v>
      </c>
      <c r="G877" s="3">
        <v>10411</v>
      </c>
      <c r="H877" s="3">
        <v>8</v>
      </c>
      <c r="I877" s="3">
        <v>99807</v>
      </c>
      <c r="J877" s="3">
        <f>IF(E877="Cold",1,0)</f>
        <v>0</v>
      </c>
      <c r="K877" s="3">
        <f>IF(E877="Hot",1,0)</f>
        <v>0</v>
      </c>
      <c r="L877" s="3">
        <v>1016</v>
      </c>
      <c r="M877" s="3">
        <v>52</v>
      </c>
      <c r="N877" s="4">
        <v>44131</v>
      </c>
      <c r="O877" s="10">
        <v>341137.58010000002</v>
      </c>
      <c r="P877" s="1">
        <f>$C$3+F877*$C$4+H877*$C$6+J877*$C$8+K877*$C$9+L877*$C$10+M877*$C$11</f>
        <v>338958.00917107175</v>
      </c>
      <c r="Q877" s="1">
        <f>(O877-P877)/O877</f>
        <v>6.3891258426859773E-3</v>
      </c>
      <c r="R877" s="1"/>
      <c r="S877" s="1"/>
    </row>
    <row r="878" spans="1:19" x14ac:dyDescent="0.3">
      <c r="A878" s="2">
        <v>897</v>
      </c>
      <c r="B878" s="3" t="s">
        <v>74</v>
      </c>
      <c r="C878" s="3" t="s">
        <v>153</v>
      </c>
      <c r="D878" s="3" t="s">
        <v>18</v>
      </c>
      <c r="E878" s="3" t="s">
        <v>21</v>
      </c>
      <c r="F878" s="3">
        <f>IF(D878="Urban",1,0)</f>
        <v>1</v>
      </c>
      <c r="G878" s="3">
        <v>25586</v>
      </c>
      <c r="H878" s="3">
        <v>8</v>
      </c>
      <c r="I878" s="3">
        <v>80371</v>
      </c>
      <c r="J878" s="3">
        <f>IF(E878="Cold",1,0)</f>
        <v>0</v>
      </c>
      <c r="K878" s="3">
        <f>IF(E878="Hot",1,0)</f>
        <v>1</v>
      </c>
      <c r="L878" s="3">
        <v>2949</v>
      </c>
      <c r="M878" s="3">
        <v>81</v>
      </c>
      <c r="N878" s="4">
        <v>45157</v>
      </c>
      <c r="O878" s="10">
        <v>390233.53810000001</v>
      </c>
      <c r="P878" s="1">
        <f>$C$3+F878*$C$4+H878*$C$6+J878*$C$8+K878*$C$9+L878*$C$10+M878*$C$11</f>
        <v>387757.97044603067</v>
      </c>
      <c r="Q878" s="1">
        <f>(O878-P878)/O878</f>
        <v>6.3438105961434732E-3</v>
      </c>
      <c r="R878" s="1"/>
      <c r="S878" s="1"/>
    </row>
    <row r="879" spans="1:19" x14ac:dyDescent="0.3">
      <c r="A879" s="2">
        <v>952</v>
      </c>
      <c r="B879" s="3" t="s">
        <v>74</v>
      </c>
      <c r="C879" s="3" t="s">
        <v>75</v>
      </c>
      <c r="D879" s="3" t="s">
        <v>14</v>
      </c>
      <c r="E879" s="3" t="s">
        <v>21</v>
      </c>
      <c r="F879" s="3">
        <f>IF(D879="Urban",1,0)</f>
        <v>0</v>
      </c>
      <c r="G879" s="3">
        <v>28583</v>
      </c>
      <c r="H879" s="3">
        <v>3</v>
      </c>
      <c r="I879" s="3">
        <v>56344</v>
      </c>
      <c r="J879" s="3">
        <f>IF(E879="Cold",1,0)</f>
        <v>0</v>
      </c>
      <c r="K879" s="3">
        <f>IF(E879="Hot",1,0)</f>
        <v>1</v>
      </c>
      <c r="L879" s="3">
        <v>1833</v>
      </c>
      <c r="M879" s="3">
        <v>21</v>
      </c>
      <c r="N879" s="4">
        <v>45002</v>
      </c>
      <c r="O879" s="10">
        <v>308964.22509999998</v>
      </c>
      <c r="P879" s="1">
        <f>$C$3+F879*$C$4+H879*$C$6+J879*$C$8+K879*$C$9+L879*$C$10+M879*$C$11</f>
        <v>307024.35834746296</v>
      </c>
      <c r="Q879" s="1">
        <f>(O879-P879)/O879</f>
        <v>6.2786128455783654E-3</v>
      </c>
      <c r="R879" s="1"/>
      <c r="S879" s="1"/>
    </row>
    <row r="880" spans="1:19" x14ac:dyDescent="0.3">
      <c r="A880" s="2">
        <v>276</v>
      </c>
      <c r="B880" s="3" t="s">
        <v>33</v>
      </c>
      <c r="C880" s="3" t="s">
        <v>34</v>
      </c>
      <c r="D880" s="3" t="s">
        <v>18</v>
      </c>
      <c r="E880" s="3" t="s">
        <v>15</v>
      </c>
      <c r="F880" s="3">
        <f>IF(D880="Urban",1,0)</f>
        <v>1</v>
      </c>
      <c r="G880" s="3">
        <v>1868</v>
      </c>
      <c r="H880" s="3">
        <v>5</v>
      </c>
      <c r="I880" s="3">
        <v>88304</v>
      </c>
      <c r="J880" s="3">
        <f>IF(E880="Cold",1,0)</f>
        <v>1</v>
      </c>
      <c r="K880" s="3">
        <f>IF(E880="Hot",1,0)</f>
        <v>0</v>
      </c>
      <c r="L880" s="3">
        <v>2807</v>
      </c>
      <c r="M880" s="3">
        <v>43</v>
      </c>
      <c r="N880" s="4">
        <v>45187</v>
      </c>
      <c r="O880" s="10">
        <v>358020.28869999998</v>
      </c>
      <c r="P880" s="1">
        <f>$C$3+F880*$C$4+H880*$C$6+J880*$C$8+K880*$C$9+L880*$C$10+M880*$C$11</f>
        <v>355839.79935858503</v>
      </c>
      <c r="Q880" s="1">
        <f>(O880-P880)/O880</f>
        <v>6.0904071926551158E-3</v>
      </c>
      <c r="R880" s="1"/>
      <c r="S880" s="1"/>
    </row>
    <row r="881" spans="1:19" x14ac:dyDescent="0.3">
      <c r="A881" s="2">
        <v>463</v>
      </c>
      <c r="B881" s="3" t="s">
        <v>53</v>
      </c>
      <c r="C881" s="3" t="s">
        <v>152</v>
      </c>
      <c r="D881" s="3" t="s">
        <v>18</v>
      </c>
      <c r="E881" s="3" t="s">
        <v>23</v>
      </c>
      <c r="F881" s="3">
        <f>IF(D881="Urban",1,0)</f>
        <v>1</v>
      </c>
      <c r="G881" s="3">
        <v>2094</v>
      </c>
      <c r="H881" s="3">
        <v>3</v>
      </c>
      <c r="I881" s="3">
        <v>82115</v>
      </c>
      <c r="J881" s="3">
        <f>IF(E881="Cold",1,0)</f>
        <v>0</v>
      </c>
      <c r="K881" s="3">
        <f>IF(E881="Hot",1,0)</f>
        <v>0</v>
      </c>
      <c r="L881" s="3">
        <v>2676</v>
      </c>
      <c r="M881" s="3">
        <v>48</v>
      </c>
      <c r="N881" s="4">
        <v>44718</v>
      </c>
      <c r="O881" s="10">
        <v>377779.73749999999</v>
      </c>
      <c r="P881" s="1">
        <f>$C$3+F881*$C$4+H881*$C$6+J881*$C$8+K881*$C$9+L881*$C$10+M881*$C$11</f>
        <v>375604.2814460051</v>
      </c>
      <c r="Q881" s="1">
        <f>(O881-P881)/O881</f>
        <v>5.7585302705518635E-3</v>
      </c>
      <c r="R881" s="1"/>
      <c r="S881" s="1"/>
    </row>
    <row r="882" spans="1:19" x14ac:dyDescent="0.3">
      <c r="A882" s="2">
        <v>722</v>
      </c>
      <c r="B882" s="3" t="s">
        <v>122</v>
      </c>
      <c r="C882" s="3" t="s">
        <v>222</v>
      </c>
      <c r="D882" s="3" t="s">
        <v>14</v>
      </c>
      <c r="E882" s="3" t="s">
        <v>21</v>
      </c>
      <c r="F882" s="3">
        <f>IF(D882="Urban",1,0)</f>
        <v>0</v>
      </c>
      <c r="G882" s="3">
        <v>12033</v>
      </c>
      <c r="H882" s="3">
        <v>2</v>
      </c>
      <c r="I882" s="3">
        <v>59827</v>
      </c>
      <c r="J882" s="3">
        <f>IF(E882="Cold",1,0)</f>
        <v>0</v>
      </c>
      <c r="K882" s="3">
        <f>IF(E882="Hot",1,0)</f>
        <v>1</v>
      </c>
      <c r="L882" s="3">
        <v>1135</v>
      </c>
      <c r="M882" s="3">
        <v>24</v>
      </c>
      <c r="N882" s="4">
        <v>44687</v>
      </c>
      <c r="O882" s="10">
        <v>296579.1201</v>
      </c>
      <c r="P882" s="1">
        <f>$C$3+F882*$C$4+H882*$C$6+J882*$C$8+K882*$C$9+L882*$C$10+M882*$C$11</f>
        <v>294969.12472315447</v>
      </c>
      <c r="Q882" s="1">
        <f>(O882-P882)/O882</f>
        <v>5.4285526786331936E-3</v>
      </c>
      <c r="R882" s="1"/>
      <c r="S882" s="1"/>
    </row>
    <row r="883" spans="1:19" x14ac:dyDescent="0.3">
      <c r="A883" s="2">
        <v>163</v>
      </c>
      <c r="B883" s="3" t="s">
        <v>19</v>
      </c>
      <c r="C883" s="3" t="s">
        <v>60</v>
      </c>
      <c r="D883" s="3" t="s">
        <v>18</v>
      </c>
      <c r="E883" s="3" t="s">
        <v>21</v>
      </c>
      <c r="F883" s="3">
        <f>IF(D883="Urban",1,0)</f>
        <v>1</v>
      </c>
      <c r="G883" s="3">
        <v>11499</v>
      </c>
      <c r="H883" s="3">
        <v>1</v>
      </c>
      <c r="I883" s="3">
        <v>56617</v>
      </c>
      <c r="J883" s="3">
        <f>IF(E883="Cold",1,0)</f>
        <v>0</v>
      </c>
      <c r="K883" s="3">
        <f>IF(E883="Hot",1,0)</f>
        <v>1</v>
      </c>
      <c r="L883" s="3">
        <v>2999</v>
      </c>
      <c r="M883" s="3">
        <v>31</v>
      </c>
      <c r="N883" s="4">
        <v>45512</v>
      </c>
      <c r="O883" s="10">
        <v>381980.54969999997</v>
      </c>
      <c r="P883" s="1">
        <f>$C$3+F883*$C$4+H883*$C$6+J883*$C$8+K883*$C$9+L883*$C$10+M883*$C$11</f>
        <v>379995.00492347969</v>
      </c>
      <c r="Q883" s="1">
        <f>(O883-P883)/O883</f>
        <v>5.198025863043792E-3</v>
      </c>
      <c r="R883" s="1"/>
      <c r="S883" s="1"/>
    </row>
    <row r="884" spans="1:19" x14ac:dyDescent="0.3">
      <c r="A884" s="2">
        <v>481</v>
      </c>
      <c r="B884" s="3" t="s">
        <v>26</v>
      </c>
      <c r="C884" s="3" t="s">
        <v>27</v>
      </c>
      <c r="D884" s="3" t="s">
        <v>14</v>
      </c>
      <c r="E884" s="3" t="s">
        <v>23</v>
      </c>
      <c r="F884" s="3">
        <f>IF(D884="Urban",1,0)</f>
        <v>0</v>
      </c>
      <c r="G884" s="3">
        <v>3005</v>
      </c>
      <c r="H884" s="3">
        <v>8</v>
      </c>
      <c r="I884" s="3">
        <v>58012</v>
      </c>
      <c r="J884" s="3">
        <f>IF(E884="Cold",1,0)</f>
        <v>0</v>
      </c>
      <c r="K884" s="3">
        <f>IF(E884="Hot",1,0)</f>
        <v>0</v>
      </c>
      <c r="L884" s="3">
        <v>1297</v>
      </c>
      <c r="M884" s="3">
        <v>43</v>
      </c>
      <c r="N884" s="4">
        <v>45220</v>
      </c>
      <c r="O884" s="10">
        <v>298527.45730000001</v>
      </c>
      <c r="P884" s="1">
        <f>$C$3+F884*$C$4+H884*$C$6+J884*$C$8+K884*$C$9+L884*$C$10+M884*$C$11</f>
        <v>297073.64027512516</v>
      </c>
      <c r="Q884" s="1">
        <f>(O884-P884)/O884</f>
        <v>4.869960833833324E-3</v>
      </c>
      <c r="R884" s="1"/>
      <c r="S884" s="1"/>
    </row>
    <row r="885" spans="1:19" x14ac:dyDescent="0.3">
      <c r="A885" s="2">
        <v>720</v>
      </c>
      <c r="B885" s="3" t="s">
        <v>55</v>
      </c>
      <c r="C885" s="3" t="s">
        <v>105</v>
      </c>
      <c r="D885" s="3" t="s">
        <v>18</v>
      </c>
      <c r="E885" s="3" t="s">
        <v>23</v>
      </c>
      <c r="F885" s="3">
        <f>IF(D885="Urban",1,0)</f>
        <v>1</v>
      </c>
      <c r="G885" s="3">
        <v>8715</v>
      </c>
      <c r="H885" s="3">
        <v>6</v>
      </c>
      <c r="I885" s="3">
        <v>56461</v>
      </c>
      <c r="J885" s="3">
        <f>IF(E885="Cold",1,0)</f>
        <v>0</v>
      </c>
      <c r="K885" s="3">
        <f>IF(E885="Hot",1,0)</f>
        <v>0</v>
      </c>
      <c r="L885" s="3">
        <v>1659</v>
      </c>
      <c r="M885" s="3">
        <v>46</v>
      </c>
      <c r="N885" s="4">
        <v>44838</v>
      </c>
      <c r="O885" s="10">
        <v>353517.0392</v>
      </c>
      <c r="P885" s="1">
        <f>$C$3+F885*$C$4+H885*$C$6+J885*$C$8+K885*$C$9+L885*$C$10+M885*$C$11</f>
        <v>351841.20787262637</v>
      </c>
      <c r="Q885" s="1">
        <f>(O885-P885)/O885</f>
        <v>4.7404541833853068E-3</v>
      </c>
      <c r="R885" s="1"/>
      <c r="S885" s="1"/>
    </row>
    <row r="886" spans="1:19" x14ac:dyDescent="0.3">
      <c r="A886" s="2">
        <v>471</v>
      </c>
      <c r="B886" s="3" t="s">
        <v>26</v>
      </c>
      <c r="C886" s="3" t="s">
        <v>47</v>
      </c>
      <c r="D886" s="3" t="s">
        <v>14</v>
      </c>
      <c r="E886" s="3" t="s">
        <v>15</v>
      </c>
      <c r="F886" s="3">
        <f>IF(D886="Urban",1,0)</f>
        <v>0</v>
      </c>
      <c r="G886" s="3">
        <v>19656</v>
      </c>
      <c r="H886" s="3">
        <v>1</v>
      </c>
      <c r="I886" s="3">
        <v>69936</v>
      </c>
      <c r="J886" s="3">
        <f>IF(E886="Cold",1,0)</f>
        <v>1</v>
      </c>
      <c r="K886" s="3">
        <f>IF(E886="Hot",1,0)</f>
        <v>0</v>
      </c>
      <c r="L886" s="3">
        <v>2850</v>
      </c>
      <c r="M886" s="3">
        <v>89</v>
      </c>
      <c r="N886" s="4">
        <v>44927</v>
      </c>
      <c r="O886" s="10">
        <v>331480.2819</v>
      </c>
      <c r="P886" s="1">
        <f>$C$3+F886*$C$4+H886*$C$6+J886*$C$8+K886*$C$9+L886*$C$10+M886*$C$11</f>
        <v>329958.69481832383</v>
      </c>
      <c r="Q886" s="1">
        <f>(O886-P886)/O886</f>
        <v>4.5902793160264126E-3</v>
      </c>
      <c r="R886" s="1"/>
      <c r="S886" s="1"/>
    </row>
    <row r="887" spans="1:19" x14ac:dyDescent="0.3">
      <c r="A887" s="2">
        <v>177</v>
      </c>
      <c r="B887" s="3" t="s">
        <v>35</v>
      </c>
      <c r="C887" s="3" t="s">
        <v>36</v>
      </c>
      <c r="D887" s="3" t="s">
        <v>18</v>
      </c>
      <c r="E887" s="3" t="s">
        <v>21</v>
      </c>
      <c r="F887" s="3">
        <f>IF(D887="Urban",1,0)</f>
        <v>1</v>
      </c>
      <c r="G887" s="3">
        <v>7580</v>
      </c>
      <c r="H887" s="3">
        <v>9</v>
      </c>
      <c r="I887" s="3">
        <v>52978</v>
      </c>
      <c r="J887" s="3">
        <f>IF(E887="Cold",1,0)</f>
        <v>0</v>
      </c>
      <c r="K887" s="3">
        <f>IF(E887="Hot",1,0)</f>
        <v>1</v>
      </c>
      <c r="L887" s="3">
        <v>2400</v>
      </c>
      <c r="M887" s="3">
        <v>40</v>
      </c>
      <c r="N887" s="4">
        <v>45349</v>
      </c>
      <c r="O887" s="10">
        <v>364855.92979999998</v>
      </c>
      <c r="P887" s="1">
        <f>$C$3+F887*$C$4+H887*$C$6+J887*$C$8+K887*$C$9+L887*$C$10+M887*$C$11</f>
        <v>363214.02062410989</v>
      </c>
      <c r="Q887" s="1">
        <f>(O887-P887)/O887</f>
        <v>4.5001575739501394E-3</v>
      </c>
      <c r="R887" s="1"/>
      <c r="S887" s="1"/>
    </row>
    <row r="888" spans="1:19" x14ac:dyDescent="0.3">
      <c r="A888" s="2">
        <v>977</v>
      </c>
      <c r="B888" s="3" t="s">
        <v>53</v>
      </c>
      <c r="C888" s="3" t="s">
        <v>149</v>
      </c>
      <c r="D888" s="3" t="s">
        <v>14</v>
      </c>
      <c r="E888" s="3" t="s">
        <v>15</v>
      </c>
      <c r="F888" s="3">
        <f>IF(D888="Urban",1,0)</f>
        <v>0</v>
      </c>
      <c r="G888" s="3">
        <v>16099</v>
      </c>
      <c r="H888" s="3">
        <v>6</v>
      </c>
      <c r="I888" s="3">
        <v>60803</v>
      </c>
      <c r="J888" s="3">
        <f>IF(E888="Cold",1,0)</f>
        <v>1</v>
      </c>
      <c r="K888" s="3">
        <f>IF(E888="Hot",1,0)</f>
        <v>0</v>
      </c>
      <c r="L888" s="3">
        <v>1492</v>
      </c>
      <c r="M888" s="3">
        <v>55</v>
      </c>
      <c r="N888" s="4">
        <v>44614</v>
      </c>
      <c r="O888" s="10">
        <v>288925.4804</v>
      </c>
      <c r="P888" s="1">
        <f>$C$3+F888*$C$4+H888*$C$6+J888*$C$8+K888*$C$9+L888*$C$10+M888*$C$11</f>
        <v>287626.71060547431</v>
      </c>
      <c r="Q888" s="1">
        <f>(O888-P888)/O888</f>
        <v>4.4951722247813736E-3</v>
      </c>
      <c r="R888" s="1"/>
      <c r="S888" s="1"/>
    </row>
    <row r="889" spans="1:19" x14ac:dyDescent="0.3">
      <c r="A889" s="2">
        <v>692</v>
      </c>
      <c r="B889" s="3" t="s">
        <v>29</v>
      </c>
      <c r="C889" s="3" t="s">
        <v>83</v>
      </c>
      <c r="D889" s="3" t="s">
        <v>18</v>
      </c>
      <c r="E889" s="3" t="s">
        <v>21</v>
      </c>
      <c r="F889" s="3">
        <f>IF(D889="Urban",1,0)</f>
        <v>1</v>
      </c>
      <c r="G889" s="3">
        <v>19315</v>
      </c>
      <c r="H889" s="3">
        <v>6</v>
      </c>
      <c r="I889" s="3">
        <v>74501</v>
      </c>
      <c r="J889" s="3">
        <f>IF(E889="Cold",1,0)</f>
        <v>0</v>
      </c>
      <c r="K889" s="3">
        <f>IF(E889="Hot",1,0)</f>
        <v>1</v>
      </c>
      <c r="L889" s="3">
        <v>1011</v>
      </c>
      <c r="M889" s="3">
        <v>75</v>
      </c>
      <c r="N889" s="4">
        <v>44360</v>
      </c>
      <c r="O889" s="10">
        <v>350646.38829999999</v>
      </c>
      <c r="P889" s="1">
        <f>$C$3+F889*$C$4+H889*$C$6+J889*$C$8+K889*$C$9+L889*$C$10+M889*$C$11</f>
        <v>349132.02133418556</v>
      </c>
      <c r="Q889" s="1">
        <f>(O889-P889)/O889</f>
        <v>4.3187867217351723E-3</v>
      </c>
      <c r="R889" s="1"/>
      <c r="S889" s="1"/>
    </row>
    <row r="890" spans="1:19" x14ac:dyDescent="0.3">
      <c r="A890" s="2">
        <v>420</v>
      </c>
      <c r="B890" s="3" t="s">
        <v>35</v>
      </c>
      <c r="C890" s="3" t="s">
        <v>200</v>
      </c>
      <c r="D890" s="3" t="s">
        <v>18</v>
      </c>
      <c r="E890" s="3" t="s">
        <v>23</v>
      </c>
      <c r="F890" s="3">
        <f>IF(D890="Urban",1,0)</f>
        <v>1</v>
      </c>
      <c r="G890" s="3">
        <v>4123</v>
      </c>
      <c r="H890" s="3">
        <v>4</v>
      </c>
      <c r="I890" s="3">
        <v>66642</v>
      </c>
      <c r="J890" s="3">
        <f>IF(E890="Cold",1,0)</f>
        <v>0</v>
      </c>
      <c r="K890" s="3">
        <f>IF(E890="Hot",1,0)</f>
        <v>0</v>
      </c>
      <c r="L890" s="3">
        <v>1764</v>
      </c>
      <c r="M890" s="3">
        <v>28</v>
      </c>
      <c r="N890" s="4">
        <v>44398</v>
      </c>
      <c r="O890" s="10">
        <v>351766.57520000002</v>
      </c>
      <c r="P890" s="1">
        <f>$C$3+F890*$C$4+H890*$C$6+J890*$C$8+K890*$C$9+L890*$C$10+M890*$C$11</f>
        <v>350288.75291368581</v>
      </c>
      <c r="Q890" s="1">
        <f>(O890-P890)/O890</f>
        <v>4.2011447093118085E-3</v>
      </c>
      <c r="R890" s="1"/>
      <c r="S890" s="1"/>
    </row>
    <row r="891" spans="1:19" x14ac:dyDescent="0.3">
      <c r="A891" s="2">
        <v>64</v>
      </c>
      <c r="B891" s="3" t="s">
        <v>57</v>
      </c>
      <c r="C891" s="3" t="s">
        <v>86</v>
      </c>
      <c r="D891" s="3" t="s">
        <v>18</v>
      </c>
      <c r="E891" s="3" t="s">
        <v>23</v>
      </c>
      <c r="F891" s="3">
        <f>IF(D891="Urban",1,0)</f>
        <v>1</v>
      </c>
      <c r="G891" s="3">
        <v>13466</v>
      </c>
      <c r="H891" s="3">
        <v>7</v>
      </c>
      <c r="I891" s="3">
        <v>67969</v>
      </c>
      <c r="J891" s="3">
        <f>IF(E891="Cold",1,0)</f>
        <v>0</v>
      </c>
      <c r="K891" s="3">
        <f>IF(E891="Hot",1,0)</f>
        <v>0</v>
      </c>
      <c r="L891" s="3">
        <v>2661</v>
      </c>
      <c r="M891" s="3">
        <v>73</v>
      </c>
      <c r="N891" s="4">
        <v>45045</v>
      </c>
      <c r="O891" s="10">
        <v>380768.9964</v>
      </c>
      <c r="P891" s="1">
        <f>$C$3+F891*$C$4+H891*$C$6+J891*$C$8+K891*$C$9+L891*$C$10+M891*$C$11</f>
        <v>379210.28588693717</v>
      </c>
      <c r="Q891" s="1">
        <f>(O891-P891)/O891</f>
        <v>4.0935856852835758E-3</v>
      </c>
      <c r="R891" s="1"/>
      <c r="S891" s="1"/>
    </row>
    <row r="892" spans="1:19" x14ac:dyDescent="0.3">
      <c r="A892" s="2">
        <v>872</v>
      </c>
      <c r="B892" s="3" t="s">
        <v>26</v>
      </c>
      <c r="C892" s="3" t="s">
        <v>93</v>
      </c>
      <c r="D892" s="3" t="s">
        <v>14</v>
      </c>
      <c r="E892" s="3" t="s">
        <v>15</v>
      </c>
      <c r="F892" s="3">
        <f>IF(D892="Urban",1,0)</f>
        <v>0</v>
      </c>
      <c r="G892" s="3">
        <v>8512</v>
      </c>
      <c r="H892" s="3">
        <v>6</v>
      </c>
      <c r="I892" s="3">
        <v>82558</v>
      </c>
      <c r="J892" s="3">
        <f>IF(E892="Cold",1,0)</f>
        <v>1</v>
      </c>
      <c r="K892" s="3">
        <f>IF(E892="Hot",1,0)</f>
        <v>0</v>
      </c>
      <c r="L892" s="3">
        <v>2053</v>
      </c>
      <c r="M892" s="3">
        <v>20</v>
      </c>
      <c r="N892" s="4">
        <v>44059</v>
      </c>
      <c r="O892" s="10">
        <v>289193.71490000002</v>
      </c>
      <c r="P892" s="1">
        <f>$C$3+F892*$C$4+H892*$C$6+J892*$C$8+K892*$C$9+L892*$C$10+M892*$C$11</f>
        <v>288034.56489274319</v>
      </c>
      <c r="Q892" s="1">
        <f>(O892-P892)/O892</f>
        <v>4.008212998880877E-3</v>
      </c>
      <c r="R892" s="1"/>
      <c r="S892" s="1"/>
    </row>
    <row r="893" spans="1:19" x14ac:dyDescent="0.3">
      <c r="A893" s="2">
        <v>636</v>
      </c>
      <c r="B893" s="3" t="s">
        <v>31</v>
      </c>
      <c r="C893" s="3" t="s">
        <v>146</v>
      </c>
      <c r="D893" s="3" t="s">
        <v>18</v>
      </c>
      <c r="E893" s="3" t="s">
        <v>21</v>
      </c>
      <c r="F893" s="3">
        <f>IF(D893="Urban",1,0)</f>
        <v>1</v>
      </c>
      <c r="G893" s="3">
        <v>1580</v>
      </c>
      <c r="H893" s="3">
        <v>8</v>
      </c>
      <c r="I893" s="3">
        <v>90740</v>
      </c>
      <c r="J893" s="3">
        <f>IF(E893="Cold",1,0)</f>
        <v>0</v>
      </c>
      <c r="K893" s="3">
        <f>IF(E893="Hot",1,0)</f>
        <v>1</v>
      </c>
      <c r="L893" s="3">
        <v>2612</v>
      </c>
      <c r="M893" s="3">
        <v>53</v>
      </c>
      <c r="N893" s="4">
        <v>44800</v>
      </c>
      <c r="O893" s="10">
        <v>373894.22940000001</v>
      </c>
      <c r="P893" s="1">
        <f>$C$3+F893*$C$4+H893*$C$6+J893*$C$8+K893*$C$9+L893*$C$10+M893*$C$11</f>
        <v>372402.00344896887</v>
      </c>
      <c r="Q893" s="1">
        <f>(O893-P893)/O893</f>
        <v>3.9910376617092059E-3</v>
      </c>
      <c r="R893" s="1"/>
      <c r="S893" s="1"/>
    </row>
    <row r="894" spans="1:19" x14ac:dyDescent="0.3">
      <c r="A894" s="2">
        <v>352</v>
      </c>
      <c r="B894" s="3" t="s">
        <v>57</v>
      </c>
      <c r="C894" s="3" t="s">
        <v>78</v>
      </c>
      <c r="D894" s="3" t="s">
        <v>14</v>
      </c>
      <c r="E894" s="3" t="s">
        <v>15</v>
      </c>
      <c r="F894" s="3">
        <f>IF(D894="Urban",1,0)</f>
        <v>0</v>
      </c>
      <c r="G894" s="3">
        <v>3694</v>
      </c>
      <c r="H894" s="3">
        <v>3</v>
      </c>
      <c r="I894" s="3">
        <v>75256</v>
      </c>
      <c r="J894" s="3">
        <f>IF(E894="Cold",1,0)</f>
        <v>1</v>
      </c>
      <c r="K894" s="3">
        <f>IF(E894="Hot",1,0)</f>
        <v>0</v>
      </c>
      <c r="L894" s="3">
        <v>1295</v>
      </c>
      <c r="M894" s="3">
        <v>79</v>
      </c>
      <c r="N894" s="4">
        <v>45531</v>
      </c>
      <c r="O894" s="10">
        <v>295112.06809999997</v>
      </c>
      <c r="P894" s="1">
        <f>$C$3+F894*$C$4+H894*$C$6+J894*$C$8+K894*$C$9+L894*$C$10+M894*$C$11</f>
        <v>293942.9853697748</v>
      </c>
      <c r="Q894" s="1">
        <f>(O894-P894)/O894</f>
        <v>3.9614873690255945E-3</v>
      </c>
      <c r="R894" s="1"/>
      <c r="S894" s="1"/>
    </row>
    <row r="895" spans="1:19" x14ac:dyDescent="0.3">
      <c r="A895" s="2">
        <v>518</v>
      </c>
      <c r="B895" s="3" t="s">
        <v>29</v>
      </c>
      <c r="C895" s="3" t="s">
        <v>132</v>
      </c>
      <c r="D895" s="3" t="s">
        <v>18</v>
      </c>
      <c r="E895" s="3" t="s">
        <v>21</v>
      </c>
      <c r="F895" s="3">
        <f>IF(D895="Urban",1,0)</f>
        <v>1</v>
      </c>
      <c r="G895" s="3">
        <v>19516</v>
      </c>
      <c r="H895" s="3">
        <v>3</v>
      </c>
      <c r="I895" s="3">
        <v>60070</v>
      </c>
      <c r="J895" s="3">
        <f>IF(E895="Cold",1,0)</f>
        <v>0</v>
      </c>
      <c r="K895" s="3">
        <f>IF(E895="Hot",1,0)</f>
        <v>1</v>
      </c>
      <c r="L895" s="3">
        <v>1056</v>
      </c>
      <c r="M895" s="3">
        <v>21</v>
      </c>
      <c r="N895" s="4">
        <v>44004</v>
      </c>
      <c r="O895" s="10">
        <v>337503.06060000003</v>
      </c>
      <c r="P895" s="1">
        <f>$C$3+F895*$C$4+H895*$C$6+J895*$C$8+K895*$C$9+L895*$C$10+M895*$C$11</f>
        <v>336235.95980983996</v>
      </c>
      <c r="Q895" s="1">
        <f>(O895-P895)/O895</f>
        <v>3.7543386655737717E-3</v>
      </c>
      <c r="R895" s="1"/>
      <c r="S895" s="1"/>
    </row>
    <row r="896" spans="1:19" x14ac:dyDescent="0.3">
      <c r="A896" s="2">
        <v>849</v>
      </c>
      <c r="B896" s="3" t="s">
        <v>122</v>
      </c>
      <c r="C896" s="3" t="s">
        <v>222</v>
      </c>
      <c r="D896" s="3" t="s">
        <v>18</v>
      </c>
      <c r="E896" s="3" t="s">
        <v>23</v>
      </c>
      <c r="F896" s="3">
        <f>IF(D896="Urban",1,0)</f>
        <v>1</v>
      </c>
      <c r="G896" s="3">
        <v>24298</v>
      </c>
      <c r="H896" s="3">
        <v>5</v>
      </c>
      <c r="I896" s="3">
        <v>53755</v>
      </c>
      <c r="J896" s="3">
        <f>IF(E896="Cold",1,0)</f>
        <v>0</v>
      </c>
      <c r="K896" s="3">
        <f>IF(E896="Hot",1,0)</f>
        <v>0</v>
      </c>
      <c r="L896" s="3">
        <v>1488</v>
      </c>
      <c r="M896" s="3">
        <v>71</v>
      </c>
      <c r="N896" s="4">
        <v>44447</v>
      </c>
      <c r="O896" s="10">
        <v>358346.609</v>
      </c>
      <c r="P896" s="1">
        <f>$C$3+F896*$C$4+H896*$C$6+J896*$C$8+K896*$C$9+L896*$C$10+M896*$C$11</f>
        <v>357084.40067873162</v>
      </c>
      <c r="Q896" s="1">
        <f>(O896-P896)/O896</f>
        <v>3.5223113308946626E-3</v>
      </c>
      <c r="R896" s="1"/>
      <c r="S896" s="1"/>
    </row>
    <row r="897" spans="1:19" x14ac:dyDescent="0.3">
      <c r="A897" s="2">
        <v>482</v>
      </c>
      <c r="B897" s="3" t="s">
        <v>72</v>
      </c>
      <c r="C897" s="3" t="s">
        <v>167</v>
      </c>
      <c r="D897" s="3" t="s">
        <v>18</v>
      </c>
      <c r="E897" s="3" t="s">
        <v>21</v>
      </c>
      <c r="F897" s="3">
        <f>IF(D897="Urban",1,0)</f>
        <v>1</v>
      </c>
      <c r="G897" s="3">
        <v>14503</v>
      </c>
      <c r="H897" s="3">
        <v>3</v>
      </c>
      <c r="I897" s="3">
        <v>64521</v>
      </c>
      <c r="J897" s="3">
        <f>IF(E897="Cold",1,0)</f>
        <v>0</v>
      </c>
      <c r="K897" s="3">
        <f>IF(E897="Hot",1,0)</f>
        <v>1</v>
      </c>
      <c r="L897" s="3">
        <v>2780</v>
      </c>
      <c r="M897" s="3">
        <v>36</v>
      </c>
      <c r="N897" s="4">
        <v>43981</v>
      </c>
      <c r="O897" s="10">
        <v>376543.93050000002</v>
      </c>
      <c r="P897" s="1">
        <f>$C$3+F897*$C$4+H897*$C$6+J897*$C$8+K897*$C$9+L897*$C$10+M897*$C$11</f>
        <v>375265.36567886837</v>
      </c>
      <c r="Q897" s="1">
        <f>(O897-P897)/O897</f>
        <v>3.3955263053473753E-3</v>
      </c>
      <c r="R897" s="1"/>
      <c r="S897" s="1"/>
    </row>
    <row r="898" spans="1:19" x14ac:dyDescent="0.3">
      <c r="A898" s="2">
        <v>419</v>
      </c>
      <c r="B898" s="3" t="s">
        <v>57</v>
      </c>
      <c r="C898" s="3" t="s">
        <v>162</v>
      </c>
      <c r="D898" s="3" t="s">
        <v>14</v>
      </c>
      <c r="E898" s="3" t="s">
        <v>21</v>
      </c>
      <c r="F898" s="3">
        <f>IF(D898="Urban",1,0)</f>
        <v>0</v>
      </c>
      <c r="G898" s="3">
        <v>3658</v>
      </c>
      <c r="H898" s="3">
        <v>2</v>
      </c>
      <c r="I898" s="3">
        <v>55055</v>
      </c>
      <c r="J898" s="3">
        <f>IF(E898="Cold",1,0)</f>
        <v>0</v>
      </c>
      <c r="K898" s="3">
        <f>IF(E898="Hot",1,0)</f>
        <v>1</v>
      </c>
      <c r="L898" s="3">
        <v>2970</v>
      </c>
      <c r="M898" s="3">
        <v>91</v>
      </c>
      <c r="N898" s="4">
        <v>44532</v>
      </c>
      <c r="O898" s="10">
        <v>353407.8518</v>
      </c>
      <c r="P898" s="1">
        <f>$C$3+F898*$C$4+H898*$C$6+J898*$C$8+K898*$C$9+L898*$C$10+M898*$C$11</f>
        <v>352241.72492067813</v>
      </c>
      <c r="Q898" s="1">
        <f>(O898-P898)/O898</f>
        <v>3.2996631890957803E-3</v>
      </c>
      <c r="R898" s="1"/>
      <c r="S898" s="1"/>
    </row>
    <row r="899" spans="1:19" x14ac:dyDescent="0.3">
      <c r="A899" s="2">
        <v>573</v>
      </c>
      <c r="B899" s="3" t="s">
        <v>12</v>
      </c>
      <c r="C899" s="3" t="s">
        <v>50</v>
      </c>
      <c r="D899" s="3" t="s">
        <v>18</v>
      </c>
      <c r="E899" s="3" t="s">
        <v>15</v>
      </c>
      <c r="F899" s="3">
        <f>IF(D899="Urban",1,0)</f>
        <v>1</v>
      </c>
      <c r="G899" s="3">
        <v>7031</v>
      </c>
      <c r="H899" s="3">
        <v>0</v>
      </c>
      <c r="I899" s="3">
        <v>82244</v>
      </c>
      <c r="J899" s="3">
        <f>IF(E899="Cold",1,0)</f>
        <v>1</v>
      </c>
      <c r="K899" s="3">
        <f>IF(E899="Hot",1,0)</f>
        <v>0</v>
      </c>
      <c r="L899" s="3">
        <v>2705</v>
      </c>
      <c r="M899" s="3">
        <v>54</v>
      </c>
      <c r="N899" s="4">
        <v>44232</v>
      </c>
      <c r="O899" s="10">
        <v>363113.43359999999</v>
      </c>
      <c r="P899" s="1">
        <f>$C$3+F899*$C$4+H899*$C$6+J899*$C$8+K899*$C$9+L899*$C$10+M899*$C$11</f>
        <v>361945.19882082986</v>
      </c>
      <c r="Q899" s="1">
        <f>(O899-P899)/O899</f>
        <v>3.2172722655506082E-3</v>
      </c>
      <c r="R899" s="1"/>
      <c r="S899" s="1"/>
    </row>
    <row r="900" spans="1:19" x14ac:dyDescent="0.3">
      <c r="A900" s="2">
        <v>426</v>
      </c>
      <c r="B900" s="3" t="s">
        <v>74</v>
      </c>
      <c r="C900" s="3" t="s">
        <v>153</v>
      </c>
      <c r="D900" s="3" t="s">
        <v>18</v>
      </c>
      <c r="E900" s="3" t="s">
        <v>23</v>
      </c>
      <c r="F900" s="3">
        <f>IF(D900="Urban",1,0)</f>
        <v>1</v>
      </c>
      <c r="G900" s="3">
        <v>24371</v>
      </c>
      <c r="H900" s="3">
        <v>4</v>
      </c>
      <c r="I900" s="3">
        <v>57913</v>
      </c>
      <c r="J900" s="3">
        <f>IF(E900="Cold",1,0)</f>
        <v>0</v>
      </c>
      <c r="K900" s="3">
        <f>IF(E900="Hot",1,0)</f>
        <v>0</v>
      </c>
      <c r="L900" s="3">
        <v>1799</v>
      </c>
      <c r="M900" s="3">
        <v>52</v>
      </c>
      <c r="N900" s="4">
        <v>44906</v>
      </c>
      <c r="O900" s="10">
        <v>359532.59120000002</v>
      </c>
      <c r="P900" s="1">
        <f>$C$3+F900*$C$4+H900*$C$6+J900*$C$8+K900*$C$9+L900*$C$10+M900*$C$11</f>
        <v>358384.77047344053</v>
      </c>
      <c r="Q900" s="1">
        <f>(O900-P900)/O900</f>
        <v>3.1925359610055215E-3</v>
      </c>
      <c r="R900" s="1"/>
      <c r="S900" s="1"/>
    </row>
    <row r="901" spans="1:19" x14ac:dyDescent="0.3">
      <c r="A901" s="2">
        <v>17</v>
      </c>
      <c r="B901" s="3" t="s">
        <v>28</v>
      </c>
      <c r="C901" s="3" t="s">
        <v>46</v>
      </c>
      <c r="D901" s="3" t="s">
        <v>14</v>
      </c>
      <c r="E901" s="3" t="s">
        <v>23</v>
      </c>
      <c r="F901" s="3">
        <f>IF(D901="Urban",1,0)</f>
        <v>0</v>
      </c>
      <c r="G901" s="3">
        <v>24280</v>
      </c>
      <c r="H901" s="3">
        <v>7</v>
      </c>
      <c r="I901" s="3">
        <v>76986</v>
      </c>
      <c r="J901" s="3">
        <f>IF(E901="Cold",1,0)</f>
        <v>0</v>
      </c>
      <c r="K901" s="3">
        <f>IF(E901="Hot",1,0)</f>
        <v>0</v>
      </c>
      <c r="L901" s="3">
        <v>1397</v>
      </c>
      <c r="M901" s="3">
        <v>91</v>
      </c>
      <c r="N901" s="4">
        <v>45080</v>
      </c>
      <c r="O901" s="10">
        <v>315720.83100000001</v>
      </c>
      <c r="P901" s="1">
        <f>$C$3+F901*$C$4+H901*$C$6+J901*$C$8+K901*$C$9+L901*$C$10+M901*$C$11</f>
        <v>314814.48456948256</v>
      </c>
      <c r="Q901" s="1">
        <f>(O901-P901)/O901</f>
        <v>2.8707210342970432E-3</v>
      </c>
      <c r="R901" s="1"/>
      <c r="S901" s="1"/>
    </row>
    <row r="902" spans="1:19" x14ac:dyDescent="0.3">
      <c r="A902" s="2">
        <v>356</v>
      </c>
      <c r="B902" s="3" t="s">
        <v>28</v>
      </c>
      <c r="C902" s="3" t="s">
        <v>43</v>
      </c>
      <c r="D902" s="3" t="s">
        <v>18</v>
      </c>
      <c r="E902" s="3" t="s">
        <v>15</v>
      </c>
      <c r="F902" s="3">
        <f>IF(D902="Urban",1,0)</f>
        <v>1</v>
      </c>
      <c r="G902" s="3">
        <v>13581</v>
      </c>
      <c r="H902" s="3">
        <v>3</v>
      </c>
      <c r="I902" s="3">
        <v>76060</v>
      </c>
      <c r="J902" s="3">
        <f>IF(E902="Cold",1,0)</f>
        <v>1</v>
      </c>
      <c r="K902" s="3">
        <f>IF(E902="Hot",1,0)</f>
        <v>0</v>
      </c>
      <c r="L902" s="3">
        <v>2165</v>
      </c>
      <c r="M902" s="3">
        <v>92</v>
      </c>
      <c r="N902" s="4">
        <v>44187</v>
      </c>
      <c r="O902" s="10">
        <v>361066.11180000001</v>
      </c>
      <c r="P902" s="1">
        <f>$C$3+F902*$C$4+H902*$C$6+J902*$C$8+K902*$C$9+L902*$C$10+M902*$C$11</f>
        <v>360030.83973308525</v>
      </c>
      <c r="Q902" s="1">
        <f>(O902-P902)/O902</f>
        <v>2.867264562031843E-3</v>
      </c>
      <c r="R902" s="1"/>
      <c r="S902" s="1"/>
    </row>
    <row r="903" spans="1:19" x14ac:dyDescent="0.3">
      <c r="A903" s="2">
        <v>287</v>
      </c>
      <c r="B903" s="3" t="s">
        <v>26</v>
      </c>
      <c r="C903" s="3" t="s">
        <v>159</v>
      </c>
      <c r="D903" s="3" t="s">
        <v>14</v>
      </c>
      <c r="E903" s="3" t="s">
        <v>15</v>
      </c>
      <c r="F903" s="3">
        <f>IF(D903="Urban",1,0)</f>
        <v>0</v>
      </c>
      <c r="G903" s="3">
        <v>1734</v>
      </c>
      <c r="H903" s="3">
        <v>2</v>
      </c>
      <c r="I903" s="3">
        <v>61355</v>
      </c>
      <c r="J903" s="3">
        <f>IF(E903="Cold",1,0)</f>
        <v>1</v>
      </c>
      <c r="K903" s="3">
        <f>IF(E903="Hot",1,0)</f>
        <v>0</v>
      </c>
      <c r="L903" s="3">
        <v>1976</v>
      </c>
      <c r="M903" s="3">
        <v>45</v>
      </c>
      <c r="N903" s="4">
        <v>45097</v>
      </c>
      <c r="O903" s="10">
        <v>298822.90759999998</v>
      </c>
      <c r="P903" s="1">
        <f>$C$3+F903*$C$4+H903*$C$6+J903*$C$8+K903*$C$9+L903*$C$10+M903*$C$11</f>
        <v>298004.01342612517</v>
      </c>
      <c r="Q903" s="1">
        <f>(O903-P903)/O903</f>
        <v>2.7403995913558633E-3</v>
      </c>
      <c r="R903" s="1"/>
      <c r="S903" s="1"/>
    </row>
    <row r="904" spans="1:19" x14ac:dyDescent="0.3">
      <c r="A904" s="2">
        <v>950</v>
      </c>
      <c r="B904" s="3" t="s">
        <v>28</v>
      </c>
      <c r="C904" s="3" t="s">
        <v>181</v>
      </c>
      <c r="D904" s="3" t="s">
        <v>18</v>
      </c>
      <c r="E904" s="3" t="s">
        <v>21</v>
      </c>
      <c r="F904" s="3">
        <f>IF(D904="Urban",1,0)</f>
        <v>1</v>
      </c>
      <c r="G904" s="3">
        <v>14701</v>
      </c>
      <c r="H904" s="3">
        <v>8</v>
      </c>
      <c r="I904" s="3">
        <v>87756</v>
      </c>
      <c r="J904" s="3">
        <f>IF(E904="Cold",1,0)</f>
        <v>0</v>
      </c>
      <c r="K904" s="3">
        <f>IF(E904="Hot",1,0)</f>
        <v>1</v>
      </c>
      <c r="L904" s="3">
        <v>1189</v>
      </c>
      <c r="M904" s="3">
        <v>21</v>
      </c>
      <c r="N904" s="4">
        <v>45263</v>
      </c>
      <c r="O904" s="10">
        <v>335018.98420000001</v>
      </c>
      <c r="P904" s="1">
        <f>$C$3+F904*$C$4+H904*$C$6+J904*$C$8+K904*$C$9+L904*$C$10+M904*$C$11</f>
        <v>334139.75927895267</v>
      </c>
      <c r="Q904" s="1">
        <f>(O904-P904)/O904</f>
        <v>2.6244032801510065E-3</v>
      </c>
      <c r="R904" s="1"/>
      <c r="S904" s="1"/>
    </row>
    <row r="905" spans="1:19" x14ac:dyDescent="0.3">
      <c r="A905" s="2">
        <v>491</v>
      </c>
      <c r="B905" s="3" t="s">
        <v>35</v>
      </c>
      <c r="C905" s="3" t="s">
        <v>177</v>
      </c>
      <c r="D905" s="3" t="s">
        <v>14</v>
      </c>
      <c r="E905" s="3" t="s">
        <v>23</v>
      </c>
      <c r="F905" s="3">
        <f>IF(D905="Urban",1,0)</f>
        <v>0</v>
      </c>
      <c r="G905" s="3">
        <v>1850</v>
      </c>
      <c r="H905" s="3">
        <v>6</v>
      </c>
      <c r="I905" s="3">
        <v>71037</v>
      </c>
      <c r="J905" s="3">
        <f>IF(E905="Cold",1,0)</f>
        <v>0</v>
      </c>
      <c r="K905" s="3">
        <f>IF(E905="Hot",1,0)</f>
        <v>0</v>
      </c>
      <c r="L905" s="3">
        <v>1682</v>
      </c>
      <c r="M905" s="3">
        <v>80</v>
      </c>
      <c r="N905" s="4">
        <v>45136</v>
      </c>
      <c r="O905" s="10">
        <v>318895.70390000002</v>
      </c>
      <c r="P905" s="1">
        <f>$C$3+F905*$C$4+H905*$C$6+J905*$C$8+K905*$C$9+L905*$C$10+M905*$C$11</f>
        <v>318061.81130837486</v>
      </c>
      <c r="Q905" s="1">
        <f>(O905-P905)/O905</f>
        <v>2.6149383056181114E-3</v>
      </c>
      <c r="R905" s="1"/>
      <c r="S905" s="1"/>
    </row>
    <row r="906" spans="1:19" x14ac:dyDescent="0.3">
      <c r="A906" s="2">
        <v>19</v>
      </c>
      <c r="B906" s="3" t="s">
        <v>26</v>
      </c>
      <c r="C906" s="3" t="s">
        <v>48</v>
      </c>
      <c r="D906" s="3" t="s">
        <v>14</v>
      </c>
      <c r="E906" s="3" t="s">
        <v>23</v>
      </c>
      <c r="F906" s="3">
        <f>IF(D906="Urban",1,0)</f>
        <v>0</v>
      </c>
      <c r="G906" s="3">
        <v>20892</v>
      </c>
      <c r="H906" s="3">
        <v>0</v>
      </c>
      <c r="I906" s="3">
        <v>62579</v>
      </c>
      <c r="J906" s="3">
        <f>IF(E906="Cold",1,0)</f>
        <v>0</v>
      </c>
      <c r="K906" s="3">
        <f>IF(E906="Hot",1,0)</f>
        <v>0</v>
      </c>
      <c r="L906" s="3">
        <v>2392</v>
      </c>
      <c r="M906" s="3">
        <v>53</v>
      </c>
      <c r="N906" s="4">
        <v>45004</v>
      </c>
      <c r="O906" s="10">
        <v>330432.74099999998</v>
      </c>
      <c r="P906" s="1">
        <f>$C$3+F906*$C$4+H906*$C$6+J906*$C$8+K906*$C$9+L906*$C$10+M906*$C$11</f>
        <v>329609.69233549869</v>
      </c>
      <c r="Q906" s="1">
        <f>(O906-P906)/O906</f>
        <v>2.4908205585513882E-3</v>
      </c>
      <c r="R906" s="1"/>
      <c r="S906" s="1"/>
    </row>
    <row r="907" spans="1:19" x14ac:dyDescent="0.3">
      <c r="A907" s="2">
        <v>152</v>
      </c>
      <c r="B907" s="3" t="s">
        <v>35</v>
      </c>
      <c r="C907" s="3" t="s">
        <v>119</v>
      </c>
      <c r="D907" s="3" t="s">
        <v>14</v>
      </c>
      <c r="E907" s="3" t="s">
        <v>15</v>
      </c>
      <c r="F907" s="3">
        <f>IF(D907="Urban",1,0)</f>
        <v>0</v>
      </c>
      <c r="G907" s="3">
        <v>8239</v>
      </c>
      <c r="H907" s="3">
        <v>9</v>
      </c>
      <c r="I907" s="3">
        <v>84025</v>
      </c>
      <c r="J907" s="3">
        <f>IF(E907="Cold",1,0)</f>
        <v>1</v>
      </c>
      <c r="K907" s="3">
        <f>IF(E907="Hot",1,0)</f>
        <v>0</v>
      </c>
      <c r="L907" s="3">
        <v>2413</v>
      </c>
      <c r="M907" s="3">
        <v>80</v>
      </c>
      <c r="N907" s="4">
        <v>44394</v>
      </c>
      <c r="O907" s="10">
        <v>311619.73340000003</v>
      </c>
      <c r="P907" s="1">
        <f>$C$3+F907*$C$4+H907*$C$6+J907*$C$8+K907*$C$9+L907*$C$10+M907*$C$11</f>
        <v>310862.61214025476</v>
      </c>
      <c r="Q907" s="1">
        <f>(O907-P907)/O907</f>
        <v>2.4296319475166734E-3</v>
      </c>
      <c r="R907" s="1"/>
      <c r="S907" s="1"/>
    </row>
    <row r="908" spans="1:19" x14ac:dyDescent="0.3">
      <c r="A908" s="2">
        <v>16</v>
      </c>
      <c r="B908" s="3" t="s">
        <v>44</v>
      </c>
      <c r="C908" s="3" t="s">
        <v>45</v>
      </c>
      <c r="D908" s="3" t="s">
        <v>18</v>
      </c>
      <c r="E908" s="3" t="s">
        <v>23</v>
      </c>
      <c r="F908" s="3">
        <f>IF(D908="Urban",1,0)</f>
        <v>1</v>
      </c>
      <c r="G908" s="3">
        <v>29670</v>
      </c>
      <c r="H908" s="3">
        <v>0</v>
      </c>
      <c r="I908" s="3">
        <v>61965</v>
      </c>
      <c r="J908" s="3">
        <f>IF(E908="Cold",1,0)</f>
        <v>0</v>
      </c>
      <c r="K908" s="3">
        <f>IF(E908="Hot",1,0)</f>
        <v>0</v>
      </c>
      <c r="L908" s="3">
        <v>1279</v>
      </c>
      <c r="M908" s="3">
        <v>66</v>
      </c>
      <c r="N908" s="4">
        <v>45447</v>
      </c>
      <c r="O908" s="10">
        <v>356845.15399999998</v>
      </c>
      <c r="P908" s="1">
        <f>$C$3+F908*$C$4+H908*$C$6+J908*$C$8+K908*$C$9+L908*$C$10+M908*$C$11</f>
        <v>356122.71519397694</v>
      </c>
      <c r="Q908" s="1">
        <f>(O908-P908)/O908</f>
        <v>2.0245162304292951E-3</v>
      </c>
      <c r="R908" s="1"/>
      <c r="S908" s="1"/>
    </row>
    <row r="909" spans="1:19" x14ac:dyDescent="0.3">
      <c r="A909" s="2">
        <v>955</v>
      </c>
      <c r="B909" s="3" t="s">
        <v>122</v>
      </c>
      <c r="C909" s="3" t="s">
        <v>137</v>
      </c>
      <c r="D909" s="3" t="s">
        <v>18</v>
      </c>
      <c r="E909" s="3" t="s">
        <v>21</v>
      </c>
      <c r="F909" s="3">
        <f>IF(D909="Urban",1,0)</f>
        <v>1</v>
      </c>
      <c r="G909" s="3">
        <v>13699</v>
      </c>
      <c r="H909" s="3">
        <v>1</v>
      </c>
      <c r="I909" s="3">
        <v>53271</v>
      </c>
      <c r="J909" s="3">
        <f>IF(E909="Cold",1,0)</f>
        <v>0</v>
      </c>
      <c r="K909" s="3">
        <f>IF(E909="Hot",1,0)</f>
        <v>1</v>
      </c>
      <c r="L909" s="3">
        <v>2530</v>
      </c>
      <c r="M909" s="3">
        <v>66</v>
      </c>
      <c r="N909" s="4">
        <v>44936</v>
      </c>
      <c r="O909" s="10">
        <v>382030.67749999999</v>
      </c>
      <c r="P909" s="1">
        <f>$C$3+F909*$C$4+H909*$C$6+J909*$C$8+K909*$C$9+L909*$C$10+M909*$C$11</f>
        <v>381423.19929906732</v>
      </c>
      <c r="Q909" s="1">
        <f>(O909-P909)/O909</f>
        <v>1.5901293710442238E-3</v>
      </c>
      <c r="R909" s="1"/>
      <c r="S909" s="1"/>
    </row>
    <row r="910" spans="1:19" x14ac:dyDescent="0.3">
      <c r="A910" s="2">
        <v>428</v>
      </c>
      <c r="B910" s="3" t="s">
        <v>57</v>
      </c>
      <c r="C910" s="3" t="s">
        <v>58</v>
      </c>
      <c r="D910" s="3" t="s">
        <v>14</v>
      </c>
      <c r="E910" s="3" t="s">
        <v>23</v>
      </c>
      <c r="F910" s="3">
        <f>IF(D910="Urban",1,0)</f>
        <v>0</v>
      </c>
      <c r="G910" s="3">
        <v>2916</v>
      </c>
      <c r="H910" s="3">
        <v>6</v>
      </c>
      <c r="I910" s="3">
        <v>51127</v>
      </c>
      <c r="J910" s="3">
        <f>IF(E910="Cold",1,0)</f>
        <v>0</v>
      </c>
      <c r="K910" s="3">
        <f>IF(E910="Hot",1,0)</f>
        <v>0</v>
      </c>
      <c r="L910" s="3">
        <v>1318</v>
      </c>
      <c r="M910" s="3">
        <v>74</v>
      </c>
      <c r="N910" s="4">
        <v>44016</v>
      </c>
      <c r="O910" s="10">
        <v>309435.81770000001</v>
      </c>
      <c r="P910" s="1">
        <f>$C$3+F910*$C$4+H910*$C$6+J910*$C$8+K910*$C$9+L910*$C$10+M910*$C$11</f>
        <v>308948.06466322107</v>
      </c>
      <c r="Q910" s="1">
        <f>(O910-P910)/O910</f>
        <v>1.5762656062389769E-3</v>
      </c>
      <c r="R910" s="1"/>
      <c r="S910" s="1"/>
    </row>
    <row r="911" spans="1:19" x14ac:dyDescent="0.3">
      <c r="A911" s="2">
        <v>222</v>
      </c>
      <c r="B911" s="3" t="s">
        <v>19</v>
      </c>
      <c r="C911" s="3" t="s">
        <v>130</v>
      </c>
      <c r="D911" s="3" t="s">
        <v>14</v>
      </c>
      <c r="E911" s="3" t="s">
        <v>15</v>
      </c>
      <c r="F911" s="3">
        <f>IF(D911="Urban",1,0)</f>
        <v>0</v>
      </c>
      <c r="G911" s="3">
        <v>13763</v>
      </c>
      <c r="H911" s="3">
        <v>2</v>
      </c>
      <c r="I911" s="3">
        <v>56408</v>
      </c>
      <c r="J911" s="3">
        <f>IF(E911="Cold",1,0)</f>
        <v>1</v>
      </c>
      <c r="K911" s="3">
        <f>IF(E911="Hot",1,0)</f>
        <v>0</v>
      </c>
      <c r="L911" s="3">
        <v>1472</v>
      </c>
      <c r="M911" s="3">
        <v>69</v>
      </c>
      <c r="N911" s="4">
        <v>44359</v>
      </c>
      <c r="O911" s="10">
        <v>295783.04310000001</v>
      </c>
      <c r="P911" s="1">
        <f>$C$3+F911*$C$4+H911*$C$6+J911*$C$8+K911*$C$9+L911*$C$10+M911*$C$11</f>
        <v>295343.18066762248</v>
      </c>
      <c r="Q911" s="1">
        <f>(O911-P911)/O911</f>
        <v>1.4871117281351999E-3</v>
      </c>
      <c r="R911" s="1"/>
      <c r="S911" s="1"/>
    </row>
    <row r="912" spans="1:19" x14ac:dyDescent="0.3">
      <c r="A912" s="2">
        <v>263</v>
      </c>
      <c r="B912" s="3" t="s">
        <v>33</v>
      </c>
      <c r="C912" s="3" t="s">
        <v>88</v>
      </c>
      <c r="D912" s="3" t="s">
        <v>14</v>
      </c>
      <c r="E912" s="3" t="s">
        <v>23</v>
      </c>
      <c r="F912" s="3">
        <f>IF(D912="Urban",1,0)</f>
        <v>0</v>
      </c>
      <c r="G912" s="3">
        <v>11169</v>
      </c>
      <c r="H912" s="3">
        <v>7</v>
      </c>
      <c r="I912" s="3">
        <v>99954</v>
      </c>
      <c r="J912" s="3">
        <f>IF(E912="Cold",1,0)</f>
        <v>0</v>
      </c>
      <c r="K912" s="3">
        <f>IF(E912="Hot",1,0)</f>
        <v>0</v>
      </c>
      <c r="L912" s="3">
        <v>2127</v>
      </c>
      <c r="M912" s="3">
        <v>33</v>
      </c>
      <c r="N912" s="4">
        <v>45069</v>
      </c>
      <c r="O912" s="10">
        <v>311906.86969999998</v>
      </c>
      <c r="P912" s="1">
        <f>$C$3+F912*$C$4+H912*$C$6+J912*$C$8+K912*$C$9+L912*$C$10+M912*$C$11</f>
        <v>311505.78966911777</v>
      </c>
      <c r="Q912" s="1">
        <f>(O912-P912)/O912</f>
        <v>1.2858967526684368E-3</v>
      </c>
      <c r="R912" s="1"/>
      <c r="S912" s="1"/>
    </row>
    <row r="913" spans="1:19" x14ac:dyDescent="0.3">
      <c r="A913" s="2">
        <v>831</v>
      </c>
      <c r="B913" s="3" t="s">
        <v>24</v>
      </c>
      <c r="C913" s="3" t="s">
        <v>100</v>
      </c>
      <c r="D913" s="3" t="s">
        <v>18</v>
      </c>
      <c r="E913" s="3" t="s">
        <v>23</v>
      </c>
      <c r="F913" s="3">
        <f>IF(D913="Urban",1,0)</f>
        <v>1</v>
      </c>
      <c r="G913" s="3">
        <v>841</v>
      </c>
      <c r="H913" s="3">
        <v>2</v>
      </c>
      <c r="I913" s="3">
        <v>56928</v>
      </c>
      <c r="J913" s="3">
        <f>IF(E913="Cold",1,0)</f>
        <v>0</v>
      </c>
      <c r="K913" s="3">
        <f>IF(E913="Hot",1,0)</f>
        <v>0</v>
      </c>
      <c r="L913" s="3">
        <v>1107</v>
      </c>
      <c r="M913" s="3">
        <v>69</v>
      </c>
      <c r="N913" s="4">
        <v>45468</v>
      </c>
      <c r="O913" s="10">
        <v>352033.30719999998</v>
      </c>
      <c r="P913" s="1">
        <f>$C$3+F913*$C$4+H913*$C$6+J913*$C$8+K913*$C$9+L913*$C$10+M913*$C$11</f>
        <v>351714.59726599033</v>
      </c>
      <c r="Q913" s="1">
        <f>(O913-P913)/O913</f>
        <v>9.0534028312434225E-4</v>
      </c>
      <c r="R913" s="1"/>
      <c r="S913" s="1"/>
    </row>
    <row r="914" spans="1:19" x14ac:dyDescent="0.3">
      <c r="A914" s="2">
        <v>154</v>
      </c>
      <c r="B914" s="3" t="s">
        <v>55</v>
      </c>
      <c r="C914" s="3" t="s">
        <v>98</v>
      </c>
      <c r="D914" s="3" t="s">
        <v>18</v>
      </c>
      <c r="E914" s="3" t="s">
        <v>15</v>
      </c>
      <c r="F914" s="3">
        <f>IF(D914="Urban",1,0)</f>
        <v>1</v>
      </c>
      <c r="G914" s="3">
        <v>943</v>
      </c>
      <c r="H914" s="3">
        <v>4</v>
      </c>
      <c r="I914" s="3">
        <v>74494</v>
      </c>
      <c r="J914" s="3">
        <f>IF(E914="Cold",1,0)</f>
        <v>1</v>
      </c>
      <c r="K914" s="3">
        <f>IF(E914="Hot",1,0)</f>
        <v>0</v>
      </c>
      <c r="L914" s="3">
        <v>2124</v>
      </c>
      <c r="M914" s="3">
        <v>89</v>
      </c>
      <c r="N914" s="4">
        <v>45453</v>
      </c>
      <c r="O914" s="10">
        <v>357588.53960000002</v>
      </c>
      <c r="P914" s="1">
        <f>$C$3+F914*$C$4+H914*$C$6+J914*$C$8+K914*$C$9+L914*$C$10+M914*$C$11</f>
        <v>357337.8129024916</v>
      </c>
      <c r="Q914" s="1">
        <f>(O914-P914)/O914</f>
        <v>7.0115976812032128E-4</v>
      </c>
      <c r="R914" s="1"/>
      <c r="S914" s="1"/>
    </row>
    <row r="915" spans="1:19" x14ac:dyDescent="0.3">
      <c r="A915" s="2">
        <v>650</v>
      </c>
      <c r="B915" s="3" t="s">
        <v>12</v>
      </c>
      <c r="C915" s="3" t="s">
        <v>95</v>
      </c>
      <c r="D915" s="3" t="s">
        <v>14</v>
      </c>
      <c r="E915" s="3" t="s">
        <v>23</v>
      </c>
      <c r="F915" s="3">
        <f>IF(D915="Urban",1,0)</f>
        <v>0</v>
      </c>
      <c r="G915" s="3">
        <v>1016</v>
      </c>
      <c r="H915" s="3">
        <v>7</v>
      </c>
      <c r="I915" s="3">
        <v>62477</v>
      </c>
      <c r="J915" s="3">
        <f>IF(E915="Cold",1,0)</f>
        <v>0</v>
      </c>
      <c r="K915" s="3">
        <f>IF(E915="Hot",1,0)</f>
        <v>0</v>
      </c>
      <c r="L915" s="3">
        <v>2590</v>
      </c>
      <c r="M915" s="3">
        <v>62</v>
      </c>
      <c r="N915" s="4">
        <v>44403</v>
      </c>
      <c r="O915" s="10">
        <v>329905.62479999999</v>
      </c>
      <c r="P915" s="1">
        <f>$C$3+F915*$C$4+H915*$C$6+J915*$C$8+K915*$C$9+L915*$C$10+M915*$C$11</f>
        <v>329684.57508500916</v>
      </c>
      <c r="Q915" s="1">
        <f>(O915-P915)/O915</f>
        <v>6.7003924266171926E-4</v>
      </c>
      <c r="R915" s="1"/>
      <c r="S915" s="1"/>
    </row>
    <row r="916" spans="1:19" x14ac:dyDescent="0.3">
      <c r="A916" s="2">
        <v>421</v>
      </c>
      <c r="B916" s="3" t="s">
        <v>31</v>
      </c>
      <c r="C916" s="3" t="s">
        <v>63</v>
      </c>
      <c r="D916" s="3" t="s">
        <v>14</v>
      </c>
      <c r="E916" s="3" t="s">
        <v>21</v>
      </c>
      <c r="F916" s="3">
        <f>IF(D916="Urban",1,0)</f>
        <v>0</v>
      </c>
      <c r="G916" s="3">
        <v>8694</v>
      </c>
      <c r="H916" s="3">
        <v>0</v>
      </c>
      <c r="I916" s="3">
        <v>72619</v>
      </c>
      <c r="J916" s="3">
        <f>IF(E916="Cold",1,0)</f>
        <v>0</v>
      </c>
      <c r="K916" s="3">
        <f>IF(E916="Hot",1,0)</f>
        <v>1</v>
      </c>
      <c r="L916" s="3">
        <v>2726</v>
      </c>
      <c r="M916" s="3">
        <v>69</v>
      </c>
      <c r="N916" s="4">
        <v>44963</v>
      </c>
      <c r="O916" s="10">
        <v>342684.63949999999</v>
      </c>
      <c r="P916" s="1">
        <f>$C$3+F916*$C$4+H916*$C$6+J916*$C$8+K916*$C$9+L916*$C$10+M916*$C$11</f>
        <v>342491.33914231899</v>
      </c>
      <c r="Q916" s="1">
        <f>(O916-P916)/O916</f>
        <v>5.6407651642349321E-4</v>
      </c>
      <c r="R916" s="1"/>
      <c r="S916" s="1"/>
    </row>
    <row r="917" spans="1:19" x14ac:dyDescent="0.3">
      <c r="A917" s="2">
        <v>856</v>
      </c>
      <c r="B917" s="3" t="s">
        <v>29</v>
      </c>
      <c r="C917" s="3" t="s">
        <v>83</v>
      </c>
      <c r="D917" s="3" t="s">
        <v>14</v>
      </c>
      <c r="E917" s="3" t="s">
        <v>23</v>
      </c>
      <c r="F917" s="3">
        <f>IF(D917="Urban",1,0)</f>
        <v>0</v>
      </c>
      <c r="G917" s="3">
        <v>12410</v>
      </c>
      <c r="H917" s="3">
        <v>8</v>
      </c>
      <c r="I917" s="3">
        <v>69839</v>
      </c>
      <c r="J917" s="3">
        <f>IF(E917="Cold",1,0)</f>
        <v>0</v>
      </c>
      <c r="K917" s="3">
        <f>IF(E917="Hot",1,0)</f>
        <v>0</v>
      </c>
      <c r="L917" s="3">
        <v>1049</v>
      </c>
      <c r="M917" s="3">
        <v>20</v>
      </c>
      <c r="N917" s="4">
        <v>43958</v>
      </c>
      <c r="O917" s="10">
        <v>285164.17729999998</v>
      </c>
      <c r="P917" s="1">
        <f>$C$3+F917*$C$4+H917*$C$6+J917*$C$8+K917*$C$9+L917*$C$10+M917*$C$11</f>
        <v>285035.00095258723</v>
      </c>
      <c r="Q917" s="1">
        <f>(O917-P917)/O917</f>
        <v>4.529893924118465E-4</v>
      </c>
      <c r="R917" s="1"/>
      <c r="S917" s="1"/>
    </row>
    <row r="918" spans="1:19" x14ac:dyDescent="0.3">
      <c r="A918" s="2">
        <v>974</v>
      </c>
      <c r="B918" s="3" t="s">
        <v>35</v>
      </c>
      <c r="C918" s="3" t="s">
        <v>62</v>
      </c>
      <c r="D918" s="3" t="s">
        <v>14</v>
      </c>
      <c r="E918" s="3" t="s">
        <v>15</v>
      </c>
      <c r="F918" s="3">
        <f>IF(D918="Urban",1,0)</f>
        <v>0</v>
      </c>
      <c r="G918" s="3">
        <v>12314</v>
      </c>
      <c r="H918" s="3">
        <v>7</v>
      </c>
      <c r="I918" s="3">
        <v>54429</v>
      </c>
      <c r="J918" s="3">
        <f>IF(E918="Cold",1,0)</f>
        <v>1</v>
      </c>
      <c r="K918" s="3">
        <f>IF(E918="Hot",1,0)</f>
        <v>0</v>
      </c>
      <c r="L918" s="3">
        <v>1094</v>
      </c>
      <c r="M918" s="3">
        <v>40</v>
      </c>
      <c r="N918" s="4">
        <v>45399</v>
      </c>
      <c r="O918" s="10">
        <v>274192.45990000002</v>
      </c>
      <c r="P918" s="1">
        <f>$C$3+F918*$C$4+H918*$C$6+J918*$C$8+K918*$C$9+L918*$C$10+M918*$C$11</f>
        <v>274110.25628804899</v>
      </c>
      <c r="Q918" s="1">
        <f>(O918-P918)/O918</f>
        <v>2.9980259844129402E-4</v>
      </c>
      <c r="R918" s="1"/>
      <c r="S918" s="1"/>
    </row>
    <row r="919" spans="1:19" x14ac:dyDescent="0.3">
      <c r="A919" s="2">
        <v>506</v>
      </c>
      <c r="B919" s="3" t="s">
        <v>16</v>
      </c>
      <c r="C919" s="3" t="s">
        <v>183</v>
      </c>
      <c r="D919" s="3" t="s">
        <v>18</v>
      </c>
      <c r="E919" s="3" t="s">
        <v>15</v>
      </c>
      <c r="F919" s="3">
        <f>IF(D919="Urban",1,0)</f>
        <v>1</v>
      </c>
      <c r="G919" s="3">
        <v>25045</v>
      </c>
      <c r="H919" s="3">
        <v>5</v>
      </c>
      <c r="I919" s="3">
        <v>68805</v>
      </c>
      <c r="J919" s="3">
        <f>IF(E919="Cold",1,0)</f>
        <v>1</v>
      </c>
      <c r="K919" s="3">
        <f>IF(E919="Hot",1,0)</f>
        <v>0</v>
      </c>
      <c r="L919" s="3">
        <v>1739</v>
      </c>
      <c r="M919" s="3">
        <v>79</v>
      </c>
      <c r="N919" s="4">
        <v>43885</v>
      </c>
      <c r="O919" s="10">
        <v>345686.15409999999</v>
      </c>
      <c r="P919" s="1">
        <f>$C$3+F919*$C$4+H919*$C$6+J919*$C$8+K919*$C$9+L919*$C$10+M919*$C$11</f>
        <v>345621.95040766522</v>
      </c>
      <c r="Q919" s="1">
        <f>(O919-P919)/O919</f>
        <v>1.857282728083737E-4</v>
      </c>
      <c r="R919" s="1"/>
      <c r="S919" s="1"/>
    </row>
    <row r="920" spans="1:19" x14ac:dyDescent="0.3">
      <c r="A920" s="2">
        <v>278</v>
      </c>
      <c r="B920" s="3" t="s">
        <v>40</v>
      </c>
      <c r="C920" s="3" t="s">
        <v>41</v>
      </c>
      <c r="D920" s="3" t="s">
        <v>18</v>
      </c>
      <c r="E920" s="3" t="s">
        <v>23</v>
      </c>
      <c r="F920" s="3">
        <f>IF(D920="Urban",1,0)</f>
        <v>1</v>
      </c>
      <c r="G920" s="3">
        <v>5565</v>
      </c>
      <c r="H920" s="3">
        <v>9</v>
      </c>
      <c r="I920" s="3">
        <v>72475</v>
      </c>
      <c r="J920" s="3">
        <f>IF(E920="Cold",1,0)</f>
        <v>0</v>
      </c>
      <c r="K920" s="3">
        <f>IF(E920="Hot",1,0)</f>
        <v>0</v>
      </c>
      <c r="L920" s="3">
        <v>2288</v>
      </c>
      <c r="M920" s="3">
        <v>64</v>
      </c>
      <c r="N920" s="4">
        <v>45486</v>
      </c>
      <c r="O920" s="10">
        <v>366978.60379999998</v>
      </c>
      <c r="P920" s="1">
        <f>$C$3+F920*$C$4+H920*$C$6+J920*$C$8+K920*$C$9+L920*$C$10+M920*$C$11</f>
        <v>367092.0403787017</v>
      </c>
      <c r="Q920" s="1">
        <f>(O920-P920)/O920</f>
        <v>-3.0910951626906787E-4</v>
      </c>
      <c r="R920" s="1"/>
      <c r="S920" s="1"/>
    </row>
    <row r="921" spans="1:19" x14ac:dyDescent="0.3">
      <c r="A921" s="2">
        <v>880</v>
      </c>
      <c r="B921" s="3" t="s">
        <v>57</v>
      </c>
      <c r="C921" s="3" t="s">
        <v>174</v>
      </c>
      <c r="D921" s="3" t="s">
        <v>18</v>
      </c>
      <c r="E921" s="3" t="s">
        <v>21</v>
      </c>
      <c r="F921" s="3">
        <f>IF(D921="Urban",1,0)</f>
        <v>1</v>
      </c>
      <c r="G921" s="3">
        <v>10301</v>
      </c>
      <c r="H921" s="3">
        <v>4</v>
      </c>
      <c r="I921" s="3">
        <v>72249</v>
      </c>
      <c r="J921" s="3">
        <f>IF(E921="Cold",1,0)</f>
        <v>0</v>
      </c>
      <c r="K921" s="3">
        <f>IF(E921="Hot",1,0)</f>
        <v>1</v>
      </c>
      <c r="L921" s="3">
        <v>1165</v>
      </c>
      <c r="M921" s="3">
        <v>25</v>
      </c>
      <c r="N921" s="4">
        <v>44357</v>
      </c>
      <c r="O921" s="10">
        <v>338579.6298</v>
      </c>
      <c r="P921" s="1">
        <f>$C$3+F921*$C$4+H921*$C$6+J921*$C$8+K921*$C$9+L921*$C$10+M921*$C$11</f>
        <v>338694.1008109338</v>
      </c>
      <c r="Q921" s="1">
        <f>(O921-P921)/O921</f>
        <v>-3.3809184268239397E-4</v>
      </c>
      <c r="R921" s="1"/>
      <c r="S921" s="1"/>
    </row>
    <row r="922" spans="1:19" x14ac:dyDescent="0.3">
      <c r="A922" s="2">
        <v>499</v>
      </c>
      <c r="B922" s="3" t="s">
        <v>57</v>
      </c>
      <c r="C922" s="3" t="s">
        <v>86</v>
      </c>
      <c r="D922" s="3" t="s">
        <v>18</v>
      </c>
      <c r="E922" s="3" t="s">
        <v>21</v>
      </c>
      <c r="F922" s="3">
        <f>IF(D922="Urban",1,0)</f>
        <v>1</v>
      </c>
      <c r="G922" s="3">
        <v>8712</v>
      </c>
      <c r="H922" s="3">
        <v>6</v>
      </c>
      <c r="I922" s="3">
        <v>79024</v>
      </c>
      <c r="J922" s="3">
        <f>IF(E922="Cold",1,0)</f>
        <v>0</v>
      </c>
      <c r="K922" s="3">
        <f>IF(E922="Hot",1,0)</f>
        <v>1</v>
      </c>
      <c r="L922" s="3">
        <v>2148</v>
      </c>
      <c r="M922" s="3">
        <v>96</v>
      </c>
      <c r="N922" s="4">
        <v>44621</v>
      </c>
      <c r="O922" s="10">
        <v>378048.31770000001</v>
      </c>
      <c r="P922" s="1">
        <f>$C$3+F922*$C$4+H922*$C$6+J922*$C$8+K922*$C$9+L922*$C$10+M922*$C$11</f>
        <v>378296.01864862232</v>
      </c>
      <c r="Q922" s="1">
        <f>(O922-P922)/O922</f>
        <v>-6.5520976294589268E-4</v>
      </c>
      <c r="R922" s="1"/>
      <c r="S922" s="1"/>
    </row>
    <row r="923" spans="1:19" x14ac:dyDescent="0.3">
      <c r="A923" s="2">
        <v>824</v>
      </c>
      <c r="B923" s="3" t="s">
        <v>26</v>
      </c>
      <c r="C923" s="3" t="s">
        <v>27</v>
      </c>
      <c r="D923" s="3" t="s">
        <v>18</v>
      </c>
      <c r="E923" s="3" t="s">
        <v>21</v>
      </c>
      <c r="F923" s="3">
        <f>IF(D923="Urban",1,0)</f>
        <v>1</v>
      </c>
      <c r="G923" s="3">
        <v>11275</v>
      </c>
      <c r="H923" s="3">
        <v>1</v>
      </c>
      <c r="I923" s="3">
        <v>79569</v>
      </c>
      <c r="J923" s="3">
        <f>IF(E923="Cold",1,0)</f>
        <v>0</v>
      </c>
      <c r="K923" s="3">
        <f>IF(E923="Hot",1,0)</f>
        <v>1</v>
      </c>
      <c r="L923" s="3">
        <v>2303</v>
      </c>
      <c r="M923" s="3">
        <v>63</v>
      </c>
      <c r="N923" s="4">
        <v>44120</v>
      </c>
      <c r="O923" s="10">
        <v>375679.48719999997</v>
      </c>
      <c r="P923" s="1">
        <f>$C$3+F923*$C$4+H923*$C$6+J923*$C$8+K923*$C$9+L923*$C$10+M923*$C$11</f>
        <v>375968.25869574532</v>
      </c>
      <c r="Q923" s="1">
        <f>(O923-P923)/O923</f>
        <v>-7.686645280997464E-4</v>
      </c>
      <c r="R923" s="1"/>
      <c r="S923" s="1"/>
    </row>
    <row r="924" spans="1:19" x14ac:dyDescent="0.3">
      <c r="A924" s="2">
        <v>389</v>
      </c>
      <c r="B924" s="3" t="s">
        <v>12</v>
      </c>
      <c r="C924" s="3" t="s">
        <v>196</v>
      </c>
      <c r="D924" s="3" t="s">
        <v>14</v>
      </c>
      <c r="E924" s="3" t="s">
        <v>15</v>
      </c>
      <c r="F924" s="3">
        <f>IF(D924="Urban",1,0)</f>
        <v>0</v>
      </c>
      <c r="G924" s="3">
        <v>9335</v>
      </c>
      <c r="H924" s="3">
        <v>5</v>
      </c>
      <c r="I924" s="3">
        <v>85300</v>
      </c>
      <c r="J924" s="3">
        <f>IF(E924="Cold",1,0)</f>
        <v>1</v>
      </c>
      <c r="K924" s="3">
        <f>IF(E924="Hot",1,0)</f>
        <v>0</v>
      </c>
      <c r="L924" s="3">
        <v>1521</v>
      </c>
      <c r="M924" s="3">
        <v>67</v>
      </c>
      <c r="N924" s="4">
        <v>45420</v>
      </c>
      <c r="O924" s="10">
        <v>292574.2231</v>
      </c>
      <c r="P924" s="1">
        <f>$C$3+F924*$C$4+H924*$C$6+J924*$C$8+K924*$C$9+L924*$C$10+M924*$C$11</f>
        <v>292854.32312255993</v>
      </c>
      <c r="Q924" s="1">
        <f>(O924-P924)/O924</f>
        <v>-9.5736397961549368E-4</v>
      </c>
      <c r="R924" s="1"/>
      <c r="S924" s="1"/>
    </row>
    <row r="925" spans="1:19" x14ac:dyDescent="0.3">
      <c r="A925" s="2">
        <v>443</v>
      </c>
      <c r="B925" s="3" t="s">
        <v>33</v>
      </c>
      <c r="C925" s="3" t="s">
        <v>80</v>
      </c>
      <c r="D925" s="3" t="s">
        <v>14</v>
      </c>
      <c r="E925" s="3" t="s">
        <v>23</v>
      </c>
      <c r="F925" s="3">
        <f>IF(D925="Urban",1,0)</f>
        <v>0</v>
      </c>
      <c r="G925" s="3">
        <v>4968</v>
      </c>
      <c r="H925" s="3">
        <v>7</v>
      </c>
      <c r="I925" s="3">
        <v>74163</v>
      </c>
      <c r="J925" s="3">
        <f>IF(E925="Cold",1,0)</f>
        <v>0</v>
      </c>
      <c r="K925" s="3">
        <f>IF(E925="Hot",1,0)</f>
        <v>0</v>
      </c>
      <c r="L925" s="3">
        <v>1141</v>
      </c>
      <c r="M925" s="3">
        <v>53</v>
      </c>
      <c r="N925" s="4">
        <v>43888</v>
      </c>
      <c r="O925" s="10">
        <v>297591.98839999997</v>
      </c>
      <c r="P925" s="1">
        <f>$C$3+F925*$C$4+H925*$C$6+J925*$C$8+K925*$C$9+L925*$C$10+M925*$C$11</f>
        <v>297992.73835032765</v>
      </c>
      <c r="Q925" s="1">
        <f>(O925-P925)/O925</f>
        <v>-1.3466422684370817E-3</v>
      </c>
      <c r="R925" s="1"/>
      <c r="S925" s="1"/>
    </row>
    <row r="926" spans="1:19" x14ac:dyDescent="0.3">
      <c r="A926" s="2">
        <v>240</v>
      </c>
      <c r="B926" s="3" t="s">
        <v>29</v>
      </c>
      <c r="C926" s="3" t="s">
        <v>30</v>
      </c>
      <c r="D926" s="3" t="s">
        <v>18</v>
      </c>
      <c r="E926" s="3" t="s">
        <v>15</v>
      </c>
      <c r="F926" s="3">
        <f>IF(D926="Urban",1,0)</f>
        <v>1</v>
      </c>
      <c r="G926" s="3">
        <v>6644</v>
      </c>
      <c r="H926" s="3">
        <v>4</v>
      </c>
      <c r="I926" s="3">
        <v>55320</v>
      </c>
      <c r="J926" s="3">
        <f>IF(E926="Cold",1,0)</f>
        <v>1</v>
      </c>
      <c r="K926" s="3">
        <f>IF(E926="Hot",1,0)</f>
        <v>0</v>
      </c>
      <c r="L926" s="3">
        <v>2925</v>
      </c>
      <c r="M926" s="3">
        <v>20</v>
      </c>
      <c r="N926" s="4">
        <v>43949</v>
      </c>
      <c r="O926" s="10">
        <v>351460.08350000001</v>
      </c>
      <c r="P926" s="1">
        <f>$C$3+F926*$C$4+H926*$C$6+J926*$C$8+K926*$C$9+L926*$C$10+M926*$C$11</f>
        <v>352055.53824045812</v>
      </c>
      <c r="Q926" s="1">
        <f>(O926-P926)/O926</f>
        <v>-1.6942314886182796E-3</v>
      </c>
      <c r="R926" s="1"/>
      <c r="S926" s="1"/>
    </row>
    <row r="927" spans="1:19" x14ac:dyDescent="0.3">
      <c r="A927" s="2">
        <v>185</v>
      </c>
      <c r="B927" s="3" t="s">
        <v>72</v>
      </c>
      <c r="C927" s="3" t="s">
        <v>151</v>
      </c>
      <c r="D927" s="3" t="s">
        <v>14</v>
      </c>
      <c r="E927" s="3" t="s">
        <v>21</v>
      </c>
      <c r="F927" s="3">
        <f>IF(D927="Urban",1,0)</f>
        <v>0</v>
      </c>
      <c r="G927" s="3">
        <v>1403</v>
      </c>
      <c r="H927" s="3">
        <v>6</v>
      </c>
      <c r="I927" s="3">
        <v>95636</v>
      </c>
      <c r="J927" s="3">
        <f>IF(E927="Cold",1,0)</f>
        <v>0</v>
      </c>
      <c r="K927" s="3">
        <f>IF(E927="Hot",1,0)</f>
        <v>1</v>
      </c>
      <c r="L927" s="3">
        <v>1832</v>
      </c>
      <c r="M927" s="3">
        <v>76</v>
      </c>
      <c r="N927" s="4">
        <v>44645</v>
      </c>
      <c r="O927" s="10">
        <v>320540.23540000001</v>
      </c>
      <c r="P927" s="1">
        <f>$C$3+F927*$C$4+H927*$C$6+J927*$C$8+K927*$C$9+L927*$C$10+M927*$C$11</f>
        <v>321106.76013461384</v>
      </c>
      <c r="Q927" s="1">
        <f>(O927-P927)/O927</f>
        <v>-1.7674059978987427E-3</v>
      </c>
      <c r="R927" s="1"/>
      <c r="S927" s="1"/>
    </row>
    <row r="928" spans="1:19" x14ac:dyDescent="0.3">
      <c r="A928" s="2">
        <v>560</v>
      </c>
      <c r="B928" s="3" t="s">
        <v>55</v>
      </c>
      <c r="C928" s="3" t="s">
        <v>67</v>
      </c>
      <c r="D928" s="3" t="s">
        <v>18</v>
      </c>
      <c r="E928" s="3" t="s">
        <v>21</v>
      </c>
      <c r="F928" s="3">
        <f>IF(D928="Urban",1,0)</f>
        <v>1</v>
      </c>
      <c r="G928" s="3">
        <v>8410</v>
      </c>
      <c r="H928" s="3">
        <v>8</v>
      </c>
      <c r="I928" s="3">
        <v>52488</v>
      </c>
      <c r="J928" s="3">
        <f>IF(E928="Cold",1,0)</f>
        <v>0</v>
      </c>
      <c r="K928" s="3">
        <f>IF(E928="Hot",1,0)</f>
        <v>1</v>
      </c>
      <c r="L928" s="3">
        <v>1281</v>
      </c>
      <c r="M928" s="3">
        <v>90</v>
      </c>
      <c r="N928" s="4">
        <v>44810</v>
      </c>
      <c r="O928" s="10">
        <v>356611.73710000003</v>
      </c>
      <c r="P928" s="1">
        <f>$C$3+F928*$C$4+H928*$C$6+J928*$C$8+K928*$C$9+L928*$C$10+M928*$C$11</f>
        <v>357243.68020110467</v>
      </c>
      <c r="Q928" s="1">
        <f>(O928-P928)/O928</f>
        <v>-1.7720760013219428E-3</v>
      </c>
      <c r="R928" s="1"/>
      <c r="S928" s="1"/>
    </row>
    <row r="929" spans="1:19" x14ac:dyDescent="0.3">
      <c r="A929" s="2">
        <v>346</v>
      </c>
      <c r="B929" s="3" t="s">
        <v>33</v>
      </c>
      <c r="C929" s="3" t="s">
        <v>184</v>
      </c>
      <c r="D929" s="3" t="s">
        <v>18</v>
      </c>
      <c r="E929" s="3" t="s">
        <v>23</v>
      </c>
      <c r="F929" s="3">
        <f>IF(D929="Urban",1,0)</f>
        <v>1</v>
      </c>
      <c r="G929" s="3">
        <v>10909</v>
      </c>
      <c r="H929" s="3">
        <v>8</v>
      </c>
      <c r="I929" s="3">
        <v>51282</v>
      </c>
      <c r="J929" s="3">
        <f>IF(E929="Cold",1,0)</f>
        <v>0</v>
      </c>
      <c r="K929" s="3">
        <f>IF(E929="Hot",1,0)</f>
        <v>0</v>
      </c>
      <c r="L929" s="3">
        <v>1694</v>
      </c>
      <c r="M929" s="3">
        <v>77</v>
      </c>
      <c r="N929" s="4">
        <v>44394</v>
      </c>
      <c r="O929" s="10">
        <v>359313.92599999998</v>
      </c>
      <c r="P929" s="1">
        <f>$C$3+F929*$C$4+H929*$C$6+J929*$C$8+K929*$C$9+L929*$C$10+M929*$C$11</f>
        <v>360194.64035288256</v>
      </c>
      <c r="Q929" s="1">
        <f>(O929-P929)/O929</f>
        <v>-2.4510999690075573E-3</v>
      </c>
      <c r="R929" s="1"/>
      <c r="S929" s="1"/>
    </row>
    <row r="930" spans="1:19" x14ac:dyDescent="0.3">
      <c r="A930" s="2">
        <v>981</v>
      </c>
      <c r="B930" s="3" t="s">
        <v>108</v>
      </c>
      <c r="C930" s="3" t="s">
        <v>227</v>
      </c>
      <c r="D930" s="3" t="s">
        <v>14</v>
      </c>
      <c r="E930" s="3" t="s">
        <v>21</v>
      </c>
      <c r="F930" s="3">
        <f>IF(D930="Urban",1,0)</f>
        <v>0</v>
      </c>
      <c r="G930" s="3">
        <v>3048</v>
      </c>
      <c r="H930" s="3">
        <v>8</v>
      </c>
      <c r="I930" s="3">
        <v>69769</v>
      </c>
      <c r="J930" s="3">
        <f>IF(E930="Cold",1,0)</f>
        <v>0</v>
      </c>
      <c r="K930" s="3">
        <f>IF(E930="Hot",1,0)</f>
        <v>1</v>
      </c>
      <c r="L930" s="3">
        <v>2884</v>
      </c>
      <c r="M930" s="3">
        <v>72</v>
      </c>
      <c r="N930" s="4">
        <v>45227</v>
      </c>
      <c r="O930" s="10">
        <v>338104.24489999999</v>
      </c>
      <c r="P930" s="1">
        <f>$C$3+F930*$C$4+H930*$C$6+J930*$C$8+K930*$C$9+L930*$C$10+M930*$C$11</f>
        <v>338968.46201368881</v>
      </c>
      <c r="Q930" s="1">
        <f>(O930-P930)/O930</f>
        <v>-2.5560670317653885E-3</v>
      </c>
      <c r="R930" s="1"/>
      <c r="S930" s="1"/>
    </row>
    <row r="931" spans="1:19" x14ac:dyDescent="0.3">
      <c r="A931" s="2">
        <v>673</v>
      </c>
      <c r="B931" s="3" t="s">
        <v>16</v>
      </c>
      <c r="C931" s="3" t="s">
        <v>84</v>
      </c>
      <c r="D931" s="3" t="s">
        <v>18</v>
      </c>
      <c r="E931" s="3" t="s">
        <v>21</v>
      </c>
      <c r="F931" s="3">
        <f>IF(D931="Urban",1,0)</f>
        <v>1</v>
      </c>
      <c r="G931" s="3">
        <v>12162</v>
      </c>
      <c r="H931" s="3">
        <v>7</v>
      </c>
      <c r="I931" s="3">
        <v>96337</v>
      </c>
      <c r="J931" s="3">
        <f>IF(E931="Cold",1,0)</f>
        <v>0</v>
      </c>
      <c r="K931" s="3">
        <f>IF(E931="Hot",1,0)</f>
        <v>1</v>
      </c>
      <c r="L931" s="3">
        <v>1131</v>
      </c>
      <c r="M931" s="3">
        <v>46</v>
      </c>
      <c r="N931" s="4">
        <v>45058</v>
      </c>
      <c r="O931" s="10">
        <v>340715.15029999998</v>
      </c>
      <c r="P931" s="1">
        <f>$C$3+F931*$C$4+H931*$C$6+J931*$C$8+K931*$C$9+L931*$C$10+M931*$C$11</f>
        <v>341638.09881226224</v>
      </c>
      <c r="Q931" s="1">
        <f>(O931-P931)/O931</f>
        <v>-2.7088566840940309E-3</v>
      </c>
      <c r="R931" s="1"/>
      <c r="S931" s="1"/>
    </row>
    <row r="932" spans="1:19" x14ac:dyDescent="0.3">
      <c r="A932" s="2">
        <v>245</v>
      </c>
      <c r="B932" s="3" t="s">
        <v>57</v>
      </c>
      <c r="C932" s="3" t="s">
        <v>174</v>
      </c>
      <c r="D932" s="3" t="s">
        <v>14</v>
      </c>
      <c r="E932" s="3" t="s">
        <v>21</v>
      </c>
      <c r="F932" s="3">
        <f>IF(D932="Urban",1,0)</f>
        <v>0</v>
      </c>
      <c r="G932" s="3">
        <v>7296</v>
      </c>
      <c r="H932" s="3">
        <v>7</v>
      </c>
      <c r="I932" s="3">
        <v>66418</v>
      </c>
      <c r="J932" s="3">
        <f>IF(E932="Cold",1,0)</f>
        <v>0</v>
      </c>
      <c r="K932" s="3">
        <f>IF(E932="Hot",1,0)</f>
        <v>1</v>
      </c>
      <c r="L932" s="3">
        <v>2961</v>
      </c>
      <c r="M932" s="3">
        <v>51</v>
      </c>
      <c r="N932" s="4">
        <v>44362</v>
      </c>
      <c r="O932" s="10">
        <v>334052.15710000001</v>
      </c>
      <c r="P932" s="1">
        <f>$C$3+F932*$C$4+H932*$C$6+J932*$C$8+K932*$C$9+L932*$C$10+M932*$C$11</f>
        <v>334982.42188303656</v>
      </c>
      <c r="Q932" s="1">
        <f>(O932-P932)/O932</f>
        <v>-2.7847890314866815E-3</v>
      </c>
      <c r="R932" s="1"/>
      <c r="S932" s="1"/>
    </row>
    <row r="933" spans="1:19" x14ac:dyDescent="0.3">
      <c r="A933" s="2">
        <v>936</v>
      </c>
      <c r="B933" s="3" t="s">
        <v>55</v>
      </c>
      <c r="C933" s="3" t="s">
        <v>105</v>
      </c>
      <c r="D933" s="3" t="s">
        <v>18</v>
      </c>
      <c r="E933" s="3" t="s">
        <v>21</v>
      </c>
      <c r="F933" s="3">
        <f>IF(D933="Urban",1,0)</f>
        <v>1</v>
      </c>
      <c r="G933" s="3">
        <v>8093</v>
      </c>
      <c r="H933" s="3">
        <v>4</v>
      </c>
      <c r="I933" s="3">
        <v>73917</v>
      </c>
      <c r="J933" s="3">
        <f>IF(E933="Cold",1,0)</f>
        <v>0</v>
      </c>
      <c r="K933" s="3">
        <f>IF(E933="Hot",1,0)</f>
        <v>1</v>
      </c>
      <c r="L933" s="3">
        <v>2262</v>
      </c>
      <c r="M933" s="3">
        <v>25</v>
      </c>
      <c r="N933" s="4">
        <v>44168</v>
      </c>
      <c r="O933" s="10">
        <v>359562.06349999999</v>
      </c>
      <c r="P933" s="1">
        <f>$C$3+F933*$C$4+H933*$C$6+J933*$C$8+K933*$C$9+L933*$C$10+M933*$C$11</f>
        <v>360586.98541042994</v>
      </c>
      <c r="Q933" s="1">
        <f>(O933-P933)/O933</f>
        <v>-2.8504728792946073E-3</v>
      </c>
      <c r="R933" s="1"/>
      <c r="S933" s="1"/>
    </row>
    <row r="934" spans="1:19" x14ac:dyDescent="0.3">
      <c r="A934" s="2">
        <v>242</v>
      </c>
      <c r="B934" s="3" t="s">
        <v>37</v>
      </c>
      <c r="C934" s="3" t="s">
        <v>61</v>
      </c>
      <c r="D934" s="3" t="s">
        <v>18</v>
      </c>
      <c r="E934" s="3" t="s">
        <v>15</v>
      </c>
      <c r="F934" s="3">
        <f>IF(D934="Urban",1,0)</f>
        <v>1</v>
      </c>
      <c r="G934" s="3">
        <v>8030</v>
      </c>
      <c r="H934" s="3">
        <v>0</v>
      </c>
      <c r="I934" s="3">
        <v>91863</v>
      </c>
      <c r="J934" s="3">
        <f>IF(E934="Cold",1,0)</f>
        <v>1</v>
      </c>
      <c r="K934" s="3">
        <f>IF(E934="Hot",1,0)</f>
        <v>0</v>
      </c>
      <c r="L934" s="3">
        <v>1756</v>
      </c>
      <c r="M934" s="3">
        <v>58</v>
      </c>
      <c r="N934" s="4">
        <v>45112</v>
      </c>
      <c r="O934" s="10">
        <v>343148.52350000001</v>
      </c>
      <c r="P934" s="1">
        <f>$C$3+F934*$C$4+H934*$C$6+J934*$C$8+K934*$C$9+L934*$C$10+M934*$C$11</f>
        <v>344238.8778534244</v>
      </c>
      <c r="Q934" s="1">
        <f>(O934-P934)/O934</f>
        <v>-3.1774997668739626E-3</v>
      </c>
      <c r="R934" s="1"/>
      <c r="S934" s="1"/>
    </row>
    <row r="935" spans="1:19" x14ac:dyDescent="0.3">
      <c r="A935" s="2">
        <v>290</v>
      </c>
      <c r="B935" s="3" t="s">
        <v>53</v>
      </c>
      <c r="C935" s="3" t="s">
        <v>178</v>
      </c>
      <c r="D935" s="3" t="s">
        <v>18</v>
      </c>
      <c r="E935" s="3" t="s">
        <v>15</v>
      </c>
      <c r="F935" s="3">
        <f>IF(D935="Urban",1,0)</f>
        <v>1</v>
      </c>
      <c r="G935" s="3">
        <v>3329</v>
      </c>
      <c r="H935" s="3">
        <v>7</v>
      </c>
      <c r="I935" s="3">
        <v>99658</v>
      </c>
      <c r="J935" s="3">
        <f>IF(E935="Cold",1,0)</f>
        <v>1</v>
      </c>
      <c r="K935" s="3">
        <f>IF(E935="Hot",1,0)</f>
        <v>0</v>
      </c>
      <c r="L935" s="3">
        <v>1868</v>
      </c>
      <c r="M935" s="3">
        <v>94</v>
      </c>
      <c r="N935" s="4">
        <v>45488</v>
      </c>
      <c r="O935" s="10">
        <v>349761.51409999997</v>
      </c>
      <c r="P935" s="1">
        <f>$C$3+F935*$C$4+H935*$C$6+J935*$C$8+K935*$C$9+L935*$C$10+M935*$C$11</f>
        <v>350919.66512824979</v>
      </c>
      <c r="Q935" s="1">
        <f>(O935-P935)/O935</f>
        <v>-3.3112591910803954E-3</v>
      </c>
      <c r="R935" s="1"/>
      <c r="S935" s="1"/>
    </row>
    <row r="936" spans="1:19" x14ac:dyDescent="0.3">
      <c r="A936" s="2">
        <v>698</v>
      </c>
      <c r="B936" s="3" t="s">
        <v>31</v>
      </c>
      <c r="C936" s="3" t="s">
        <v>170</v>
      </c>
      <c r="D936" s="3" t="s">
        <v>14</v>
      </c>
      <c r="E936" s="3" t="s">
        <v>23</v>
      </c>
      <c r="F936" s="3">
        <f>IF(D936="Urban",1,0)</f>
        <v>0</v>
      </c>
      <c r="G936" s="3">
        <v>16253</v>
      </c>
      <c r="H936" s="3">
        <v>0</v>
      </c>
      <c r="I936" s="3">
        <v>78985</v>
      </c>
      <c r="J936" s="3">
        <f>IF(E936="Cold",1,0)</f>
        <v>0</v>
      </c>
      <c r="K936" s="3">
        <f>IF(E936="Hot",1,0)</f>
        <v>0</v>
      </c>
      <c r="L936" s="3">
        <v>2098</v>
      </c>
      <c r="M936" s="3">
        <v>44</v>
      </c>
      <c r="N936" s="4">
        <v>45406</v>
      </c>
      <c r="O936" s="10">
        <v>319831.24329999997</v>
      </c>
      <c r="P936" s="1">
        <f>$C$3+F936*$C$4+H936*$C$6+J936*$C$8+K936*$C$9+L936*$C$10+M936*$C$11</f>
        <v>320968.24913994025</v>
      </c>
      <c r="Q936" s="1">
        <f>(O936-P936)/O936</f>
        <v>-3.5550180407915048E-3</v>
      </c>
      <c r="R936" s="1"/>
      <c r="S936" s="1"/>
    </row>
    <row r="937" spans="1:19" x14ac:dyDescent="0.3">
      <c r="A937" s="2">
        <v>640</v>
      </c>
      <c r="B937" s="3" t="s">
        <v>74</v>
      </c>
      <c r="C937" s="3" t="s">
        <v>219</v>
      </c>
      <c r="D937" s="3" t="s">
        <v>18</v>
      </c>
      <c r="E937" s="3" t="s">
        <v>21</v>
      </c>
      <c r="F937" s="3">
        <f>IF(D937="Urban",1,0)</f>
        <v>1</v>
      </c>
      <c r="G937" s="3">
        <v>10752</v>
      </c>
      <c r="H937" s="3">
        <v>2</v>
      </c>
      <c r="I937" s="3">
        <v>97514</v>
      </c>
      <c r="J937" s="3">
        <f>IF(E937="Cold",1,0)</f>
        <v>0</v>
      </c>
      <c r="K937" s="3">
        <f>IF(E937="Hot",1,0)</f>
        <v>1</v>
      </c>
      <c r="L937" s="3">
        <v>2060</v>
      </c>
      <c r="M937" s="3">
        <v>29</v>
      </c>
      <c r="N937" s="4">
        <v>45534</v>
      </c>
      <c r="O937" s="10">
        <v>358356.95390000002</v>
      </c>
      <c r="P937" s="1">
        <f>$C$3+F937*$C$4+H937*$C$6+J937*$C$8+K937*$C$9+L937*$C$10+M937*$C$11</f>
        <v>359688.77661209484</v>
      </c>
      <c r="Q937" s="1">
        <f>(O937-P937)/O937</f>
        <v>-3.716469563658756E-3</v>
      </c>
      <c r="R937" s="1"/>
      <c r="S937" s="1"/>
    </row>
    <row r="938" spans="1:19" x14ac:dyDescent="0.3">
      <c r="A938" s="2">
        <v>444</v>
      </c>
      <c r="B938" s="3" t="s">
        <v>44</v>
      </c>
      <c r="C938" s="3" t="s">
        <v>201</v>
      </c>
      <c r="D938" s="3" t="s">
        <v>18</v>
      </c>
      <c r="E938" s="3" t="s">
        <v>23</v>
      </c>
      <c r="F938" s="3">
        <f>IF(D938="Urban",1,0)</f>
        <v>1</v>
      </c>
      <c r="G938" s="3">
        <v>20025</v>
      </c>
      <c r="H938" s="3">
        <v>5</v>
      </c>
      <c r="I938" s="3">
        <v>89136</v>
      </c>
      <c r="J938" s="3">
        <f>IF(E938="Cold",1,0)</f>
        <v>0</v>
      </c>
      <c r="K938" s="3">
        <f>IF(E938="Hot",1,0)</f>
        <v>0</v>
      </c>
      <c r="L938" s="3">
        <v>2193</v>
      </c>
      <c r="M938" s="3">
        <v>31</v>
      </c>
      <c r="N938" s="4">
        <v>45100</v>
      </c>
      <c r="O938" s="10">
        <v>357461.62050000002</v>
      </c>
      <c r="P938" s="1">
        <f>$C$3+F938*$C$4+H938*$C$6+J938*$C$8+K938*$C$9+L938*$C$10+M938*$C$11</f>
        <v>358824.92010066769</v>
      </c>
      <c r="Q938" s="1">
        <f>(O938-P938)/O938</f>
        <v>-3.8138348915913041E-3</v>
      </c>
      <c r="R938" s="1"/>
      <c r="S938" s="1"/>
    </row>
    <row r="939" spans="1:19" x14ac:dyDescent="0.3">
      <c r="A939" s="2">
        <v>574</v>
      </c>
      <c r="B939" s="3" t="s">
        <v>108</v>
      </c>
      <c r="C939" s="3" t="s">
        <v>214</v>
      </c>
      <c r="D939" s="3" t="s">
        <v>18</v>
      </c>
      <c r="E939" s="3" t="s">
        <v>23</v>
      </c>
      <c r="F939" s="3">
        <f>IF(D939="Urban",1,0)</f>
        <v>1</v>
      </c>
      <c r="G939" s="3">
        <v>4150</v>
      </c>
      <c r="H939" s="3">
        <v>5</v>
      </c>
      <c r="I939" s="3">
        <v>81827</v>
      </c>
      <c r="J939" s="3">
        <f>IF(E939="Cold",1,0)</f>
        <v>0</v>
      </c>
      <c r="K939" s="3">
        <f>IF(E939="Hot",1,0)</f>
        <v>0</v>
      </c>
      <c r="L939" s="3">
        <v>1172</v>
      </c>
      <c r="M939" s="3">
        <v>31</v>
      </c>
      <c r="N939" s="4">
        <v>45477</v>
      </c>
      <c r="O939" s="10">
        <v>336605.24770000001</v>
      </c>
      <c r="P939" s="1">
        <f>$C$3+F939*$C$4+H939*$C$6+J939*$C$8+K939*$C$9+L939*$C$10+M939*$C$11</f>
        <v>338448.77135309658</v>
      </c>
      <c r="Q939" s="1">
        <f>(O939-P939)/O939</f>
        <v>-5.4768119798881479E-3</v>
      </c>
      <c r="R939" s="1"/>
      <c r="S939" s="1"/>
    </row>
    <row r="940" spans="1:19" x14ac:dyDescent="0.3">
      <c r="A940" s="2">
        <v>959</v>
      </c>
      <c r="B940" s="3" t="s">
        <v>35</v>
      </c>
      <c r="C940" s="3" t="s">
        <v>36</v>
      </c>
      <c r="D940" s="3" t="s">
        <v>14</v>
      </c>
      <c r="E940" s="3" t="s">
        <v>15</v>
      </c>
      <c r="F940" s="3">
        <f>IF(D940="Urban",1,0)</f>
        <v>0</v>
      </c>
      <c r="G940" s="3">
        <v>3610</v>
      </c>
      <c r="H940" s="3">
        <v>0</v>
      </c>
      <c r="I940" s="3">
        <v>78249</v>
      </c>
      <c r="J940" s="3">
        <f>IF(E940="Cold",1,0)</f>
        <v>1</v>
      </c>
      <c r="K940" s="3">
        <f>IF(E940="Hot",1,0)</f>
        <v>0</v>
      </c>
      <c r="L940" s="3">
        <v>2286</v>
      </c>
      <c r="M940" s="3">
        <v>82</v>
      </c>
      <c r="N940" s="4">
        <v>44467</v>
      </c>
      <c r="O940" s="10">
        <v>315742.95669999998</v>
      </c>
      <c r="P940" s="1">
        <f>$C$3+F940*$C$4+H940*$C$6+J940*$C$8+K940*$C$9+L940*$C$10+M940*$C$11</f>
        <v>317495.4056581331</v>
      </c>
      <c r="Q940" s="1">
        <f>(O940-P940)/O940</f>
        <v>-5.5502392719980337E-3</v>
      </c>
      <c r="R940" s="1"/>
      <c r="S940" s="1"/>
    </row>
    <row r="941" spans="1:19" x14ac:dyDescent="0.3">
      <c r="A941" s="2">
        <v>561</v>
      </c>
      <c r="B941" s="3" t="s">
        <v>72</v>
      </c>
      <c r="C941" s="3" t="s">
        <v>213</v>
      </c>
      <c r="D941" s="3" t="s">
        <v>18</v>
      </c>
      <c r="E941" s="3" t="s">
        <v>21</v>
      </c>
      <c r="F941" s="3">
        <f>IF(D941="Urban",1,0)</f>
        <v>1</v>
      </c>
      <c r="G941" s="3">
        <v>13140</v>
      </c>
      <c r="H941" s="3">
        <v>4</v>
      </c>
      <c r="I941" s="3">
        <v>74228</v>
      </c>
      <c r="J941" s="3">
        <f>IF(E941="Cold",1,0)</f>
        <v>0</v>
      </c>
      <c r="K941" s="3">
        <f>IF(E941="Hot",1,0)</f>
        <v>1</v>
      </c>
      <c r="L941" s="3">
        <v>2631</v>
      </c>
      <c r="M941" s="3">
        <v>37</v>
      </c>
      <c r="N941" s="4">
        <v>43943</v>
      </c>
      <c r="O941" s="10">
        <v>369568.05379999999</v>
      </c>
      <c r="P941" s="1">
        <f>$C$3+F941*$C$4+H941*$C$6+J941*$C$8+K941*$C$9+L941*$C$10+M941*$C$11</f>
        <v>371649.89750546031</v>
      </c>
      <c r="Q941" s="1">
        <f>(O941-P941)/O941</f>
        <v>-5.6331809095895207E-3</v>
      </c>
      <c r="R941" s="1"/>
      <c r="S941" s="1"/>
    </row>
    <row r="942" spans="1:19" x14ac:dyDescent="0.3">
      <c r="A942" s="2">
        <v>452</v>
      </c>
      <c r="B942" s="3" t="s">
        <v>31</v>
      </c>
      <c r="C942" s="3" t="s">
        <v>186</v>
      </c>
      <c r="D942" s="3" t="s">
        <v>18</v>
      </c>
      <c r="E942" s="3" t="s">
        <v>23</v>
      </c>
      <c r="F942" s="3">
        <f>IF(D942="Urban",1,0)</f>
        <v>1</v>
      </c>
      <c r="G942" s="3">
        <v>11310</v>
      </c>
      <c r="H942" s="3">
        <v>5</v>
      </c>
      <c r="I942" s="3">
        <v>80565</v>
      </c>
      <c r="J942" s="3">
        <f>IF(E942="Cold",1,0)</f>
        <v>0</v>
      </c>
      <c r="K942" s="3">
        <f>IF(E942="Hot",1,0)</f>
        <v>0</v>
      </c>
      <c r="L942" s="3">
        <v>1149</v>
      </c>
      <c r="M942" s="3">
        <v>93</v>
      </c>
      <c r="N942" s="4">
        <v>45340</v>
      </c>
      <c r="O942" s="10">
        <v>354928.10989999998</v>
      </c>
      <c r="P942" s="1">
        <f>$C$3+F942*$C$4+H942*$C$6+J942*$C$8+K942*$C$9+L942*$C$10+M942*$C$11</f>
        <v>357100.02121747396</v>
      </c>
      <c r="Q942" s="1">
        <f>(O942-P942)/O942</f>
        <v>-6.119299252138429E-3</v>
      </c>
      <c r="R942" s="1"/>
      <c r="S942" s="1"/>
    </row>
    <row r="943" spans="1:19" x14ac:dyDescent="0.3">
      <c r="A943" s="2">
        <v>122</v>
      </c>
      <c r="B943" s="3" t="s">
        <v>31</v>
      </c>
      <c r="C943" s="3" t="s">
        <v>125</v>
      </c>
      <c r="D943" s="3" t="s">
        <v>14</v>
      </c>
      <c r="E943" s="3" t="s">
        <v>21</v>
      </c>
      <c r="F943" s="3">
        <f>IF(D943="Urban",1,0)</f>
        <v>0</v>
      </c>
      <c r="G943" s="3">
        <v>2295</v>
      </c>
      <c r="H943" s="3">
        <v>2</v>
      </c>
      <c r="I943" s="3">
        <v>77397</v>
      </c>
      <c r="J943" s="3">
        <f>IF(E943="Cold",1,0)</f>
        <v>0</v>
      </c>
      <c r="K943" s="3">
        <f>IF(E943="Hot",1,0)</f>
        <v>1</v>
      </c>
      <c r="L943" s="3">
        <v>1291</v>
      </c>
      <c r="M943" s="3">
        <v>24</v>
      </c>
      <c r="N943" s="4">
        <v>44507</v>
      </c>
      <c r="O943" s="10">
        <v>296183.74209999997</v>
      </c>
      <c r="P943" s="1">
        <f>$C$3+F943*$C$4+H943*$C$6+J943*$C$8+K943*$C$9+L943*$C$10+M943*$C$11</f>
        <v>298082.42462973733</v>
      </c>
      <c r="Q943" s="1">
        <f>(O943-P943)/O943</f>
        <v>-6.4104886928476627E-3</v>
      </c>
      <c r="R943" s="1"/>
      <c r="S943" s="1"/>
    </row>
    <row r="944" spans="1:19" x14ac:dyDescent="0.3">
      <c r="A944" s="2">
        <v>967</v>
      </c>
      <c r="B944" s="3" t="s">
        <v>12</v>
      </c>
      <c r="C944" s="3" t="s">
        <v>196</v>
      </c>
      <c r="D944" s="3" t="s">
        <v>18</v>
      </c>
      <c r="E944" s="3" t="s">
        <v>23</v>
      </c>
      <c r="F944" s="3">
        <f>IF(D944="Urban",1,0)</f>
        <v>1</v>
      </c>
      <c r="G944" s="3">
        <v>2093</v>
      </c>
      <c r="H944" s="3">
        <v>7</v>
      </c>
      <c r="I944" s="3">
        <v>68298</v>
      </c>
      <c r="J944" s="3">
        <f>IF(E944="Cold",1,0)</f>
        <v>0</v>
      </c>
      <c r="K944" s="3">
        <f>IF(E944="Hot",1,0)</f>
        <v>0</v>
      </c>
      <c r="L944" s="3">
        <v>1851</v>
      </c>
      <c r="M944" s="3">
        <v>62</v>
      </c>
      <c r="N944" s="4">
        <v>44749</v>
      </c>
      <c r="O944" s="10">
        <v>357267.88400000002</v>
      </c>
      <c r="P944" s="1">
        <f>$C$3+F944*$C$4+H944*$C$6+J944*$C$8+K944*$C$9+L944*$C$10+M944*$C$11</f>
        <v>359654.54447334865</v>
      </c>
      <c r="Q944" s="1">
        <f>(O944-P944)/O944</f>
        <v>-6.6803107142668072E-3</v>
      </c>
      <c r="R944" s="1"/>
      <c r="S944" s="1"/>
    </row>
    <row r="945" spans="1:19" x14ac:dyDescent="0.3">
      <c r="A945" s="2">
        <v>380</v>
      </c>
      <c r="B945" s="3" t="s">
        <v>12</v>
      </c>
      <c r="C945" s="3" t="s">
        <v>140</v>
      </c>
      <c r="D945" s="3" t="s">
        <v>18</v>
      </c>
      <c r="E945" s="3" t="s">
        <v>23</v>
      </c>
      <c r="F945" s="3">
        <f>IF(D945="Urban",1,0)</f>
        <v>1</v>
      </c>
      <c r="G945" s="3">
        <v>2222</v>
      </c>
      <c r="H945" s="3">
        <v>3</v>
      </c>
      <c r="I945" s="3">
        <v>65446</v>
      </c>
      <c r="J945" s="3">
        <f>IF(E945="Cold",1,0)</f>
        <v>0</v>
      </c>
      <c r="K945" s="3">
        <f>IF(E945="Hot",1,0)</f>
        <v>0</v>
      </c>
      <c r="L945" s="3">
        <v>2900</v>
      </c>
      <c r="M945" s="3">
        <v>34</v>
      </c>
      <c r="N945" s="4">
        <v>44217</v>
      </c>
      <c r="O945" s="10">
        <v>373194.61369999999</v>
      </c>
      <c r="P945" s="1">
        <f>$C$3+F945*$C$4+H945*$C$6+J945*$C$8+K945*$C$9+L945*$C$10+M945*$C$11</f>
        <v>375759.44034063932</v>
      </c>
      <c r="Q945" s="1">
        <f>(O945-P945)/O945</f>
        <v>-6.872625023203377E-3</v>
      </c>
      <c r="R945" s="1"/>
      <c r="S945" s="1"/>
    </row>
    <row r="946" spans="1:19" x14ac:dyDescent="0.3">
      <c r="A946" s="2">
        <v>864</v>
      </c>
      <c r="B946" s="3" t="s">
        <v>53</v>
      </c>
      <c r="C946" s="3" t="s">
        <v>212</v>
      </c>
      <c r="D946" s="3" t="s">
        <v>14</v>
      </c>
      <c r="E946" s="3" t="s">
        <v>21</v>
      </c>
      <c r="F946" s="3">
        <f>IF(D946="Urban",1,0)</f>
        <v>0</v>
      </c>
      <c r="G946" s="3">
        <v>21210</v>
      </c>
      <c r="H946" s="3">
        <v>4</v>
      </c>
      <c r="I946" s="3">
        <v>58291</v>
      </c>
      <c r="J946" s="3">
        <f>IF(E946="Cold",1,0)</f>
        <v>0</v>
      </c>
      <c r="K946" s="3">
        <f>IF(E946="Hot",1,0)</f>
        <v>1</v>
      </c>
      <c r="L946" s="3">
        <v>2639</v>
      </c>
      <c r="M946" s="3">
        <v>25</v>
      </c>
      <c r="N946" s="4">
        <v>43884</v>
      </c>
      <c r="O946" s="10">
        <v>320957.08189999999</v>
      </c>
      <c r="P946" s="1">
        <f>$C$3+F946*$C$4+H946*$C$6+J946*$C$8+K946*$C$9+L946*$C$10+M946*$C$11</f>
        <v>323392.56367476354</v>
      </c>
      <c r="Q946" s="1">
        <f>(O946-P946)/O946</f>
        <v>-7.5881851877079689E-3</v>
      </c>
      <c r="R946" s="1"/>
      <c r="S946" s="1"/>
    </row>
    <row r="947" spans="1:19" x14ac:dyDescent="0.3">
      <c r="A947" s="2">
        <v>475</v>
      </c>
      <c r="B947" s="3" t="s">
        <v>24</v>
      </c>
      <c r="C947" s="3" t="s">
        <v>134</v>
      </c>
      <c r="D947" s="3" t="s">
        <v>14</v>
      </c>
      <c r="E947" s="3" t="s">
        <v>21</v>
      </c>
      <c r="F947" s="3">
        <f>IF(D947="Urban",1,0)</f>
        <v>0</v>
      </c>
      <c r="G947" s="3">
        <v>9469</v>
      </c>
      <c r="H947" s="3">
        <v>7</v>
      </c>
      <c r="I947" s="3">
        <v>87213</v>
      </c>
      <c r="J947" s="3">
        <f>IF(E947="Cold",1,0)</f>
        <v>0</v>
      </c>
      <c r="K947" s="3">
        <f>IF(E947="Hot",1,0)</f>
        <v>1</v>
      </c>
      <c r="L947" s="3">
        <v>2639</v>
      </c>
      <c r="M947" s="3">
        <v>89</v>
      </c>
      <c r="N947" s="4">
        <v>43998</v>
      </c>
      <c r="O947" s="10">
        <v>337655.59860000003</v>
      </c>
      <c r="P947" s="1">
        <f>$C$3+F947*$C$4+H947*$C$6+J947*$C$8+K947*$C$9+L947*$C$10+M947*$C$11</f>
        <v>340268.9928072883</v>
      </c>
      <c r="Q947" s="1">
        <f>(O947-P947)/O947</f>
        <v>-7.7398219313526235E-3</v>
      </c>
      <c r="R947" s="1"/>
      <c r="S947" s="1"/>
    </row>
    <row r="948" spans="1:19" x14ac:dyDescent="0.3">
      <c r="A948" s="2">
        <v>226</v>
      </c>
      <c r="B948" s="3" t="s">
        <v>74</v>
      </c>
      <c r="C948" s="3" t="s">
        <v>163</v>
      </c>
      <c r="D948" s="3" t="s">
        <v>14</v>
      </c>
      <c r="E948" s="3" t="s">
        <v>21</v>
      </c>
      <c r="F948" s="3">
        <f>IF(D948="Urban",1,0)</f>
        <v>0</v>
      </c>
      <c r="G948" s="3">
        <v>16476</v>
      </c>
      <c r="H948" s="3">
        <v>5</v>
      </c>
      <c r="I948" s="3">
        <v>70586</v>
      </c>
      <c r="J948" s="3">
        <f>IF(E948="Cold",1,0)</f>
        <v>0</v>
      </c>
      <c r="K948" s="3">
        <f>IF(E948="Hot",1,0)</f>
        <v>1</v>
      </c>
      <c r="L948" s="3">
        <v>2692</v>
      </c>
      <c r="M948" s="3">
        <v>97</v>
      </c>
      <c r="N948" s="4">
        <v>44275</v>
      </c>
      <c r="O948" s="10">
        <v>342924.2867</v>
      </c>
      <c r="P948" s="1">
        <f>$C$3+F948*$C$4+H948*$C$6+J948*$C$8+K948*$C$9+L948*$C$10+M948*$C$11</f>
        <v>345692.75206414884</v>
      </c>
      <c r="Q948" s="1">
        <f>(O948-P948)/O948</f>
        <v>-8.0731096382531033E-3</v>
      </c>
      <c r="R948" s="1"/>
      <c r="S948" s="1"/>
    </row>
    <row r="949" spans="1:19" x14ac:dyDescent="0.3">
      <c r="A949" s="2">
        <v>454</v>
      </c>
      <c r="B949" s="3" t="s">
        <v>28</v>
      </c>
      <c r="C949" s="3" t="s">
        <v>102</v>
      </c>
      <c r="D949" s="3" t="s">
        <v>18</v>
      </c>
      <c r="E949" s="3" t="s">
        <v>23</v>
      </c>
      <c r="F949" s="3">
        <f>IF(D949="Urban",1,0)</f>
        <v>1</v>
      </c>
      <c r="G949" s="3">
        <v>24320</v>
      </c>
      <c r="H949" s="3">
        <v>0</v>
      </c>
      <c r="I949" s="3">
        <v>86719</v>
      </c>
      <c r="J949" s="3">
        <f>IF(E949="Cold",1,0)</f>
        <v>0</v>
      </c>
      <c r="K949" s="3">
        <f>IF(E949="Hot",1,0)</f>
        <v>0</v>
      </c>
      <c r="L949" s="3">
        <v>1432</v>
      </c>
      <c r="M949" s="3">
        <v>40</v>
      </c>
      <c r="N949" s="4">
        <v>45291</v>
      </c>
      <c r="O949" s="10">
        <v>348266.61129999999</v>
      </c>
      <c r="P949" s="1">
        <f>$C$3+F949*$C$4+H949*$C$6+J949*$C$8+K949*$C$9+L949*$C$10+M949*$C$11</f>
        <v>351162.16309718142</v>
      </c>
      <c r="Q949" s="1">
        <f>(O949-P949)/O949</f>
        <v>-8.3141814438455371E-3</v>
      </c>
      <c r="R949" s="1"/>
      <c r="S949" s="1"/>
    </row>
    <row r="950" spans="1:19" x14ac:dyDescent="0.3">
      <c r="A950" s="2">
        <v>680</v>
      </c>
      <c r="B950" s="3" t="s">
        <v>19</v>
      </c>
      <c r="C950" s="3" t="s">
        <v>199</v>
      </c>
      <c r="D950" s="3" t="s">
        <v>18</v>
      </c>
      <c r="E950" s="3" t="s">
        <v>23</v>
      </c>
      <c r="F950" s="3">
        <f>IF(D950="Urban",1,0)</f>
        <v>1</v>
      </c>
      <c r="G950" s="3">
        <v>1129</v>
      </c>
      <c r="H950" s="3">
        <v>2</v>
      </c>
      <c r="I950" s="3">
        <v>76649</v>
      </c>
      <c r="J950" s="3">
        <f>IF(E950="Cold",1,0)</f>
        <v>0</v>
      </c>
      <c r="K950" s="3">
        <f>IF(E950="Hot",1,0)</f>
        <v>0</v>
      </c>
      <c r="L950" s="3">
        <v>1673</v>
      </c>
      <c r="M950" s="3">
        <v>44</v>
      </c>
      <c r="N950" s="4">
        <v>45543</v>
      </c>
      <c r="O950" s="10">
        <v>352353.94669999997</v>
      </c>
      <c r="P950" s="1">
        <f>$C$3+F950*$C$4+H950*$C$6+J950*$C$8+K950*$C$9+L950*$C$10+M950*$C$11</f>
        <v>355304.53713410947</v>
      </c>
      <c r="Q950" s="1">
        <f>(O950-P950)/O950</f>
        <v>-8.3739389376605543E-3</v>
      </c>
      <c r="R950" s="1"/>
      <c r="S950" s="1"/>
    </row>
    <row r="951" spans="1:19" x14ac:dyDescent="0.3">
      <c r="A951" s="2">
        <v>848</v>
      </c>
      <c r="B951" s="3" t="s">
        <v>72</v>
      </c>
      <c r="C951" s="3" t="s">
        <v>73</v>
      </c>
      <c r="D951" s="3" t="s">
        <v>14</v>
      </c>
      <c r="E951" s="3" t="s">
        <v>21</v>
      </c>
      <c r="F951" s="3">
        <f>IF(D951="Urban",1,0)</f>
        <v>0</v>
      </c>
      <c r="G951" s="3">
        <v>10510</v>
      </c>
      <c r="H951" s="3">
        <v>9</v>
      </c>
      <c r="I951" s="3">
        <v>83842</v>
      </c>
      <c r="J951" s="3">
        <f>IF(E951="Cold",1,0)</f>
        <v>0</v>
      </c>
      <c r="K951" s="3">
        <f>IF(E951="Hot",1,0)</f>
        <v>1</v>
      </c>
      <c r="L951" s="3">
        <v>1104</v>
      </c>
      <c r="M951" s="3">
        <v>35</v>
      </c>
      <c r="N951" s="4">
        <v>44024</v>
      </c>
      <c r="O951" s="10">
        <v>288623.8615</v>
      </c>
      <c r="P951" s="1">
        <f>$C$3+F951*$C$4+H951*$C$6+J951*$C$8+K951*$C$9+L951*$C$10+M951*$C$11</f>
        <v>291090.30293169356</v>
      </c>
      <c r="Q951" s="1">
        <f>(O951-P951)/O951</f>
        <v>-8.5455215617838247E-3</v>
      </c>
      <c r="R951" s="1"/>
      <c r="S951" s="1"/>
    </row>
    <row r="952" spans="1:19" x14ac:dyDescent="0.3">
      <c r="A952" s="2">
        <v>795</v>
      </c>
      <c r="B952" s="3" t="s">
        <v>33</v>
      </c>
      <c r="C952" s="3" t="s">
        <v>91</v>
      </c>
      <c r="D952" s="3" t="s">
        <v>18</v>
      </c>
      <c r="E952" s="3" t="s">
        <v>23</v>
      </c>
      <c r="F952" s="3">
        <f>IF(D952="Urban",1,0)</f>
        <v>1</v>
      </c>
      <c r="G952" s="3">
        <v>7854</v>
      </c>
      <c r="H952" s="3">
        <v>4</v>
      </c>
      <c r="I952" s="3">
        <v>57742</v>
      </c>
      <c r="J952" s="3">
        <f>IF(E952="Cold",1,0)</f>
        <v>0</v>
      </c>
      <c r="K952" s="3">
        <f>IF(E952="Hot",1,0)</f>
        <v>0</v>
      </c>
      <c r="L952" s="3">
        <v>1583</v>
      </c>
      <c r="M952" s="3">
        <v>74</v>
      </c>
      <c r="N952" s="4">
        <v>45286</v>
      </c>
      <c r="O952" s="10">
        <v>357505.91009999998</v>
      </c>
      <c r="P952" s="1">
        <f>$C$3+F952*$C$4+H952*$C$6+J952*$C$8+K952*$C$9+L952*$C$10+M952*$C$11</f>
        <v>360855.10824621934</v>
      </c>
      <c r="Q952" s="1">
        <f>(O952-P952)/O952</f>
        <v>-9.3682315497456876E-3</v>
      </c>
      <c r="R952" s="1"/>
      <c r="S952" s="1"/>
    </row>
    <row r="953" spans="1:19" x14ac:dyDescent="0.3">
      <c r="A953" s="2">
        <v>341</v>
      </c>
      <c r="B953" s="3" t="s">
        <v>55</v>
      </c>
      <c r="C953" s="3" t="s">
        <v>67</v>
      </c>
      <c r="D953" s="3" t="s">
        <v>18</v>
      </c>
      <c r="E953" s="3" t="s">
        <v>21</v>
      </c>
      <c r="F953" s="3">
        <f>IF(D953="Urban",1,0)</f>
        <v>1</v>
      </c>
      <c r="G953" s="3">
        <v>11819</v>
      </c>
      <c r="H953" s="3">
        <v>5</v>
      </c>
      <c r="I953" s="3">
        <v>50806</v>
      </c>
      <c r="J953" s="3">
        <f>IF(E953="Cold",1,0)</f>
        <v>0</v>
      </c>
      <c r="K953" s="3">
        <f>IF(E953="Hot",1,0)</f>
        <v>1</v>
      </c>
      <c r="L953" s="3">
        <v>1189</v>
      </c>
      <c r="M953" s="3">
        <v>27</v>
      </c>
      <c r="N953" s="4">
        <v>44072</v>
      </c>
      <c r="O953" s="10">
        <v>335635.38130000001</v>
      </c>
      <c r="P953" s="1">
        <f>$C$3+F953*$C$4+H953*$C$6+J953*$C$8+K953*$C$9+L953*$C$10+M953*$C$11</f>
        <v>338839.43243846676</v>
      </c>
      <c r="Q953" s="1">
        <f>(O953-P953)/O953</f>
        <v>-9.54622580628018E-3</v>
      </c>
      <c r="R953" s="1"/>
      <c r="S953" s="1"/>
    </row>
    <row r="954" spans="1:19" x14ac:dyDescent="0.3">
      <c r="A954" s="2">
        <v>31</v>
      </c>
      <c r="B954" s="3" t="s">
        <v>37</v>
      </c>
      <c r="C954" s="3" t="s">
        <v>61</v>
      </c>
      <c r="D954" s="3" t="s">
        <v>14</v>
      </c>
      <c r="E954" s="3" t="s">
        <v>15</v>
      </c>
      <c r="F954" s="3">
        <f>IF(D954="Urban",1,0)</f>
        <v>0</v>
      </c>
      <c r="G954" s="3">
        <v>2558</v>
      </c>
      <c r="H954" s="3">
        <v>6</v>
      </c>
      <c r="I954" s="3">
        <v>77245</v>
      </c>
      <c r="J954" s="3">
        <f>IF(E954="Cold",1,0)</f>
        <v>1</v>
      </c>
      <c r="K954" s="3">
        <f>IF(E954="Hot",1,0)</f>
        <v>0</v>
      </c>
      <c r="L954" s="3">
        <v>1496</v>
      </c>
      <c r="M954" s="3">
        <v>44</v>
      </c>
      <c r="N954" s="4">
        <v>43953</v>
      </c>
      <c r="O954" s="10">
        <v>281594.78279999999</v>
      </c>
      <c r="P954" s="1">
        <f>$C$3+F954*$C$4+H954*$C$6+J954*$C$8+K954*$C$9+L954*$C$10+M954*$C$11</f>
        <v>284316.00844802964</v>
      </c>
      <c r="Q954" s="1">
        <f>(O954-P954)/O954</f>
        <v>-9.6636223902002247E-3</v>
      </c>
      <c r="R954" s="1"/>
      <c r="S954" s="1"/>
    </row>
    <row r="955" spans="1:19" x14ac:dyDescent="0.3">
      <c r="A955" s="2">
        <v>155</v>
      </c>
      <c r="B955" s="3" t="s">
        <v>108</v>
      </c>
      <c r="C955" s="3" t="s">
        <v>142</v>
      </c>
      <c r="D955" s="3" t="s">
        <v>14</v>
      </c>
      <c r="E955" s="3" t="s">
        <v>21</v>
      </c>
      <c r="F955" s="3">
        <f>IF(D955="Urban",1,0)</f>
        <v>0</v>
      </c>
      <c r="G955" s="3">
        <v>20136</v>
      </c>
      <c r="H955" s="3">
        <v>7</v>
      </c>
      <c r="I955" s="3">
        <v>55387</v>
      </c>
      <c r="J955" s="3">
        <f>IF(E955="Cold",1,0)</f>
        <v>0</v>
      </c>
      <c r="K955" s="3">
        <f>IF(E955="Hot",1,0)</f>
        <v>1</v>
      </c>
      <c r="L955" s="3">
        <v>2479</v>
      </c>
      <c r="M955" s="3">
        <v>36</v>
      </c>
      <c r="N955" s="4">
        <v>44527</v>
      </c>
      <c r="O955" s="10">
        <v>317453.76390000002</v>
      </c>
      <c r="P955" s="1">
        <f>$C$3+F955*$C$4+H955*$C$6+J955*$C$8+K955*$C$9+L955*$C$10+M955*$C$11</f>
        <v>320739.67296257167</v>
      </c>
      <c r="Q955" s="1">
        <f>(O955-P955)/O955</f>
        <v>-1.0350827226627975E-2</v>
      </c>
      <c r="R955" s="1"/>
      <c r="S955" s="1"/>
    </row>
    <row r="956" spans="1:19" x14ac:dyDescent="0.3">
      <c r="A956" s="2">
        <v>145</v>
      </c>
      <c r="B956" s="3" t="s">
        <v>29</v>
      </c>
      <c r="C956" s="3" t="s">
        <v>104</v>
      </c>
      <c r="D956" s="3" t="s">
        <v>18</v>
      </c>
      <c r="E956" s="3" t="s">
        <v>21</v>
      </c>
      <c r="F956" s="3">
        <f>IF(D956="Urban",1,0)</f>
        <v>1</v>
      </c>
      <c r="G956" s="3">
        <v>13177</v>
      </c>
      <c r="H956" s="3">
        <v>5</v>
      </c>
      <c r="I956" s="3">
        <v>51851</v>
      </c>
      <c r="J956" s="3">
        <f>IF(E956="Cold",1,0)</f>
        <v>0</v>
      </c>
      <c r="K956" s="3">
        <f>IF(E956="Hot",1,0)</f>
        <v>1</v>
      </c>
      <c r="L956" s="3">
        <v>2604</v>
      </c>
      <c r="M956" s="3">
        <v>82</v>
      </c>
      <c r="N956" s="4">
        <v>44394</v>
      </c>
      <c r="O956" s="10">
        <v>379828.5956</v>
      </c>
      <c r="P956" s="1">
        <f>$C$3+F956*$C$4+H956*$C$6+J956*$C$8+K956*$C$9+L956*$C$10+M956*$C$11</f>
        <v>384031.31095611566</v>
      </c>
      <c r="Q956" s="1">
        <f>(O956-P956)/O956</f>
        <v>-1.1064768173856944E-2</v>
      </c>
      <c r="R956" s="1"/>
      <c r="S956" s="1"/>
    </row>
    <row r="957" spans="1:19" x14ac:dyDescent="0.3">
      <c r="A957" s="2">
        <v>76</v>
      </c>
      <c r="B957" s="3" t="s">
        <v>26</v>
      </c>
      <c r="C957" s="3" t="s">
        <v>93</v>
      </c>
      <c r="D957" s="3" t="s">
        <v>18</v>
      </c>
      <c r="E957" s="3" t="s">
        <v>23</v>
      </c>
      <c r="F957" s="3">
        <f>IF(D957="Urban",1,0)</f>
        <v>1</v>
      </c>
      <c r="G957" s="3">
        <v>1507</v>
      </c>
      <c r="H957" s="3">
        <v>9</v>
      </c>
      <c r="I957" s="3">
        <v>60391</v>
      </c>
      <c r="J957" s="3">
        <f>IF(E957="Cold",1,0)</f>
        <v>0</v>
      </c>
      <c r="K957" s="3">
        <f>IF(E957="Hot",1,0)</f>
        <v>0</v>
      </c>
      <c r="L957" s="3">
        <v>1451</v>
      </c>
      <c r="M957" s="3">
        <v>60</v>
      </c>
      <c r="N957" s="4">
        <v>44865</v>
      </c>
      <c r="O957" s="10">
        <v>345302.49</v>
      </c>
      <c r="P957" s="1">
        <f>$C$3+F957*$C$4+H957*$C$6+J957*$C$8+K957*$C$9+L957*$C$10+M957*$C$11</f>
        <v>349155.06882587005</v>
      </c>
      <c r="Q957" s="1">
        <f>(O957-P957)/O957</f>
        <v>-1.1157112784996318E-2</v>
      </c>
      <c r="R957" s="1"/>
      <c r="S957" s="1"/>
    </row>
    <row r="958" spans="1:19" x14ac:dyDescent="0.3">
      <c r="A958" s="2">
        <v>308</v>
      </c>
      <c r="B958" s="3" t="s">
        <v>53</v>
      </c>
      <c r="C958" s="3" t="s">
        <v>178</v>
      </c>
      <c r="D958" s="3" t="s">
        <v>14</v>
      </c>
      <c r="E958" s="3" t="s">
        <v>15</v>
      </c>
      <c r="F958" s="3">
        <f>IF(D958="Urban",1,0)</f>
        <v>0</v>
      </c>
      <c r="G958" s="3">
        <v>16242</v>
      </c>
      <c r="H958" s="3">
        <v>5</v>
      </c>
      <c r="I958" s="3">
        <v>81727</v>
      </c>
      <c r="J958" s="3">
        <f>IF(E958="Cold",1,0)</f>
        <v>1</v>
      </c>
      <c r="K958" s="3">
        <f>IF(E958="Hot",1,0)</f>
        <v>0</v>
      </c>
      <c r="L958" s="3">
        <v>1653</v>
      </c>
      <c r="M958" s="3">
        <v>96</v>
      </c>
      <c r="N958" s="4">
        <v>43997</v>
      </c>
      <c r="O958" s="10">
        <v>300929.9314</v>
      </c>
      <c r="P958" s="1">
        <f>$C$3+F958*$C$4+H958*$C$6+J958*$C$8+K958*$C$9+L958*$C$10+M958*$C$11</f>
        <v>304427.32476230437</v>
      </c>
      <c r="Q958" s="1">
        <f>(O958-P958)/O958</f>
        <v>-1.1621952479215467E-2</v>
      </c>
      <c r="R958" s="1"/>
      <c r="S958" s="1"/>
    </row>
    <row r="959" spans="1:19" x14ac:dyDescent="0.3">
      <c r="A959" s="2">
        <v>663</v>
      </c>
      <c r="B959" s="3" t="s">
        <v>122</v>
      </c>
      <c r="C959" s="3" t="s">
        <v>194</v>
      </c>
      <c r="D959" s="3" t="s">
        <v>18</v>
      </c>
      <c r="E959" s="3" t="s">
        <v>23</v>
      </c>
      <c r="F959" s="3">
        <f>IF(D959="Urban",1,0)</f>
        <v>1</v>
      </c>
      <c r="G959" s="3">
        <v>2874</v>
      </c>
      <c r="H959" s="3">
        <v>2</v>
      </c>
      <c r="I959" s="3">
        <v>51981</v>
      </c>
      <c r="J959" s="3">
        <f>IF(E959="Cold",1,0)</f>
        <v>0</v>
      </c>
      <c r="K959" s="3">
        <f>IF(E959="Hot",1,0)</f>
        <v>0</v>
      </c>
      <c r="L959" s="3">
        <v>2280</v>
      </c>
      <c r="M959" s="3">
        <v>68</v>
      </c>
      <c r="N959" s="4">
        <v>43881</v>
      </c>
      <c r="O959" s="10">
        <v>370489.03649999999</v>
      </c>
      <c r="P959" s="1">
        <f>$C$3+F959*$C$4+H959*$C$6+J959*$C$8+K959*$C$9+L959*$C$10+M959*$C$11</f>
        <v>374815.98768466804</v>
      </c>
      <c r="Q959" s="1">
        <f>(O959-P959)/O959</f>
        <v>-1.1679026255526064E-2</v>
      </c>
      <c r="R959" s="1"/>
      <c r="S959" s="1"/>
    </row>
    <row r="960" spans="1:19" x14ac:dyDescent="0.3">
      <c r="A960" s="2">
        <v>660</v>
      </c>
      <c r="B960" s="3" t="s">
        <v>40</v>
      </c>
      <c r="C960" s="3" t="s">
        <v>103</v>
      </c>
      <c r="D960" s="3" t="s">
        <v>18</v>
      </c>
      <c r="E960" s="3" t="s">
        <v>15</v>
      </c>
      <c r="F960" s="3">
        <f>IF(D960="Urban",1,0)</f>
        <v>1</v>
      </c>
      <c r="G960" s="3">
        <v>5995</v>
      </c>
      <c r="H960" s="3">
        <v>3</v>
      </c>
      <c r="I960" s="3">
        <v>86960</v>
      </c>
      <c r="J960" s="3">
        <f>IF(E960="Cold",1,0)</f>
        <v>1</v>
      </c>
      <c r="K960" s="3">
        <f>IF(E960="Hot",1,0)</f>
        <v>0</v>
      </c>
      <c r="L960" s="3">
        <v>1185</v>
      </c>
      <c r="M960" s="3">
        <v>70</v>
      </c>
      <c r="N960" s="4">
        <v>44817</v>
      </c>
      <c r="O960" s="10">
        <v>329739.65710000001</v>
      </c>
      <c r="P960" s="1">
        <f>$C$3+F960*$C$4+H960*$C$6+J960*$C$8+K960*$C$9+L960*$C$10+M960*$C$11</f>
        <v>333691.86934317113</v>
      </c>
      <c r="Q960" s="1">
        <f>(O960-P960)/O960</f>
        <v>-1.1985856593441329E-2</v>
      </c>
      <c r="R960" s="1"/>
      <c r="S960" s="1"/>
    </row>
    <row r="961" spans="1:19" x14ac:dyDescent="0.3">
      <c r="A961" s="2">
        <v>280</v>
      </c>
      <c r="B961" s="3" t="s">
        <v>40</v>
      </c>
      <c r="C961" s="3" t="s">
        <v>182</v>
      </c>
      <c r="D961" s="3" t="s">
        <v>18</v>
      </c>
      <c r="E961" s="3" t="s">
        <v>21</v>
      </c>
      <c r="F961" s="3">
        <f>IF(D961="Urban",1,0)</f>
        <v>1</v>
      </c>
      <c r="G961" s="3">
        <v>14890</v>
      </c>
      <c r="H961" s="3">
        <v>1</v>
      </c>
      <c r="I961" s="3">
        <v>53648</v>
      </c>
      <c r="J961" s="3">
        <f>IF(E961="Cold",1,0)</f>
        <v>0</v>
      </c>
      <c r="K961" s="3">
        <f>IF(E961="Hot",1,0)</f>
        <v>1</v>
      </c>
      <c r="L961" s="3">
        <v>2692</v>
      </c>
      <c r="M961" s="3">
        <v>21</v>
      </c>
      <c r="N961" s="4">
        <v>43862</v>
      </c>
      <c r="O961" s="10">
        <v>366259.63630000001</v>
      </c>
      <c r="P961" s="1">
        <f>$C$3+F961*$C$4+H961*$C$6+J961*$C$8+K961*$C$9+L961*$C$10+M961*$C$11</f>
        <v>370785.89003629592</v>
      </c>
      <c r="Q961" s="1">
        <f>(O961-P961)/O961</f>
        <v>-1.2358046827165245E-2</v>
      </c>
      <c r="R961" s="1"/>
      <c r="S961" s="1"/>
    </row>
    <row r="962" spans="1:19" x14ac:dyDescent="0.3">
      <c r="A962" s="2">
        <v>5</v>
      </c>
      <c r="B962" s="3" t="s">
        <v>26</v>
      </c>
      <c r="C962" s="3" t="s">
        <v>27</v>
      </c>
      <c r="D962" s="3" t="s">
        <v>18</v>
      </c>
      <c r="E962" s="3" t="s">
        <v>15</v>
      </c>
      <c r="F962" s="3">
        <f>IF(D962="Urban",1,0)</f>
        <v>1</v>
      </c>
      <c r="G962" s="3">
        <v>1605</v>
      </c>
      <c r="H962" s="3">
        <v>1</v>
      </c>
      <c r="I962" s="3">
        <v>96860</v>
      </c>
      <c r="J962" s="3">
        <f>IF(E962="Cold",1,0)</f>
        <v>1</v>
      </c>
      <c r="K962" s="3">
        <f>IF(E962="Hot",1,0)</f>
        <v>0</v>
      </c>
      <c r="L962" s="3">
        <v>1701</v>
      </c>
      <c r="M962" s="3">
        <v>63</v>
      </c>
      <c r="N962" s="4">
        <v>44281</v>
      </c>
      <c r="O962" s="10">
        <v>339285.53570000001</v>
      </c>
      <c r="P962" s="1">
        <f>$C$3+F962*$C$4+H962*$C$6+J962*$C$8+K962*$C$9+L962*$C$10+M962*$C$11</f>
        <v>343732.29257521295</v>
      </c>
      <c r="Q962" s="1">
        <f>(O962-P962)/O962</f>
        <v>-1.3106237688672988E-2</v>
      </c>
      <c r="R962" s="1"/>
      <c r="S962" s="1"/>
    </row>
    <row r="963" spans="1:19" x14ac:dyDescent="0.3">
      <c r="A963" s="2">
        <v>189</v>
      </c>
      <c r="B963" s="3" t="s">
        <v>53</v>
      </c>
      <c r="C963" s="3" t="s">
        <v>152</v>
      </c>
      <c r="D963" s="3" t="s">
        <v>18</v>
      </c>
      <c r="E963" s="3" t="s">
        <v>23</v>
      </c>
      <c r="F963" s="3">
        <f>IF(D963="Urban",1,0)</f>
        <v>1</v>
      </c>
      <c r="G963" s="3">
        <v>10590</v>
      </c>
      <c r="H963" s="3">
        <v>5</v>
      </c>
      <c r="I963" s="3">
        <v>94206</v>
      </c>
      <c r="J963" s="3">
        <f>IF(E963="Cold",1,0)</f>
        <v>0</v>
      </c>
      <c r="K963" s="3">
        <f>IF(E963="Hot",1,0)</f>
        <v>0</v>
      </c>
      <c r="L963" s="3">
        <v>1845</v>
      </c>
      <c r="M963" s="3">
        <v>53</v>
      </c>
      <c r="N963" s="4">
        <v>44726</v>
      </c>
      <c r="O963" s="10">
        <v>354012.88549999997</v>
      </c>
      <c r="P963" s="1">
        <f>$C$3+F963*$C$4+H963*$C$6+J963*$C$8+K963*$C$9+L963*$C$10+M963*$C$11</f>
        <v>358660.92718326102</v>
      </c>
      <c r="Q963" s="1">
        <f>(O963-P963)/O963</f>
        <v>-1.312958333902524E-2</v>
      </c>
      <c r="R963" s="1"/>
      <c r="S963" s="1"/>
    </row>
    <row r="964" spans="1:19" x14ac:dyDescent="0.3">
      <c r="A964" s="2">
        <v>143</v>
      </c>
      <c r="B964" s="3" t="s">
        <v>40</v>
      </c>
      <c r="C964" s="3" t="s">
        <v>136</v>
      </c>
      <c r="D964" s="3" t="s">
        <v>14</v>
      </c>
      <c r="E964" s="3" t="s">
        <v>23</v>
      </c>
      <c r="F964" s="3">
        <f>IF(D964="Urban",1,0)</f>
        <v>0</v>
      </c>
      <c r="G964" s="3">
        <v>4725</v>
      </c>
      <c r="H964" s="3">
        <v>8</v>
      </c>
      <c r="I964" s="3">
        <v>54044</v>
      </c>
      <c r="J964" s="3">
        <f>IF(E964="Cold",1,0)</f>
        <v>0</v>
      </c>
      <c r="K964" s="3">
        <f>IF(E964="Hot",1,0)</f>
        <v>0</v>
      </c>
      <c r="L964" s="3">
        <v>2862</v>
      </c>
      <c r="M964" s="3">
        <v>65</v>
      </c>
      <c r="N964" s="4">
        <v>43878</v>
      </c>
      <c r="O964" s="10">
        <v>330743.34879999998</v>
      </c>
      <c r="P964" s="1">
        <f>$C$3+F964*$C$4+H964*$C$6+J964*$C$8+K964*$C$9+L964*$C$10+M964*$C$11</f>
        <v>335087.48531472497</v>
      </c>
      <c r="Q964" s="1">
        <f>(O964-P964)/O964</f>
        <v>-1.3134463717823338E-2</v>
      </c>
      <c r="R964" s="1"/>
      <c r="S964" s="1"/>
    </row>
    <row r="965" spans="1:19" x14ac:dyDescent="0.3">
      <c r="A965" s="2">
        <v>963</v>
      </c>
      <c r="B965" s="3" t="s">
        <v>35</v>
      </c>
      <c r="C965" s="3" t="s">
        <v>148</v>
      </c>
      <c r="D965" s="3" t="s">
        <v>18</v>
      </c>
      <c r="E965" s="3" t="s">
        <v>23</v>
      </c>
      <c r="F965" s="3">
        <f>IF(D965="Urban",1,0)</f>
        <v>1</v>
      </c>
      <c r="G965" s="3">
        <v>11994</v>
      </c>
      <c r="H965" s="3">
        <v>4</v>
      </c>
      <c r="I965" s="3">
        <v>52354</v>
      </c>
      <c r="J965" s="3">
        <f>IF(E965="Cold",1,0)</f>
        <v>0</v>
      </c>
      <c r="K965" s="3">
        <f>IF(E965="Hot",1,0)</f>
        <v>0</v>
      </c>
      <c r="L965" s="3">
        <v>2382</v>
      </c>
      <c r="M965" s="3">
        <v>37</v>
      </c>
      <c r="N965" s="4">
        <v>43963</v>
      </c>
      <c r="O965" s="10">
        <v>360600.6128</v>
      </c>
      <c r="P965" s="1">
        <f>$C$3+F965*$C$4+H965*$C$6+J965*$C$8+K965*$C$9+L965*$C$10+M965*$C$11</f>
        <v>365396.28053060861</v>
      </c>
      <c r="Q965" s="1">
        <f>(O965-P965)/O965</f>
        <v>-1.329911142793434E-2</v>
      </c>
      <c r="R965" s="1"/>
      <c r="S965" s="1"/>
    </row>
    <row r="966" spans="1:19" x14ac:dyDescent="0.3">
      <c r="A966" s="2">
        <v>102</v>
      </c>
      <c r="B966" s="3" t="s">
        <v>37</v>
      </c>
      <c r="C966" s="3" t="s">
        <v>61</v>
      </c>
      <c r="D966" s="3" t="s">
        <v>18</v>
      </c>
      <c r="E966" s="3" t="s">
        <v>23</v>
      </c>
      <c r="F966" s="3">
        <f>IF(D966="Urban",1,0)</f>
        <v>1</v>
      </c>
      <c r="G966" s="3">
        <v>3004</v>
      </c>
      <c r="H966" s="3">
        <v>5</v>
      </c>
      <c r="I966" s="3">
        <v>74615</v>
      </c>
      <c r="J966" s="3">
        <f>IF(E966="Cold",1,0)</f>
        <v>0</v>
      </c>
      <c r="K966" s="3">
        <f>IF(E966="Hot",1,0)</f>
        <v>0</v>
      </c>
      <c r="L966" s="3">
        <v>1144</v>
      </c>
      <c r="M966" s="3">
        <v>71</v>
      </c>
      <c r="N966" s="4">
        <v>45096</v>
      </c>
      <c r="O966" s="10">
        <v>345226.64299999998</v>
      </c>
      <c r="P966" s="1">
        <f>$C$3+F966*$C$4+H966*$C$6+J966*$C$8+K966*$C$9+L966*$C$10+M966*$C$11</f>
        <v>350219.17524370278</v>
      </c>
      <c r="Q966" s="1">
        <f>(O966-P966)/O966</f>
        <v>-1.4461607598758806E-2</v>
      </c>
      <c r="R966" s="1"/>
      <c r="S966" s="1"/>
    </row>
    <row r="967" spans="1:19" x14ac:dyDescent="0.3">
      <c r="A967" s="2">
        <v>243</v>
      </c>
      <c r="B967" s="3" t="s">
        <v>29</v>
      </c>
      <c r="C967" s="3" t="s">
        <v>110</v>
      </c>
      <c r="D967" s="3" t="s">
        <v>18</v>
      </c>
      <c r="E967" s="3" t="s">
        <v>21</v>
      </c>
      <c r="F967" s="3">
        <f>IF(D967="Urban",1,0)</f>
        <v>1</v>
      </c>
      <c r="G967" s="3">
        <v>7971</v>
      </c>
      <c r="H967" s="3">
        <v>0</v>
      </c>
      <c r="I967" s="3">
        <v>98146</v>
      </c>
      <c r="J967" s="3">
        <f>IF(E967="Cold",1,0)</f>
        <v>0</v>
      </c>
      <c r="K967" s="3">
        <f>IF(E967="Hot",1,0)</f>
        <v>1</v>
      </c>
      <c r="L967" s="3">
        <v>1826</v>
      </c>
      <c r="M967" s="3">
        <v>94</v>
      </c>
      <c r="N967" s="4">
        <v>45376</v>
      </c>
      <c r="O967" s="10">
        <v>370839.3052</v>
      </c>
      <c r="P967" s="1">
        <f>$C$3+F967*$C$4+H967*$C$6+J967*$C$8+K967*$C$9+L967*$C$10+M967*$C$11</f>
        <v>376953.97418924473</v>
      </c>
      <c r="Q967" s="1">
        <f>(O967-P967)/O967</f>
        <v>-1.6488729494159166E-2</v>
      </c>
      <c r="R967" s="1"/>
      <c r="S967" s="1"/>
    </row>
    <row r="968" spans="1:19" x14ac:dyDescent="0.3">
      <c r="A968" s="2">
        <v>132</v>
      </c>
      <c r="B968" s="3" t="s">
        <v>53</v>
      </c>
      <c r="C968" s="3" t="s">
        <v>131</v>
      </c>
      <c r="D968" s="3" t="s">
        <v>18</v>
      </c>
      <c r="E968" s="3" t="s">
        <v>21</v>
      </c>
      <c r="F968" s="3">
        <f>IF(D968="Urban",1,0)</f>
        <v>1</v>
      </c>
      <c r="G968" s="3">
        <v>10315</v>
      </c>
      <c r="H968" s="3">
        <v>3</v>
      </c>
      <c r="I968" s="3">
        <v>81720</v>
      </c>
      <c r="J968" s="3">
        <f>IF(E968="Cold",1,0)</f>
        <v>0</v>
      </c>
      <c r="K968" s="3">
        <f>IF(E968="Hot",1,0)</f>
        <v>1</v>
      </c>
      <c r="L968" s="3">
        <v>1360</v>
      </c>
      <c r="M968" s="3">
        <v>74</v>
      </c>
      <c r="N968" s="4">
        <v>43864</v>
      </c>
      <c r="O968" s="10">
        <v>352760.29519999999</v>
      </c>
      <c r="P968" s="1">
        <f>$C$3+F968*$C$4+H968*$C$6+J968*$C$8+K968*$C$9+L968*$C$10+M968*$C$11</f>
        <v>358639.09495294077</v>
      </c>
      <c r="Q968" s="1">
        <f>(O968-P968)/O968</f>
        <v>-1.6665140133210698E-2</v>
      </c>
      <c r="R968" s="1"/>
      <c r="S968" s="1"/>
    </row>
    <row r="969" spans="1:19" x14ac:dyDescent="0.3">
      <c r="A969" s="2">
        <v>137</v>
      </c>
      <c r="B969" s="3" t="s">
        <v>122</v>
      </c>
      <c r="C969" s="3" t="s">
        <v>133</v>
      </c>
      <c r="D969" s="3" t="s">
        <v>14</v>
      </c>
      <c r="E969" s="3" t="s">
        <v>21</v>
      </c>
      <c r="F969" s="3">
        <f>IF(D969="Urban",1,0)</f>
        <v>0</v>
      </c>
      <c r="G969" s="3">
        <v>3848</v>
      </c>
      <c r="H969" s="3">
        <v>0</v>
      </c>
      <c r="I969" s="3">
        <v>52279</v>
      </c>
      <c r="J969" s="3">
        <f>IF(E969="Cold",1,0)</f>
        <v>0</v>
      </c>
      <c r="K969" s="3">
        <f>IF(E969="Hot",1,0)</f>
        <v>1</v>
      </c>
      <c r="L969" s="3">
        <v>2286</v>
      </c>
      <c r="M969" s="3">
        <v>50</v>
      </c>
      <c r="N969" s="4">
        <v>44624</v>
      </c>
      <c r="O969" s="10">
        <v>322406.24839999998</v>
      </c>
      <c r="P969" s="1">
        <f>$C$3+F969*$C$4+H969*$C$6+J969*$C$8+K969*$C$9+L969*$C$10+M969*$C$11</f>
        <v>327853.86621957575</v>
      </c>
      <c r="Q969" s="1">
        <f>(O969-P969)/O969</f>
        <v>-1.689675013003181E-2</v>
      </c>
      <c r="R969" s="1"/>
      <c r="S969" s="1"/>
    </row>
    <row r="970" spans="1:19" x14ac:dyDescent="0.3">
      <c r="A970" s="2">
        <v>363</v>
      </c>
      <c r="B970" s="3" t="s">
        <v>19</v>
      </c>
      <c r="C970" s="3" t="s">
        <v>179</v>
      </c>
      <c r="D970" s="3" t="s">
        <v>18</v>
      </c>
      <c r="E970" s="3" t="s">
        <v>21</v>
      </c>
      <c r="F970" s="3">
        <f>IF(D970="Urban",1,0)</f>
        <v>1</v>
      </c>
      <c r="G970" s="3">
        <v>19979</v>
      </c>
      <c r="H970" s="3">
        <v>0</v>
      </c>
      <c r="I970" s="3">
        <v>79593</v>
      </c>
      <c r="J970" s="3">
        <f>IF(E970="Cold",1,0)</f>
        <v>0</v>
      </c>
      <c r="K970" s="3">
        <f>IF(E970="Hot",1,0)</f>
        <v>1</v>
      </c>
      <c r="L970" s="3">
        <v>2818</v>
      </c>
      <c r="M970" s="3">
        <v>32</v>
      </c>
      <c r="N970" s="4">
        <v>44097</v>
      </c>
      <c r="O970" s="10">
        <v>371150.75069999998</v>
      </c>
      <c r="P970" s="1">
        <f>$C$3+F970*$C$4+H970*$C$6+J970*$C$8+K970*$C$9+L970*$C$10+M970*$C$11</f>
        <v>377641.10643691086</v>
      </c>
      <c r="Q970" s="1">
        <f>(O970-P970)/O970</f>
        <v>-1.7487114668823679E-2</v>
      </c>
      <c r="R970" s="1"/>
      <c r="S970" s="1"/>
    </row>
    <row r="971" spans="1:19" x14ac:dyDescent="0.3">
      <c r="A971" s="2">
        <v>103</v>
      </c>
      <c r="B971" s="3" t="s">
        <v>28</v>
      </c>
      <c r="C971" s="3" t="s">
        <v>112</v>
      </c>
      <c r="D971" s="3" t="s">
        <v>14</v>
      </c>
      <c r="E971" s="3" t="s">
        <v>21</v>
      </c>
      <c r="F971" s="3">
        <f>IF(D971="Urban",1,0)</f>
        <v>0</v>
      </c>
      <c r="G971" s="3">
        <v>662</v>
      </c>
      <c r="H971" s="3">
        <v>6</v>
      </c>
      <c r="I971" s="3">
        <v>84034</v>
      </c>
      <c r="J971" s="3">
        <f>IF(E971="Cold",1,0)</f>
        <v>0</v>
      </c>
      <c r="K971" s="3">
        <f>IF(E971="Hot",1,0)</f>
        <v>1</v>
      </c>
      <c r="L971" s="3">
        <v>1525</v>
      </c>
      <c r="M971" s="3">
        <v>34</v>
      </c>
      <c r="N971" s="4">
        <v>45403</v>
      </c>
      <c r="O971" s="10">
        <v>296838.54690000002</v>
      </c>
      <c r="P971" s="1">
        <f>$C$3+F971*$C$4+H971*$C$6+J971*$C$8+K971*$C$9+L971*$C$10+M971*$C$11</f>
        <v>302034.28419964085</v>
      </c>
      <c r="Q971" s="1">
        <f>(O971-P971)/O971</f>
        <v>-1.7503580157974548E-2</v>
      </c>
      <c r="R971" s="1"/>
      <c r="S971" s="1"/>
    </row>
    <row r="972" spans="1:19" x14ac:dyDescent="0.3">
      <c r="A972" s="2">
        <v>232</v>
      </c>
      <c r="B972" s="3" t="s">
        <v>55</v>
      </c>
      <c r="C972" s="3" t="s">
        <v>169</v>
      </c>
      <c r="D972" s="3" t="s">
        <v>14</v>
      </c>
      <c r="E972" s="3" t="s">
        <v>23</v>
      </c>
      <c r="F972" s="3">
        <f>IF(D972="Urban",1,0)</f>
        <v>0</v>
      </c>
      <c r="G972" s="3">
        <v>2269</v>
      </c>
      <c r="H972" s="3">
        <v>6</v>
      </c>
      <c r="I972" s="3">
        <v>70207</v>
      </c>
      <c r="J972" s="3">
        <f>IF(E972="Cold",1,0)</f>
        <v>0</v>
      </c>
      <c r="K972" s="3">
        <f>IF(E972="Hot",1,0)</f>
        <v>0</v>
      </c>
      <c r="L972" s="3">
        <v>2081</v>
      </c>
      <c r="M972" s="3">
        <v>72</v>
      </c>
      <c r="N972" s="4">
        <v>44794</v>
      </c>
      <c r="O972" s="10">
        <v>317956.70110000001</v>
      </c>
      <c r="P972" s="1">
        <f>$C$3+F972*$C$4+H972*$C$6+J972*$C$8+K972*$C$9+L972*$C$10+M972*$C$11</f>
        <v>323558.83426903374</v>
      </c>
      <c r="Q972" s="1">
        <f>(O972-P972)/O972</f>
        <v>-1.7619169999099411E-2</v>
      </c>
      <c r="R972" s="1"/>
      <c r="S972" s="1"/>
    </row>
    <row r="973" spans="1:19" x14ac:dyDescent="0.3">
      <c r="A973" s="2">
        <v>390</v>
      </c>
      <c r="B973" s="3" t="s">
        <v>53</v>
      </c>
      <c r="C973" s="3" t="s">
        <v>197</v>
      </c>
      <c r="D973" s="3" t="s">
        <v>18</v>
      </c>
      <c r="E973" s="3" t="s">
        <v>23</v>
      </c>
      <c r="F973" s="3">
        <f>IF(D973="Urban",1,0)</f>
        <v>1</v>
      </c>
      <c r="G973" s="3">
        <v>21381</v>
      </c>
      <c r="H973" s="3">
        <v>5</v>
      </c>
      <c r="I973" s="3">
        <v>52031</v>
      </c>
      <c r="J973" s="3">
        <f>IF(E973="Cold",1,0)</f>
        <v>0</v>
      </c>
      <c r="K973" s="3">
        <f>IF(E973="Hot",1,0)</f>
        <v>0</v>
      </c>
      <c r="L973" s="3">
        <v>1840</v>
      </c>
      <c r="M973" s="3">
        <v>81</v>
      </c>
      <c r="N973" s="4">
        <v>44349</v>
      </c>
      <c r="O973" s="10">
        <v>360755.55910000001</v>
      </c>
      <c r="P973" s="1">
        <f>$C$3+F973*$C$4+H973*$C$6+J973*$C$8+K973*$C$9+L973*$C$10+M973*$C$11</f>
        <v>367191.58284666046</v>
      </c>
      <c r="Q973" s="1">
        <f>(O973-P973)/O973</f>
        <v>-1.7840400748686466E-2</v>
      </c>
      <c r="R973" s="1"/>
      <c r="S973" s="1"/>
    </row>
    <row r="974" spans="1:19" x14ac:dyDescent="0.3">
      <c r="A974" s="2">
        <v>228</v>
      </c>
      <c r="B974" s="3" t="s">
        <v>72</v>
      </c>
      <c r="C974" s="3" t="s">
        <v>167</v>
      </c>
      <c r="D974" s="3" t="s">
        <v>18</v>
      </c>
      <c r="E974" s="3" t="s">
        <v>15</v>
      </c>
      <c r="F974" s="3">
        <f>IF(D974="Urban",1,0)</f>
        <v>1</v>
      </c>
      <c r="G974" s="3">
        <v>7620</v>
      </c>
      <c r="H974" s="3">
        <v>9</v>
      </c>
      <c r="I974" s="3">
        <v>76567</v>
      </c>
      <c r="J974" s="3">
        <f>IF(E974="Cold",1,0)</f>
        <v>1</v>
      </c>
      <c r="K974" s="3">
        <f>IF(E974="Hot",1,0)</f>
        <v>0</v>
      </c>
      <c r="L974" s="3">
        <v>1831</v>
      </c>
      <c r="M974" s="3">
        <v>94</v>
      </c>
      <c r="N974" s="4">
        <v>43929</v>
      </c>
      <c r="O974" s="10">
        <v>342151.85969999997</v>
      </c>
      <c r="P974" s="1">
        <f>$C$3+F974*$C$4+H974*$C$6+J974*$C$8+K974*$C$9+L974*$C$10+M974*$C$11</f>
        <v>348281.05894426815</v>
      </c>
      <c r="Q974" s="1">
        <f>(O974-P974)/O974</f>
        <v>-1.7913680929989056E-2</v>
      </c>
      <c r="R974" s="1"/>
      <c r="S974" s="1"/>
    </row>
    <row r="975" spans="1:19" x14ac:dyDescent="0.3">
      <c r="A975" s="2">
        <v>366</v>
      </c>
      <c r="B975" s="3" t="s">
        <v>72</v>
      </c>
      <c r="C975" s="3" t="s">
        <v>96</v>
      </c>
      <c r="D975" s="3" t="s">
        <v>14</v>
      </c>
      <c r="E975" s="3" t="s">
        <v>23</v>
      </c>
      <c r="F975" s="3">
        <f>IF(D975="Urban",1,0)</f>
        <v>0</v>
      </c>
      <c r="G975" s="3">
        <v>1922</v>
      </c>
      <c r="H975" s="3">
        <v>9</v>
      </c>
      <c r="I975" s="3">
        <v>97099</v>
      </c>
      <c r="J975" s="3">
        <f>IF(E975="Cold",1,0)</f>
        <v>0</v>
      </c>
      <c r="K975" s="3">
        <f>IF(E975="Hot",1,0)</f>
        <v>0</v>
      </c>
      <c r="L975" s="3">
        <v>1510</v>
      </c>
      <c r="M975" s="3">
        <v>36</v>
      </c>
      <c r="N975" s="4">
        <v>44058</v>
      </c>
      <c r="O975" s="10">
        <v>292459.39539999998</v>
      </c>
      <c r="P975" s="1">
        <f>$C$3+F975*$C$4+H975*$C$6+J975*$C$8+K975*$C$9+L975*$C$10+M975*$C$11</f>
        <v>298216.78418709669</v>
      </c>
      <c r="Q975" s="1">
        <f>(O975-P975)/O975</f>
        <v>-1.9686113278126253E-2</v>
      </c>
      <c r="R975" s="1"/>
      <c r="S975" s="1"/>
    </row>
    <row r="976" spans="1:19" x14ac:dyDescent="0.3">
      <c r="A976" s="2">
        <v>558</v>
      </c>
      <c r="B976" s="3" t="s">
        <v>40</v>
      </c>
      <c r="C976" s="3" t="s">
        <v>41</v>
      </c>
      <c r="D976" s="3" t="s">
        <v>14</v>
      </c>
      <c r="E976" s="3" t="s">
        <v>23</v>
      </c>
      <c r="F976" s="3">
        <f>IF(D976="Urban",1,0)</f>
        <v>0</v>
      </c>
      <c r="G976" s="3">
        <v>14600</v>
      </c>
      <c r="H976" s="3">
        <v>3</v>
      </c>
      <c r="I976" s="3">
        <v>94640</v>
      </c>
      <c r="J976" s="3">
        <f>IF(E976="Cold",1,0)</f>
        <v>0</v>
      </c>
      <c r="K976" s="3">
        <f>IF(E976="Hot",1,0)</f>
        <v>0</v>
      </c>
      <c r="L976" s="3">
        <v>2583</v>
      </c>
      <c r="M976" s="3">
        <v>40</v>
      </c>
      <c r="N976" s="4">
        <v>44944</v>
      </c>
      <c r="O976" s="10">
        <v>320211.62400000001</v>
      </c>
      <c r="P976" s="1">
        <f>$C$3+F976*$C$4+H976*$C$6+J976*$C$8+K976*$C$9+L976*$C$10+M976*$C$11</f>
        <v>326564.20562727639</v>
      </c>
      <c r="Q976" s="1">
        <f>(O976-P976)/O976</f>
        <v>-1.9838697758443574E-2</v>
      </c>
      <c r="R976" s="1"/>
      <c r="S976" s="1"/>
    </row>
    <row r="977" spans="1:19" x14ac:dyDescent="0.3">
      <c r="A977" s="2">
        <v>542</v>
      </c>
      <c r="B977" s="3" t="s">
        <v>31</v>
      </c>
      <c r="C977" s="3" t="s">
        <v>146</v>
      </c>
      <c r="D977" s="3" t="s">
        <v>18</v>
      </c>
      <c r="E977" s="3" t="s">
        <v>15</v>
      </c>
      <c r="F977" s="3">
        <f>IF(D977="Urban",1,0)</f>
        <v>1</v>
      </c>
      <c r="G977" s="3">
        <v>21843</v>
      </c>
      <c r="H977" s="3">
        <v>0</v>
      </c>
      <c r="I977" s="3">
        <v>87146</v>
      </c>
      <c r="J977" s="3">
        <f>IF(E977="Cold",1,0)</f>
        <v>1</v>
      </c>
      <c r="K977" s="3">
        <f>IF(E977="Hot",1,0)</f>
        <v>0</v>
      </c>
      <c r="L977" s="3">
        <v>2328</v>
      </c>
      <c r="M977" s="3">
        <v>51</v>
      </c>
      <c r="N977" s="4">
        <v>45171</v>
      </c>
      <c r="O977" s="10">
        <v>346603.33630000002</v>
      </c>
      <c r="P977" s="1">
        <f>$C$3+F977*$C$4+H977*$C$6+J977*$C$8+K977*$C$9+L977*$C$10+M977*$C$11</f>
        <v>353496.70061502431</v>
      </c>
      <c r="Q977" s="1">
        <f>(O977-P977)/O977</f>
        <v>-1.9888338031050525E-2</v>
      </c>
      <c r="R977" s="1"/>
      <c r="S977" s="1"/>
    </row>
    <row r="978" spans="1:19" x14ac:dyDescent="0.3">
      <c r="A978" s="2">
        <v>832</v>
      </c>
      <c r="B978" s="3" t="s">
        <v>31</v>
      </c>
      <c r="C978" s="3" t="s">
        <v>63</v>
      </c>
      <c r="D978" s="3" t="s">
        <v>14</v>
      </c>
      <c r="E978" s="3" t="s">
        <v>21</v>
      </c>
      <c r="F978" s="3">
        <f>IF(D978="Urban",1,0)</f>
        <v>0</v>
      </c>
      <c r="G978" s="3">
        <v>13390</v>
      </c>
      <c r="H978" s="3">
        <v>0</v>
      </c>
      <c r="I978" s="3">
        <v>63655</v>
      </c>
      <c r="J978" s="3">
        <f>IF(E978="Cold",1,0)</f>
        <v>0</v>
      </c>
      <c r="K978" s="3">
        <f>IF(E978="Hot",1,0)</f>
        <v>1</v>
      </c>
      <c r="L978" s="3">
        <v>1732</v>
      </c>
      <c r="M978" s="3">
        <v>96</v>
      </c>
      <c r="N978" s="4">
        <v>43966</v>
      </c>
      <c r="O978" s="10">
        <v>324419.84279999998</v>
      </c>
      <c r="P978" s="1">
        <f>$C$3+F978*$C$4+H978*$C$6+J978*$C$8+K978*$C$9+L978*$C$10+M978*$C$11</f>
        <v>330976.24164726696</v>
      </c>
      <c r="Q978" s="1">
        <f>(O978-P978)/O978</f>
        <v>-2.0209611072738533E-2</v>
      </c>
      <c r="R978" s="1"/>
      <c r="S978" s="1"/>
    </row>
    <row r="979" spans="1:19" x14ac:dyDescent="0.3">
      <c r="A979" s="2">
        <v>373</v>
      </c>
      <c r="B979" s="3" t="s">
        <v>29</v>
      </c>
      <c r="C979" s="3" t="s">
        <v>132</v>
      </c>
      <c r="D979" s="3" t="s">
        <v>14</v>
      </c>
      <c r="E979" s="3" t="s">
        <v>23</v>
      </c>
      <c r="F979" s="3">
        <f>IF(D979="Urban",1,0)</f>
        <v>0</v>
      </c>
      <c r="G979" s="3">
        <v>3029</v>
      </c>
      <c r="H979" s="3">
        <v>7</v>
      </c>
      <c r="I979" s="3">
        <v>84957</v>
      </c>
      <c r="J979" s="3">
        <f>IF(E979="Cold",1,0)</f>
        <v>0</v>
      </c>
      <c r="K979" s="3">
        <f>IF(E979="Hot",1,0)</f>
        <v>0</v>
      </c>
      <c r="L979" s="3">
        <v>1405</v>
      </c>
      <c r="M979" s="3">
        <v>87</v>
      </c>
      <c r="N979" s="4">
        <v>44741</v>
      </c>
      <c r="O979" s="10">
        <v>306973.92729999998</v>
      </c>
      <c r="P979" s="1">
        <f>$C$3+F979*$C$4+H979*$C$6+J979*$C$8+K979*$C$9+L979*$C$10+M979*$C$11</f>
        <v>313741.22084397468</v>
      </c>
      <c r="Q979" s="1">
        <f>(O979-P979)/O979</f>
        <v>-2.2045173684607889E-2</v>
      </c>
      <c r="R979" s="1"/>
      <c r="S979" s="1"/>
    </row>
    <row r="980" spans="1:19" x14ac:dyDescent="0.3">
      <c r="A980" s="2">
        <v>533</v>
      </c>
      <c r="B980" s="3" t="s">
        <v>35</v>
      </c>
      <c r="C980" s="3" t="s">
        <v>200</v>
      </c>
      <c r="D980" s="3" t="s">
        <v>18</v>
      </c>
      <c r="E980" s="3" t="s">
        <v>21</v>
      </c>
      <c r="F980" s="3">
        <f>IF(D980="Urban",1,0)</f>
        <v>1</v>
      </c>
      <c r="G980" s="3">
        <v>9868</v>
      </c>
      <c r="H980" s="3">
        <v>3</v>
      </c>
      <c r="I980" s="3">
        <v>97967</v>
      </c>
      <c r="J980" s="3">
        <f>IF(E980="Cold",1,0)</f>
        <v>0</v>
      </c>
      <c r="K980" s="3">
        <f>IF(E980="Hot",1,0)</f>
        <v>1</v>
      </c>
      <c r="L980" s="3">
        <v>1350</v>
      </c>
      <c r="M980" s="3">
        <v>75</v>
      </c>
      <c r="N980" s="4">
        <v>44088</v>
      </c>
      <c r="O980" s="10">
        <v>350839.82049999997</v>
      </c>
      <c r="P980" s="1">
        <f>$C$3+F980*$C$4+H980*$C$6+J980*$C$8+K980*$C$9+L980*$C$10+M980*$C$11</f>
        <v>358747.75447885197</v>
      </c>
      <c r="Q980" s="1">
        <f>(O980-P980)/O980</f>
        <v>-2.2540012611972027E-2</v>
      </c>
      <c r="R980" s="1"/>
      <c r="S980" s="1"/>
    </row>
    <row r="981" spans="1:19" x14ac:dyDescent="0.3">
      <c r="A981" s="2">
        <v>911</v>
      </c>
      <c r="B981" s="3" t="s">
        <v>31</v>
      </c>
      <c r="C981" s="3" t="s">
        <v>165</v>
      </c>
      <c r="D981" s="3" t="s">
        <v>18</v>
      </c>
      <c r="E981" s="3" t="s">
        <v>23</v>
      </c>
      <c r="F981" s="3">
        <f>IF(D981="Urban",1,0)</f>
        <v>1</v>
      </c>
      <c r="G981" s="3">
        <v>14862</v>
      </c>
      <c r="H981" s="3">
        <v>6</v>
      </c>
      <c r="I981" s="3">
        <v>98682</v>
      </c>
      <c r="J981" s="3">
        <f>IF(E981="Cold",1,0)</f>
        <v>0</v>
      </c>
      <c r="K981" s="3">
        <f>IF(E981="Hot",1,0)</f>
        <v>0</v>
      </c>
      <c r="L981" s="3">
        <v>2120</v>
      </c>
      <c r="M981" s="3">
        <v>48</v>
      </c>
      <c r="N981" s="4">
        <v>44495</v>
      </c>
      <c r="O981" s="10">
        <v>353589.212</v>
      </c>
      <c r="P981" s="1">
        <f>$C$3+F981*$C$4+H981*$C$6+J981*$C$8+K981*$C$9+L981*$C$10+M981*$C$11</f>
        <v>361657.86830307916</v>
      </c>
      <c r="Q981" s="1">
        <f>(O981-P981)/O981</f>
        <v>-2.2819294337178924E-2</v>
      </c>
      <c r="R981" s="1"/>
      <c r="S981" s="1"/>
    </row>
    <row r="982" spans="1:19" x14ac:dyDescent="0.3">
      <c r="A982" s="2">
        <v>474</v>
      </c>
      <c r="B982" s="3" t="s">
        <v>19</v>
      </c>
      <c r="C982" s="3" t="s">
        <v>129</v>
      </c>
      <c r="D982" s="3" t="s">
        <v>14</v>
      </c>
      <c r="E982" s="3" t="s">
        <v>21</v>
      </c>
      <c r="F982" s="3">
        <f>IF(D982="Urban",1,0)</f>
        <v>0</v>
      </c>
      <c r="G982" s="3">
        <v>6892</v>
      </c>
      <c r="H982" s="3">
        <v>0</v>
      </c>
      <c r="I982" s="3">
        <v>73482</v>
      </c>
      <c r="J982" s="3">
        <f>IF(E982="Cold",1,0)</f>
        <v>0</v>
      </c>
      <c r="K982" s="3">
        <f>IF(E982="Hot",1,0)</f>
        <v>1</v>
      </c>
      <c r="L982" s="3">
        <v>2021</v>
      </c>
      <c r="M982" s="3">
        <v>39</v>
      </c>
      <c r="N982" s="4">
        <v>45399</v>
      </c>
      <c r="O982" s="10">
        <v>311411.03769999999</v>
      </c>
      <c r="P982" s="1">
        <f>$C$3+F982*$C$4+H982*$C$6+J982*$C$8+K982*$C$9+L982*$C$10+M982*$C$11</f>
        <v>319174.71742834407</v>
      </c>
      <c r="Q982" s="1">
        <f>(O982-P982)/O982</f>
        <v>-2.4930650453768688E-2</v>
      </c>
      <c r="R982" s="1"/>
      <c r="S982" s="1"/>
    </row>
    <row r="983" spans="1:19" x14ac:dyDescent="0.3">
      <c r="A983" s="2">
        <v>972</v>
      </c>
      <c r="B983" s="3" t="s">
        <v>16</v>
      </c>
      <c r="C983" s="3" t="s">
        <v>183</v>
      </c>
      <c r="D983" s="3" t="s">
        <v>18</v>
      </c>
      <c r="E983" s="3" t="s">
        <v>15</v>
      </c>
      <c r="F983" s="3">
        <f>IF(D983="Urban",1,0)</f>
        <v>1</v>
      </c>
      <c r="G983" s="3">
        <v>7933</v>
      </c>
      <c r="H983" s="3">
        <v>7</v>
      </c>
      <c r="I983" s="3">
        <v>57555</v>
      </c>
      <c r="J983" s="3">
        <f>IF(E983="Cold",1,0)</f>
        <v>1</v>
      </c>
      <c r="K983" s="3">
        <f>IF(E983="Hot",1,0)</f>
        <v>0</v>
      </c>
      <c r="L983" s="3">
        <v>2502</v>
      </c>
      <c r="M983" s="3">
        <v>89</v>
      </c>
      <c r="N983" s="4">
        <v>44387</v>
      </c>
      <c r="O983" s="10">
        <v>353211.09389999998</v>
      </c>
      <c r="P983" s="1">
        <f>$C$3+F983*$C$4+H983*$C$6+J983*$C$8+K983*$C$9+L983*$C$10+M983*$C$11</f>
        <v>362031.28509769647</v>
      </c>
      <c r="Q983" s="1">
        <f>(O983-P983)/O983</f>
        <v>-2.4971444413899514E-2</v>
      </c>
      <c r="R983" s="1"/>
      <c r="S983" s="1"/>
    </row>
    <row r="984" spans="1:19" x14ac:dyDescent="0.3">
      <c r="A984" s="2">
        <v>115</v>
      </c>
      <c r="B984" s="3" t="s">
        <v>16</v>
      </c>
      <c r="C984" s="3" t="s">
        <v>17</v>
      </c>
      <c r="D984" s="3" t="s">
        <v>14</v>
      </c>
      <c r="E984" s="3" t="s">
        <v>21</v>
      </c>
      <c r="F984" s="3">
        <f>IF(D984="Urban",1,0)</f>
        <v>0</v>
      </c>
      <c r="G984" s="3">
        <v>4483</v>
      </c>
      <c r="H984" s="3">
        <v>9</v>
      </c>
      <c r="I984" s="3">
        <v>97839</v>
      </c>
      <c r="J984" s="3">
        <f>IF(E984="Cold",1,0)</f>
        <v>0</v>
      </c>
      <c r="K984" s="3">
        <f>IF(E984="Hot",1,0)</f>
        <v>1</v>
      </c>
      <c r="L984" s="3">
        <v>1874</v>
      </c>
      <c r="M984" s="3">
        <v>66</v>
      </c>
      <c r="N984" s="4">
        <v>44185</v>
      </c>
      <c r="O984" s="10">
        <v>308243.55040000001</v>
      </c>
      <c r="P984" s="1">
        <f>$C$3+F984*$C$4+H984*$C$6+J984*$C$8+K984*$C$9+L984*$C$10+M984*$C$11</f>
        <v>316012.36297282146</v>
      </c>
      <c r="Q984" s="1">
        <f>(O984-P984)/O984</f>
        <v>-2.5203487835317416E-2</v>
      </c>
      <c r="R984" s="1"/>
      <c r="S984" s="1"/>
    </row>
    <row r="985" spans="1:19" x14ac:dyDescent="0.3">
      <c r="A985" s="2">
        <v>399</v>
      </c>
      <c r="B985" s="3" t="s">
        <v>44</v>
      </c>
      <c r="C985" s="3" t="s">
        <v>111</v>
      </c>
      <c r="D985" s="3" t="s">
        <v>18</v>
      </c>
      <c r="E985" s="3" t="s">
        <v>21</v>
      </c>
      <c r="F985" s="3">
        <f>IF(D985="Urban",1,0)</f>
        <v>1</v>
      </c>
      <c r="G985" s="3">
        <v>28060</v>
      </c>
      <c r="H985" s="3">
        <v>3</v>
      </c>
      <c r="I985" s="3">
        <v>69661</v>
      </c>
      <c r="J985" s="3">
        <f>IF(E985="Cold",1,0)</f>
        <v>0</v>
      </c>
      <c r="K985" s="3">
        <f>IF(E985="Hot",1,0)</f>
        <v>1</v>
      </c>
      <c r="L985" s="3">
        <v>2792</v>
      </c>
      <c r="M985" s="3">
        <v>24</v>
      </c>
      <c r="N985" s="4">
        <v>45526</v>
      </c>
      <c r="O985" s="10">
        <v>362062.23879999999</v>
      </c>
      <c r="P985" s="1">
        <f>$C$3+F985*$C$4+H985*$C$6+J985*$C$8+K985*$C$9+L985*$C$10+M985*$C$11</f>
        <v>371806.08989414613</v>
      </c>
      <c r="Q985" s="1">
        <f>(O985-P985)/O985</f>
        <v>-2.6912088723863192E-2</v>
      </c>
      <c r="R985" s="1"/>
      <c r="S985" s="1"/>
    </row>
    <row r="986" spans="1:19" x14ac:dyDescent="0.3">
      <c r="A986" s="2">
        <v>257</v>
      </c>
      <c r="B986" s="3" t="s">
        <v>72</v>
      </c>
      <c r="C986" s="3" t="s">
        <v>151</v>
      </c>
      <c r="D986" s="3" t="s">
        <v>18</v>
      </c>
      <c r="E986" s="3" t="s">
        <v>15</v>
      </c>
      <c r="F986" s="3">
        <f>IF(D986="Urban",1,0)</f>
        <v>1</v>
      </c>
      <c r="G986" s="3">
        <v>7630</v>
      </c>
      <c r="H986" s="3">
        <v>4</v>
      </c>
      <c r="I986" s="3">
        <v>89740</v>
      </c>
      <c r="J986" s="3">
        <f>IF(E986="Cold",1,0)</f>
        <v>1</v>
      </c>
      <c r="K986" s="3">
        <f>IF(E986="Hot",1,0)</f>
        <v>0</v>
      </c>
      <c r="L986" s="3">
        <v>2162</v>
      </c>
      <c r="M986" s="3">
        <v>95</v>
      </c>
      <c r="N986" s="4">
        <v>44727</v>
      </c>
      <c r="O986" s="10">
        <v>350507.33159999998</v>
      </c>
      <c r="P986" s="1">
        <f>$C$3+F986*$C$4+H986*$C$6+J986*$C$8+K986*$C$9+L986*$C$10+M986*$C$11</f>
        <v>359945.56102491455</v>
      </c>
      <c r="Q986" s="1">
        <f>(O986-P986)/O986</f>
        <v>-2.6927338101119989E-2</v>
      </c>
      <c r="R986" s="1"/>
      <c r="S986" s="1"/>
    </row>
    <row r="987" spans="1:19" x14ac:dyDescent="0.3">
      <c r="A987" s="2">
        <v>760</v>
      </c>
      <c r="B987" s="3" t="s">
        <v>53</v>
      </c>
      <c r="C987" s="3" t="s">
        <v>149</v>
      </c>
      <c r="D987" s="3" t="s">
        <v>14</v>
      </c>
      <c r="E987" s="3" t="s">
        <v>15</v>
      </c>
      <c r="F987" s="3">
        <f>IF(D987="Urban",1,0)</f>
        <v>0</v>
      </c>
      <c r="G987" s="3">
        <v>4907</v>
      </c>
      <c r="H987" s="3">
        <v>8</v>
      </c>
      <c r="I987" s="3">
        <v>73104</v>
      </c>
      <c r="J987" s="3">
        <f>IF(E987="Cold",1,0)</f>
        <v>1</v>
      </c>
      <c r="K987" s="3">
        <f>IF(E987="Hot",1,0)</f>
        <v>0</v>
      </c>
      <c r="L987" s="3">
        <v>1616</v>
      </c>
      <c r="M987" s="3">
        <v>52</v>
      </c>
      <c r="N987" s="4">
        <v>43963</v>
      </c>
      <c r="O987" s="10">
        <v>279734.84840000002</v>
      </c>
      <c r="P987" s="1">
        <f>$C$3+F987*$C$4+H987*$C$6+J987*$C$8+K987*$C$9+L987*$C$10+M987*$C$11</f>
        <v>287276.49948326137</v>
      </c>
      <c r="Q987" s="1">
        <f>(O987-P987)/O987</f>
        <v>-2.6959998464250536E-2</v>
      </c>
      <c r="R987" s="1"/>
      <c r="S987" s="1"/>
    </row>
    <row r="988" spans="1:19" x14ac:dyDescent="0.3">
      <c r="A988" s="2">
        <v>969</v>
      </c>
      <c r="B988" s="3" t="s">
        <v>35</v>
      </c>
      <c r="C988" s="3" t="s">
        <v>200</v>
      </c>
      <c r="D988" s="3" t="s">
        <v>18</v>
      </c>
      <c r="E988" s="3" t="s">
        <v>23</v>
      </c>
      <c r="F988" s="3">
        <f>IF(D988="Urban",1,0)</f>
        <v>1</v>
      </c>
      <c r="G988" s="3">
        <v>2362</v>
      </c>
      <c r="H988" s="3">
        <v>3</v>
      </c>
      <c r="I988" s="3">
        <v>55055</v>
      </c>
      <c r="J988" s="3">
        <f>IF(E988="Cold",1,0)</f>
        <v>0</v>
      </c>
      <c r="K988" s="3">
        <f>IF(E988="Hot",1,0)</f>
        <v>0</v>
      </c>
      <c r="L988" s="3">
        <v>2551</v>
      </c>
      <c r="M988" s="3">
        <v>51</v>
      </c>
      <c r="N988" s="4">
        <v>45205</v>
      </c>
      <c r="O988" s="10">
        <v>364193.74780000001</v>
      </c>
      <c r="P988" s="1">
        <f>$C$3+F988*$C$4+H988*$C$6+J988*$C$8+K988*$C$9+L988*$C$10+M988*$C$11</f>
        <v>374034.34020883235</v>
      </c>
      <c r="Q988" s="1">
        <f>(O988-P988)/O988</f>
        <v>-2.7020212368490136E-2</v>
      </c>
      <c r="R988" s="1"/>
      <c r="S988" s="1"/>
    </row>
    <row r="989" spans="1:19" x14ac:dyDescent="0.3">
      <c r="A989" s="2">
        <v>47</v>
      </c>
      <c r="B989" s="3" t="s">
        <v>72</v>
      </c>
      <c r="C989" s="3" t="s">
        <v>73</v>
      </c>
      <c r="D989" s="3" t="s">
        <v>18</v>
      </c>
      <c r="E989" s="3" t="s">
        <v>15</v>
      </c>
      <c r="F989" s="3">
        <f>IF(D989="Urban",1,0)</f>
        <v>1</v>
      </c>
      <c r="G989" s="3">
        <v>14882</v>
      </c>
      <c r="H989" s="3">
        <v>1</v>
      </c>
      <c r="I989" s="3">
        <v>74649</v>
      </c>
      <c r="J989" s="3">
        <f>IF(E989="Cold",1,0)</f>
        <v>1</v>
      </c>
      <c r="K989" s="3">
        <f>IF(E989="Hot",1,0)</f>
        <v>0</v>
      </c>
      <c r="L989" s="3">
        <v>1448</v>
      </c>
      <c r="M989" s="3">
        <v>99</v>
      </c>
      <c r="N989" s="4">
        <v>43916</v>
      </c>
      <c r="O989" s="10">
        <v>340234.50809999998</v>
      </c>
      <c r="P989" s="1">
        <f>$C$3+F989*$C$4+H989*$C$6+J989*$C$8+K989*$C$9+L989*$C$10+M989*$C$11</f>
        <v>349779.43993112032</v>
      </c>
      <c r="Q989" s="1">
        <f>(O989-P989)/O989</f>
        <v>-2.8053979252201371E-2</v>
      </c>
      <c r="R989" s="1"/>
      <c r="S989" s="1"/>
    </row>
    <row r="990" spans="1:19" x14ac:dyDescent="0.3">
      <c r="A990" s="2">
        <v>691</v>
      </c>
      <c r="B990" s="3" t="s">
        <v>122</v>
      </c>
      <c r="C990" s="3" t="s">
        <v>137</v>
      </c>
      <c r="D990" s="3" t="s">
        <v>18</v>
      </c>
      <c r="E990" s="3" t="s">
        <v>15</v>
      </c>
      <c r="F990" s="3">
        <f>IF(D990="Urban",1,0)</f>
        <v>1</v>
      </c>
      <c r="G990" s="3">
        <v>15459</v>
      </c>
      <c r="H990" s="3">
        <v>2</v>
      </c>
      <c r="I990" s="3">
        <v>67626</v>
      </c>
      <c r="J990" s="3">
        <f>IF(E990="Cold",1,0)</f>
        <v>1</v>
      </c>
      <c r="K990" s="3">
        <f>IF(E990="Hot",1,0)</f>
        <v>0</v>
      </c>
      <c r="L990" s="3">
        <v>2099</v>
      </c>
      <c r="M990" s="3">
        <v>46</v>
      </c>
      <c r="N990" s="4">
        <v>43854</v>
      </c>
      <c r="O990" s="10">
        <v>335869.93339999998</v>
      </c>
      <c r="P990" s="1">
        <f>$C$3+F990*$C$4+H990*$C$6+J990*$C$8+K990*$C$9+L990*$C$10+M990*$C$11</f>
        <v>345485.19053614669</v>
      </c>
      <c r="Q990" s="1">
        <f>(O990-P990)/O990</f>
        <v>-2.8627918667240588E-2</v>
      </c>
      <c r="R990" s="1"/>
      <c r="S990" s="1"/>
    </row>
    <row r="991" spans="1:19" x14ac:dyDescent="0.3">
      <c r="A991" s="2">
        <v>522</v>
      </c>
      <c r="B991" s="3" t="s">
        <v>72</v>
      </c>
      <c r="C991" s="3" t="s">
        <v>96</v>
      </c>
      <c r="D991" s="3" t="s">
        <v>14</v>
      </c>
      <c r="E991" s="3" t="s">
        <v>21</v>
      </c>
      <c r="F991" s="3">
        <f>IF(D991="Urban",1,0)</f>
        <v>0</v>
      </c>
      <c r="G991" s="3">
        <v>3286</v>
      </c>
      <c r="H991" s="3">
        <v>9</v>
      </c>
      <c r="I991" s="3">
        <v>54525</v>
      </c>
      <c r="J991" s="3">
        <f>IF(E991="Cold",1,0)</f>
        <v>0</v>
      </c>
      <c r="K991" s="3">
        <f>IF(E991="Hot",1,0)</f>
        <v>1</v>
      </c>
      <c r="L991" s="3">
        <v>1866</v>
      </c>
      <c r="M991" s="3">
        <v>21</v>
      </c>
      <c r="N991" s="4">
        <v>44812</v>
      </c>
      <c r="O991" s="10">
        <v>293241.13919999998</v>
      </c>
      <c r="P991" s="1">
        <f>$C$3+F991*$C$4+H991*$C$6+J991*$C$8+K991*$C$9+L991*$C$10+M991*$C$11</f>
        <v>301982.35509390209</v>
      </c>
      <c r="Q991" s="1">
        <f>(O991-P991)/O991</f>
        <v>-2.9808968542917591E-2</v>
      </c>
      <c r="R991" s="1"/>
      <c r="S991" s="1"/>
    </row>
    <row r="992" spans="1:19" x14ac:dyDescent="0.3">
      <c r="A992" s="2">
        <v>788</v>
      </c>
      <c r="B992" s="3" t="s">
        <v>28</v>
      </c>
      <c r="C992" s="3" t="s">
        <v>102</v>
      </c>
      <c r="D992" s="3" t="s">
        <v>18</v>
      </c>
      <c r="E992" s="3" t="s">
        <v>21</v>
      </c>
      <c r="F992" s="3">
        <f>IF(D992="Urban",1,0)</f>
        <v>1</v>
      </c>
      <c r="G992" s="3">
        <v>3899</v>
      </c>
      <c r="H992" s="3">
        <v>1</v>
      </c>
      <c r="I992" s="3">
        <v>93705</v>
      </c>
      <c r="J992" s="3">
        <f>IF(E992="Cold",1,0)</f>
        <v>0</v>
      </c>
      <c r="K992" s="3">
        <f>IF(E992="Hot",1,0)</f>
        <v>1</v>
      </c>
      <c r="L992" s="3">
        <v>1301</v>
      </c>
      <c r="M992" s="3">
        <v>92</v>
      </c>
      <c r="N992" s="4">
        <v>45030</v>
      </c>
      <c r="O992" s="10">
        <v>354126.83919999999</v>
      </c>
      <c r="P992" s="1">
        <f>$C$3+F992*$C$4+H992*$C$6+J992*$C$8+K992*$C$9+L992*$C$10+M992*$C$11</f>
        <v>364909.96486071439</v>
      </c>
      <c r="Q992" s="1">
        <f>(O992-P992)/O992</f>
        <v>-3.0449896667178122E-2</v>
      </c>
      <c r="R992" s="1"/>
      <c r="S992" s="1"/>
    </row>
    <row r="993" spans="1:19" x14ac:dyDescent="0.3">
      <c r="A993" s="2">
        <v>267</v>
      </c>
      <c r="B993" s="3" t="s">
        <v>16</v>
      </c>
      <c r="C993" s="3" t="s">
        <v>176</v>
      </c>
      <c r="D993" s="3" t="s">
        <v>18</v>
      </c>
      <c r="E993" s="3" t="s">
        <v>15</v>
      </c>
      <c r="F993" s="3">
        <f>IF(D993="Urban",1,0)</f>
        <v>1</v>
      </c>
      <c r="G993" s="3">
        <v>10505</v>
      </c>
      <c r="H993" s="3">
        <v>3</v>
      </c>
      <c r="I993" s="3">
        <v>70592</v>
      </c>
      <c r="J993" s="3">
        <f>IF(E993="Cold",1,0)</f>
        <v>1</v>
      </c>
      <c r="K993" s="3">
        <f>IF(E993="Hot",1,0)</f>
        <v>0</v>
      </c>
      <c r="L993" s="3">
        <v>2543</v>
      </c>
      <c r="M993" s="3">
        <v>55</v>
      </c>
      <c r="N993" s="4">
        <v>45545</v>
      </c>
      <c r="O993" s="10">
        <v>344968.52639999997</v>
      </c>
      <c r="P993" s="1">
        <f>$C$3+F993*$C$4+H993*$C$6+J993*$C$8+K993*$C$9+L993*$C$10+M993*$C$11</f>
        <v>356170.09367983742</v>
      </c>
      <c r="Q993" s="1">
        <f>(O993-P993)/O993</f>
        <v>-3.2471273239718497E-2</v>
      </c>
      <c r="R993" s="1"/>
      <c r="S993" s="1"/>
    </row>
    <row r="994" spans="1:19" x14ac:dyDescent="0.3">
      <c r="A994" s="2">
        <v>829</v>
      </c>
      <c r="B994" s="3" t="s">
        <v>40</v>
      </c>
      <c r="C994" s="3" t="s">
        <v>182</v>
      </c>
      <c r="D994" s="3" t="s">
        <v>18</v>
      </c>
      <c r="E994" s="3" t="s">
        <v>21</v>
      </c>
      <c r="F994" s="3">
        <f>IF(D994="Urban",1,0)</f>
        <v>1</v>
      </c>
      <c r="G994" s="3">
        <v>12784</v>
      </c>
      <c r="H994" s="3">
        <v>0</v>
      </c>
      <c r="I994" s="3">
        <v>51803</v>
      </c>
      <c r="J994" s="3">
        <f>IF(E994="Cold",1,0)</f>
        <v>0</v>
      </c>
      <c r="K994" s="3">
        <f>IF(E994="Hot",1,0)</f>
        <v>1</v>
      </c>
      <c r="L994" s="3">
        <v>1526</v>
      </c>
      <c r="M994" s="3">
        <v>81</v>
      </c>
      <c r="N994" s="4">
        <v>44758</v>
      </c>
      <c r="O994" s="10">
        <v>354875.84989999997</v>
      </c>
      <c r="P994" s="1">
        <f>$C$3+F994*$C$4+H994*$C$6+J994*$C$8+K994*$C$9+L994*$C$10+M994*$C$11</f>
        <v>366959.86855861335</v>
      </c>
      <c r="Q994" s="1">
        <f>(O994-P994)/O994</f>
        <v>-3.4051397585996679E-2</v>
      </c>
      <c r="R994" s="1"/>
      <c r="S994" s="1"/>
    </row>
    <row r="995" spans="1:19" x14ac:dyDescent="0.3">
      <c r="A995" s="2">
        <v>723</v>
      </c>
      <c r="B995" s="3" t="s">
        <v>40</v>
      </c>
      <c r="C995" s="3" t="s">
        <v>42</v>
      </c>
      <c r="D995" s="3" t="s">
        <v>18</v>
      </c>
      <c r="E995" s="3" t="s">
        <v>21</v>
      </c>
      <c r="F995" s="3">
        <f>IF(D995="Urban",1,0)</f>
        <v>1</v>
      </c>
      <c r="G995" s="3">
        <v>4722</v>
      </c>
      <c r="H995" s="3">
        <v>6</v>
      </c>
      <c r="I995" s="3">
        <v>70822</v>
      </c>
      <c r="J995" s="3">
        <f>IF(E995="Cold",1,0)</f>
        <v>0</v>
      </c>
      <c r="K995" s="3">
        <f>IF(E995="Hot",1,0)</f>
        <v>1</v>
      </c>
      <c r="L995" s="3">
        <v>1487</v>
      </c>
      <c r="M995" s="3">
        <v>94</v>
      </c>
      <c r="N995" s="4">
        <v>44767</v>
      </c>
      <c r="O995" s="10">
        <v>352051.57980000001</v>
      </c>
      <c r="P995" s="1">
        <f>$C$3+F995*$C$4+H995*$C$6+J995*$C$8+K995*$C$9+L995*$C$10+M995*$C$11</f>
        <v>364487.94808152475</v>
      </c>
      <c r="Q995" s="1">
        <f>(O995-P995)/O995</f>
        <v>-3.5325415351323879E-2</v>
      </c>
      <c r="R995" s="1"/>
      <c r="S995" s="1"/>
    </row>
    <row r="996" spans="1:19" x14ac:dyDescent="0.3">
      <c r="A996" s="2">
        <v>429</v>
      </c>
      <c r="B996" s="3" t="s">
        <v>35</v>
      </c>
      <c r="C996" s="3" t="s">
        <v>150</v>
      </c>
      <c r="D996" s="3" t="s">
        <v>18</v>
      </c>
      <c r="E996" s="3" t="s">
        <v>15</v>
      </c>
      <c r="F996" s="3">
        <f>IF(D996="Urban",1,0)</f>
        <v>1</v>
      </c>
      <c r="G996" s="3">
        <v>5842</v>
      </c>
      <c r="H996" s="3">
        <v>2</v>
      </c>
      <c r="I996" s="3">
        <v>96168</v>
      </c>
      <c r="J996" s="3">
        <f>IF(E996="Cold",1,0)</f>
        <v>1</v>
      </c>
      <c r="K996" s="3">
        <f>IF(E996="Hot",1,0)</f>
        <v>0</v>
      </c>
      <c r="L996" s="3">
        <v>1201</v>
      </c>
      <c r="M996" s="3">
        <v>53</v>
      </c>
      <c r="N996" s="4">
        <v>44324</v>
      </c>
      <c r="O996" s="10">
        <v>318370.1715</v>
      </c>
      <c r="P996" s="1">
        <f>$C$3+F996*$C$4+H996*$C$6+J996*$C$8+K996*$C$9+L996*$C$10+M996*$C$11</f>
        <v>329721.36925181589</v>
      </c>
      <c r="Q996" s="1">
        <f>(O996-P996)/O996</f>
        <v>-3.5654086871061967E-2</v>
      </c>
      <c r="R996" s="1"/>
      <c r="S996" s="1"/>
    </row>
    <row r="997" spans="1:19" x14ac:dyDescent="0.3">
      <c r="A997" s="2">
        <v>540</v>
      </c>
      <c r="B997" s="3" t="s">
        <v>28</v>
      </c>
      <c r="C997" s="3" t="s">
        <v>187</v>
      </c>
      <c r="D997" s="3" t="s">
        <v>18</v>
      </c>
      <c r="E997" s="3" t="s">
        <v>15</v>
      </c>
      <c r="F997" s="3">
        <f>IF(D997="Urban",1,0)</f>
        <v>1</v>
      </c>
      <c r="G997" s="3">
        <v>15918</v>
      </c>
      <c r="H997" s="3">
        <v>4</v>
      </c>
      <c r="I997" s="3">
        <v>77404</v>
      </c>
      <c r="J997" s="3">
        <f>IF(E997="Cold",1,0)</f>
        <v>1</v>
      </c>
      <c r="K997" s="3">
        <f>IF(E997="Hot",1,0)</f>
        <v>0</v>
      </c>
      <c r="L997" s="3">
        <v>1497</v>
      </c>
      <c r="M997" s="3">
        <v>21</v>
      </c>
      <c r="N997" s="4">
        <v>44933</v>
      </c>
      <c r="O997" s="10">
        <v>311936.0171</v>
      </c>
      <c r="P997" s="1">
        <f>$C$3+F997*$C$4+H997*$C$6+J997*$C$8+K997*$C$9+L997*$C$10+M997*$C$11</f>
        <v>323865.09989755839</v>
      </c>
      <c r="Q997" s="1">
        <f>(O997-P997)/O997</f>
        <v>-3.8242082169479608E-2</v>
      </c>
      <c r="R997" s="1"/>
      <c r="S997" s="1"/>
    </row>
    <row r="998" spans="1:19" x14ac:dyDescent="0.3">
      <c r="A998" s="2">
        <v>255</v>
      </c>
      <c r="B998" s="3" t="s">
        <v>40</v>
      </c>
      <c r="C998" s="3" t="s">
        <v>136</v>
      </c>
      <c r="D998" s="3" t="s">
        <v>14</v>
      </c>
      <c r="E998" s="3" t="s">
        <v>21</v>
      </c>
      <c r="F998" s="3">
        <f>IF(D998="Urban",1,0)</f>
        <v>0</v>
      </c>
      <c r="G998" s="3">
        <v>8141</v>
      </c>
      <c r="H998" s="3">
        <v>5</v>
      </c>
      <c r="I998" s="3">
        <v>67369</v>
      </c>
      <c r="J998" s="3">
        <f>IF(E998="Cold",1,0)</f>
        <v>0</v>
      </c>
      <c r="K998" s="3">
        <f>IF(E998="Hot",1,0)</f>
        <v>1</v>
      </c>
      <c r="L998" s="3">
        <v>1326</v>
      </c>
      <c r="M998" s="3">
        <v>59</v>
      </c>
      <c r="N998" s="4">
        <v>44703</v>
      </c>
      <c r="O998" s="10">
        <v>295400.60269999999</v>
      </c>
      <c r="P998" s="1">
        <f>$C$3+F998*$C$4+H998*$C$6+J998*$C$8+K998*$C$9+L998*$C$10+M998*$C$11</f>
        <v>306718.67958661594</v>
      </c>
      <c r="Q998" s="1">
        <f>(O998-P998)/O998</f>
        <v>-3.8314332412213284E-2</v>
      </c>
      <c r="R998" s="1"/>
      <c r="S998" s="1"/>
    </row>
    <row r="999" spans="1:19" x14ac:dyDescent="0.3">
      <c r="A999" s="2">
        <v>991</v>
      </c>
      <c r="B999" s="3" t="s">
        <v>122</v>
      </c>
      <c r="C999" s="3" t="s">
        <v>133</v>
      </c>
      <c r="D999" s="3" t="s">
        <v>18</v>
      </c>
      <c r="E999" s="3" t="s">
        <v>23</v>
      </c>
      <c r="F999" s="3">
        <f>IF(D999="Urban",1,0)</f>
        <v>1</v>
      </c>
      <c r="G999" s="3">
        <v>28451</v>
      </c>
      <c r="H999" s="3">
        <v>2</v>
      </c>
      <c r="I999" s="3">
        <v>65171</v>
      </c>
      <c r="J999" s="3">
        <f>IF(E999="Cold",1,0)</f>
        <v>0</v>
      </c>
      <c r="K999" s="3">
        <f>IF(E999="Hot",1,0)</f>
        <v>0</v>
      </c>
      <c r="L999" s="3">
        <v>1113</v>
      </c>
      <c r="M999" s="3">
        <v>61</v>
      </c>
      <c r="N999" s="4">
        <v>44771</v>
      </c>
      <c r="O999" s="10">
        <v>336178.95689999999</v>
      </c>
      <c r="P999" s="1">
        <f>$C$3+F999*$C$4+H999*$C$6+J999*$C$8+K999*$C$9+L999*$C$10+M999*$C$11</f>
        <v>349368.4993081424</v>
      </c>
      <c r="Q999" s="1">
        <f>(O999-P999)/O999</f>
        <v>-3.9233694249535621E-2</v>
      </c>
      <c r="R999" s="1"/>
      <c r="S999" s="1"/>
    </row>
    <row r="1000" spans="1:19" x14ac:dyDescent="0.3">
      <c r="A1000" s="2">
        <v>621</v>
      </c>
      <c r="B1000" s="3" t="s">
        <v>40</v>
      </c>
      <c r="C1000" s="3" t="s">
        <v>71</v>
      </c>
      <c r="D1000" s="3" t="s">
        <v>18</v>
      </c>
      <c r="E1000" s="3" t="s">
        <v>23</v>
      </c>
      <c r="F1000" s="3">
        <f>IF(D1000="Urban",1,0)</f>
        <v>1</v>
      </c>
      <c r="G1000" s="3">
        <v>11002</v>
      </c>
      <c r="H1000" s="3">
        <v>1</v>
      </c>
      <c r="I1000" s="3">
        <v>74431</v>
      </c>
      <c r="J1000" s="3">
        <f>IF(E1000="Cold",1,0)</f>
        <v>0</v>
      </c>
      <c r="K1000" s="3">
        <f>IF(E1000="Hot",1,0)</f>
        <v>0</v>
      </c>
      <c r="L1000" s="3">
        <v>2439</v>
      </c>
      <c r="M1000" s="3">
        <v>44</v>
      </c>
      <c r="N1000" s="4">
        <v>44475</v>
      </c>
      <c r="O1000" s="10">
        <v>357276.97220000002</v>
      </c>
      <c r="P1000" s="1">
        <f>$C$3+F1000*$C$4+H1000*$C$6+J1000*$C$8+K1000*$C$9+L1000*$C$10+M1000*$C$11</f>
        <v>371541.73561180988</v>
      </c>
      <c r="Q1000" s="1">
        <f>(O1000-P1000)/O1000</f>
        <v>-3.9926344326005413E-2</v>
      </c>
      <c r="R1000" s="1"/>
      <c r="S1000" s="1"/>
    </row>
    <row r="1001" spans="1:19" x14ac:dyDescent="0.3">
      <c r="A1001" s="2">
        <v>458</v>
      </c>
      <c r="B1001" s="3" t="s">
        <v>12</v>
      </c>
      <c r="C1001" s="3" t="s">
        <v>13</v>
      </c>
      <c r="D1001" s="3" t="s">
        <v>18</v>
      </c>
      <c r="E1001" s="3" t="s">
        <v>15</v>
      </c>
      <c r="F1001" s="3">
        <f>IF(D1001="Urban",1,0)</f>
        <v>1</v>
      </c>
      <c r="G1001" s="3">
        <v>15259</v>
      </c>
      <c r="H1001" s="3">
        <v>1</v>
      </c>
      <c r="I1001" s="3">
        <v>88582</v>
      </c>
      <c r="J1001" s="3">
        <f>IF(E1001="Cold",1,0)</f>
        <v>1</v>
      </c>
      <c r="K1001" s="3">
        <f>IF(E1001="Hot",1,0)</f>
        <v>0</v>
      </c>
      <c r="L1001" s="3">
        <v>2982</v>
      </c>
      <c r="M1001" s="3">
        <v>25</v>
      </c>
      <c r="N1001" s="4">
        <v>44562</v>
      </c>
      <c r="O1001" s="10">
        <v>343529.9118</v>
      </c>
      <c r="P1001" s="1">
        <f>$C$3+F1001*$C$4+H1001*$C$6+J1001*$C$8+K1001*$C$9+L1001*$C$10+M1001*$C$11</f>
        <v>357584.53325617255</v>
      </c>
      <c r="Q1001" s="1">
        <f>(O1001-P1001)/O1001</f>
        <v>-4.0912365920423903E-2</v>
      </c>
      <c r="R1001" s="1"/>
      <c r="S1001" s="1"/>
    </row>
    <row r="1002" spans="1:19" x14ac:dyDescent="0.3">
      <c r="A1002" s="2">
        <v>565</v>
      </c>
      <c r="B1002" s="3" t="s">
        <v>31</v>
      </c>
      <c r="C1002" s="3" t="s">
        <v>165</v>
      </c>
      <c r="D1002" s="3" t="s">
        <v>18</v>
      </c>
      <c r="E1002" s="3" t="s">
        <v>21</v>
      </c>
      <c r="F1002" s="3">
        <f>IF(D1002="Urban",1,0)</f>
        <v>1</v>
      </c>
      <c r="G1002" s="3">
        <v>20391</v>
      </c>
      <c r="H1002" s="3">
        <v>9</v>
      </c>
      <c r="I1002" s="3">
        <v>65221</v>
      </c>
      <c r="J1002" s="3">
        <f>IF(E1002="Cold",1,0)</f>
        <v>0</v>
      </c>
      <c r="K1002" s="3">
        <f>IF(E1002="Hot",1,0)</f>
        <v>1</v>
      </c>
      <c r="L1002" s="3">
        <v>1634</v>
      </c>
      <c r="M1002" s="3">
        <v>26</v>
      </c>
      <c r="N1002" s="4">
        <v>44899</v>
      </c>
      <c r="O1002" s="10">
        <v>329599.66090000002</v>
      </c>
      <c r="P1002" s="1">
        <f>$C$3+F1002*$C$4+H1002*$C$6+J1002*$C$8+K1002*$C$9+L1002*$C$10+M1002*$C$11</f>
        <v>343611.69934235292</v>
      </c>
      <c r="Q1002" s="1">
        <f>(O1002-P1002)/O1002</f>
        <v>-4.2512296293302713E-2</v>
      </c>
      <c r="R1002" s="1"/>
      <c r="S1002" s="1"/>
    </row>
    <row r="1003" spans="1:19" x14ac:dyDescent="0.3">
      <c r="A1003" s="2">
        <v>780</v>
      </c>
      <c r="B1003" s="3" t="s">
        <v>44</v>
      </c>
      <c r="C1003" s="3" t="s">
        <v>82</v>
      </c>
      <c r="D1003" s="3" t="s">
        <v>18</v>
      </c>
      <c r="E1003" s="3" t="s">
        <v>23</v>
      </c>
      <c r="F1003" s="3">
        <f>IF(D1003="Urban",1,0)</f>
        <v>1</v>
      </c>
      <c r="G1003" s="3">
        <v>16744</v>
      </c>
      <c r="H1003" s="3">
        <v>8</v>
      </c>
      <c r="I1003" s="3">
        <v>89896</v>
      </c>
      <c r="J1003" s="3">
        <f>IF(E1003="Cold",1,0)</f>
        <v>0</v>
      </c>
      <c r="K1003" s="3">
        <f>IF(E1003="Hot",1,0)</f>
        <v>0</v>
      </c>
      <c r="L1003" s="3">
        <v>1079</v>
      </c>
      <c r="M1003" s="3">
        <v>66</v>
      </c>
      <c r="N1003" s="4">
        <v>44176</v>
      </c>
      <c r="O1003" s="10">
        <v>330048.95620000002</v>
      </c>
      <c r="P1003" s="1">
        <f>$C$3+F1003*$C$4+H1003*$C$6+J1003*$C$8+K1003*$C$9+L1003*$C$10+M1003*$C$11</f>
        <v>344530.52382252255</v>
      </c>
      <c r="Q1003" s="1">
        <f>(O1003-P1003)/O1003</f>
        <v>-4.3877028999743682E-2</v>
      </c>
      <c r="R1003" s="1"/>
      <c r="S1003" s="1"/>
    </row>
    <row r="1004" spans="1:19" x14ac:dyDescent="0.3">
      <c r="A1004" s="2">
        <v>316</v>
      </c>
      <c r="B1004" s="3" t="s">
        <v>108</v>
      </c>
      <c r="C1004" s="3" t="s">
        <v>161</v>
      </c>
      <c r="D1004" s="3" t="s">
        <v>18</v>
      </c>
      <c r="E1004" s="3" t="s">
        <v>21</v>
      </c>
      <c r="F1004" s="3">
        <f>IF(D1004="Urban",1,0)</f>
        <v>1</v>
      </c>
      <c r="G1004" s="3">
        <v>3406</v>
      </c>
      <c r="H1004" s="3">
        <v>4</v>
      </c>
      <c r="I1004" s="3">
        <v>59520</v>
      </c>
      <c r="J1004" s="3">
        <f>IF(E1004="Cold",1,0)</f>
        <v>0</v>
      </c>
      <c r="K1004" s="3">
        <f>IF(E1004="Hot",1,0)</f>
        <v>1</v>
      </c>
      <c r="L1004" s="3">
        <v>1670</v>
      </c>
      <c r="M1004" s="3">
        <v>36</v>
      </c>
      <c r="N1004" s="4">
        <v>45311</v>
      </c>
      <c r="O1004" s="10">
        <v>336914.91350000002</v>
      </c>
      <c r="P1004" s="1">
        <f>$C$3+F1004*$C$4+H1004*$C$6+J1004*$C$8+K1004*$C$9+L1004*$C$10+M1004*$C$11</f>
        <v>352162.94176613918</v>
      </c>
      <c r="Q1004" s="1">
        <f>(O1004-P1004)/O1004</f>
        <v>-4.5257801466064083E-2</v>
      </c>
      <c r="R1004" s="1"/>
      <c r="S1004" s="1"/>
    </row>
    <row r="1005" spans="1:19" x14ac:dyDescent="0.3">
      <c r="A1005" s="2">
        <v>719</v>
      </c>
      <c r="B1005" s="3" t="s">
        <v>28</v>
      </c>
      <c r="C1005" s="3" t="s">
        <v>112</v>
      </c>
      <c r="D1005" s="3" t="s">
        <v>18</v>
      </c>
      <c r="E1005" s="3" t="s">
        <v>15</v>
      </c>
      <c r="F1005" s="3">
        <f>IF(D1005="Urban",1,0)</f>
        <v>1</v>
      </c>
      <c r="G1005" s="3">
        <v>12671</v>
      </c>
      <c r="H1005" s="3">
        <v>6</v>
      </c>
      <c r="I1005" s="3">
        <v>92364</v>
      </c>
      <c r="J1005" s="3">
        <f>IF(E1005="Cold",1,0)</f>
        <v>1</v>
      </c>
      <c r="K1005" s="3">
        <f>IF(E1005="Hot",1,0)</f>
        <v>0</v>
      </c>
      <c r="L1005" s="3">
        <v>1088</v>
      </c>
      <c r="M1005" s="3">
        <v>55</v>
      </c>
      <c r="N1005" s="4">
        <v>43848</v>
      </c>
      <c r="O1005" s="10">
        <v>309899.85940000002</v>
      </c>
      <c r="P1005" s="1">
        <f>$C$3+F1005*$C$4+H1005*$C$6+J1005*$C$8+K1005*$C$9+L1005*$C$10+M1005*$C$11</f>
        <v>324282.2919726937</v>
      </c>
      <c r="Q1005" s="1">
        <f>(O1005-P1005)/O1005</f>
        <v>-4.6409935779059858E-2</v>
      </c>
      <c r="R1005" s="1"/>
      <c r="S1005" s="1"/>
    </row>
    <row r="1006" spans="1:19" x14ac:dyDescent="0.3">
      <c r="A1006" s="2">
        <v>763</v>
      </c>
      <c r="B1006" s="3" t="s">
        <v>44</v>
      </c>
      <c r="C1006" s="3" t="s">
        <v>223</v>
      </c>
      <c r="D1006" s="3" t="s">
        <v>18</v>
      </c>
      <c r="E1006" s="3" t="s">
        <v>23</v>
      </c>
      <c r="F1006" s="3">
        <f>IF(D1006="Urban",1,0)</f>
        <v>1</v>
      </c>
      <c r="G1006" s="3">
        <v>22521</v>
      </c>
      <c r="H1006" s="3">
        <v>1</v>
      </c>
      <c r="I1006" s="3">
        <v>75502</v>
      </c>
      <c r="J1006" s="3">
        <f>IF(E1006="Cold",1,0)</f>
        <v>0</v>
      </c>
      <c r="K1006" s="3">
        <f>IF(E1006="Hot",1,0)</f>
        <v>0</v>
      </c>
      <c r="L1006" s="3">
        <v>1572</v>
      </c>
      <c r="M1006" s="3">
        <v>52</v>
      </c>
      <c r="N1006" s="4">
        <v>45400</v>
      </c>
      <c r="O1006" s="10">
        <v>340511.93790000002</v>
      </c>
      <c r="P1006" s="1">
        <f>$C$3+F1006*$C$4+H1006*$C$6+J1006*$C$8+K1006*$C$9+L1006*$C$10+M1006*$C$11</f>
        <v>356704.81293140241</v>
      </c>
      <c r="Q1006" s="1">
        <f>(O1006-P1006)/O1006</f>
        <v>-4.7554500236516938E-2</v>
      </c>
      <c r="R1006" s="1"/>
      <c r="S1006" s="1"/>
    </row>
    <row r="1007" spans="1:19" x14ac:dyDescent="0.3">
      <c r="A1007" s="2">
        <v>324</v>
      </c>
      <c r="B1007" s="3" t="s">
        <v>24</v>
      </c>
      <c r="C1007" s="3" t="s">
        <v>39</v>
      </c>
      <c r="D1007" s="3" t="s">
        <v>14</v>
      </c>
      <c r="E1007" s="3" t="s">
        <v>15</v>
      </c>
      <c r="F1007" s="3">
        <f>IF(D1007="Urban",1,0)</f>
        <v>0</v>
      </c>
      <c r="G1007" s="3">
        <v>13757</v>
      </c>
      <c r="H1007" s="3">
        <v>2</v>
      </c>
      <c r="I1007" s="3">
        <v>58709</v>
      </c>
      <c r="J1007" s="3">
        <f>IF(E1007="Cold",1,0)</f>
        <v>1</v>
      </c>
      <c r="K1007" s="3">
        <f>IF(E1007="Hot",1,0)</f>
        <v>0</v>
      </c>
      <c r="L1007" s="3">
        <v>2856</v>
      </c>
      <c r="M1007" s="3">
        <v>78</v>
      </c>
      <c r="N1007" s="4">
        <v>45397</v>
      </c>
      <c r="O1007" s="10">
        <v>310672.82669999998</v>
      </c>
      <c r="P1007" s="1">
        <f>$C$3+F1007*$C$4+H1007*$C$6+J1007*$C$8+K1007*$C$9+L1007*$C$10+M1007*$C$11</f>
        <v>325737.80910789437</v>
      </c>
      <c r="Q1007" s="1">
        <f>(O1007-P1007)/O1007</f>
        <v>-4.849147113352735E-2</v>
      </c>
      <c r="R1007" s="1"/>
      <c r="S1007" s="1"/>
    </row>
    <row r="1008" spans="1:19" x14ac:dyDescent="0.3">
      <c r="A1008" s="2">
        <v>841</v>
      </c>
      <c r="B1008" s="3" t="s">
        <v>26</v>
      </c>
      <c r="C1008" s="3" t="s">
        <v>64</v>
      </c>
      <c r="D1008" s="3" t="s">
        <v>18</v>
      </c>
      <c r="E1008" s="3" t="s">
        <v>15</v>
      </c>
      <c r="F1008" s="3">
        <f>IF(D1008="Urban",1,0)</f>
        <v>1</v>
      </c>
      <c r="G1008" s="3">
        <v>9277</v>
      </c>
      <c r="H1008" s="3">
        <v>9</v>
      </c>
      <c r="I1008" s="3">
        <v>54295</v>
      </c>
      <c r="J1008" s="3">
        <f>IF(E1008="Cold",1,0)</f>
        <v>1</v>
      </c>
      <c r="K1008" s="3">
        <f>IF(E1008="Hot",1,0)</f>
        <v>0</v>
      </c>
      <c r="L1008" s="3">
        <v>1620</v>
      </c>
      <c r="M1008" s="3">
        <v>37</v>
      </c>
      <c r="N1008" s="4">
        <v>44217</v>
      </c>
      <c r="O1008" s="10">
        <v>311339.35710000002</v>
      </c>
      <c r="P1008" s="1">
        <f>$C$3+F1008*$C$4+H1008*$C$6+J1008*$C$8+K1008*$C$9+L1008*$C$10+M1008*$C$11</f>
        <v>326501.0093837335</v>
      </c>
      <c r="Q1008" s="1">
        <f>(O1008-P1008)/O1008</f>
        <v>-4.8698155045215373E-2</v>
      </c>
      <c r="R1008" s="1"/>
      <c r="S1008" s="1"/>
    </row>
    <row r="1009" spans="1:19" x14ac:dyDescent="0.3">
      <c r="A1009" s="2">
        <v>270</v>
      </c>
      <c r="B1009" s="3" t="s">
        <v>24</v>
      </c>
      <c r="C1009" s="3" t="s">
        <v>154</v>
      </c>
      <c r="D1009" s="3" t="s">
        <v>14</v>
      </c>
      <c r="E1009" s="3" t="s">
        <v>15</v>
      </c>
      <c r="F1009" s="3">
        <f>IF(D1009="Urban",1,0)</f>
        <v>0</v>
      </c>
      <c r="G1009" s="3">
        <v>9738</v>
      </c>
      <c r="H1009" s="3">
        <v>7</v>
      </c>
      <c r="I1009" s="3">
        <v>57354</v>
      </c>
      <c r="J1009" s="3">
        <f>IF(E1009="Cold",1,0)</f>
        <v>1</v>
      </c>
      <c r="K1009" s="3">
        <f>IF(E1009="Hot",1,0)</f>
        <v>0</v>
      </c>
      <c r="L1009" s="3">
        <v>1372</v>
      </c>
      <c r="M1009" s="3">
        <v>83</v>
      </c>
      <c r="N1009" s="4">
        <v>45340</v>
      </c>
      <c r="O1009" s="10">
        <v>279303.43689999997</v>
      </c>
      <c r="P1009" s="1">
        <f>$C$3+F1009*$C$4+H1009*$C$6+J1009*$C$8+K1009*$C$9+L1009*$C$10+M1009*$C$11</f>
        <v>292912.20778595185</v>
      </c>
      <c r="Q1009" s="1">
        <f>(O1009-P1009)/O1009</f>
        <v>-4.8723965007363201E-2</v>
      </c>
      <c r="R1009" s="1"/>
      <c r="S1009" s="1"/>
    </row>
    <row r="1010" spans="1:19" x14ac:dyDescent="0.3">
      <c r="A1010" s="2">
        <v>492</v>
      </c>
      <c r="B1010" s="3" t="s">
        <v>12</v>
      </c>
      <c r="C1010" s="3" t="s">
        <v>140</v>
      </c>
      <c r="D1010" s="3" t="s">
        <v>14</v>
      </c>
      <c r="E1010" s="3" t="s">
        <v>15</v>
      </c>
      <c r="F1010" s="3">
        <f>IF(D1010="Urban",1,0)</f>
        <v>0</v>
      </c>
      <c r="G1010" s="3">
        <v>3713</v>
      </c>
      <c r="H1010" s="3">
        <v>4</v>
      </c>
      <c r="I1010" s="3">
        <v>72452</v>
      </c>
      <c r="J1010" s="3">
        <f>IF(E1010="Cold",1,0)</f>
        <v>1</v>
      </c>
      <c r="K1010" s="3">
        <f>IF(E1010="Hot",1,0)</f>
        <v>0</v>
      </c>
      <c r="L1010" s="3">
        <v>2393</v>
      </c>
      <c r="M1010" s="3">
        <v>45</v>
      </c>
      <c r="N1010" s="4">
        <v>44318</v>
      </c>
      <c r="O1010" s="10">
        <v>288892.98940000002</v>
      </c>
      <c r="P1010" s="1">
        <f>$C$3+F1010*$C$4+H1010*$C$6+J1010*$C$8+K1010*$C$9+L1010*$C$10+M1010*$C$11</f>
        <v>304425.90825232695</v>
      </c>
      <c r="Q1010" s="1">
        <f>(O1010-P1010)/O1010</f>
        <v>-5.3767032853885253E-2</v>
      </c>
      <c r="R1010" s="1"/>
      <c r="S1010" s="1"/>
    </row>
    <row r="1011" spans="1:19" x14ac:dyDescent="0.3">
      <c r="A1011" s="2">
        <v>37</v>
      </c>
      <c r="B1011" s="3" t="s">
        <v>29</v>
      </c>
      <c r="C1011" s="3" t="s">
        <v>59</v>
      </c>
      <c r="D1011" s="3" t="s">
        <v>18</v>
      </c>
      <c r="E1011" s="3" t="s">
        <v>21</v>
      </c>
      <c r="F1011" s="3">
        <f>IF(D1011="Urban",1,0)</f>
        <v>1</v>
      </c>
      <c r="G1011" s="3">
        <v>17415</v>
      </c>
      <c r="H1011" s="3">
        <v>4</v>
      </c>
      <c r="I1011" s="3">
        <v>54743</v>
      </c>
      <c r="J1011" s="3">
        <f>IF(E1011="Cold",1,0)</f>
        <v>0</v>
      </c>
      <c r="K1011" s="3">
        <f>IF(E1011="Hot",1,0)</f>
        <v>1</v>
      </c>
      <c r="L1011" s="3">
        <v>1721</v>
      </c>
      <c r="M1011" s="3">
        <v>93</v>
      </c>
      <c r="N1011" s="4">
        <v>45483</v>
      </c>
      <c r="O1011" s="10">
        <v>351576.92109999998</v>
      </c>
      <c r="P1011" s="1">
        <f>$C$3+F1011*$C$4+H1011*$C$6+J1011*$C$8+K1011*$C$9+L1011*$C$10+M1011*$C$11</f>
        <v>370749.86321735807</v>
      </c>
      <c r="Q1011" s="1">
        <f>(O1011-P1011)/O1011</f>
        <v>-5.4534131698322372E-2</v>
      </c>
      <c r="R1011" s="1"/>
      <c r="S1011" s="1"/>
    </row>
    <row r="1012" spans="1:19" x14ac:dyDescent="0.3">
      <c r="A1012" s="2">
        <v>576</v>
      </c>
      <c r="B1012" s="3" t="s">
        <v>74</v>
      </c>
      <c r="C1012" s="3" t="s">
        <v>75</v>
      </c>
      <c r="D1012" s="3" t="s">
        <v>18</v>
      </c>
      <c r="E1012" s="3" t="s">
        <v>23</v>
      </c>
      <c r="F1012" s="3">
        <f>IF(D1012="Urban",1,0)</f>
        <v>1</v>
      </c>
      <c r="G1012" s="3">
        <v>6181</v>
      </c>
      <c r="H1012" s="3">
        <v>3</v>
      </c>
      <c r="I1012" s="3">
        <v>80379</v>
      </c>
      <c r="J1012" s="3">
        <f>IF(E1012="Cold",1,0)</f>
        <v>0</v>
      </c>
      <c r="K1012" s="3">
        <f>IF(E1012="Hot",1,0)</f>
        <v>0</v>
      </c>
      <c r="L1012" s="3">
        <v>1371</v>
      </c>
      <c r="M1012" s="3">
        <v>95</v>
      </c>
      <c r="N1012" s="4">
        <v>45095</v>
      </c>
      <c r="O1012" s="10">
        <v>343825.72269999998</v>
      </c>
      <c r="P1012" s="1">
        <f>$C$3+F1012*$C$4+H1012*$C$6+J1012*$C$8+K1012*$C$9+L1012*$C$10+M1012*$C$11</f>
        <v>364047.14184333885</v>
      </c>
      <c r="Q1012" s="1">
        <f>(O1012-P1012)/O1012</f>
        <v>-5.8812991025057076E-2</v>
      </c>
      <c r="R1012" s="1"/>
      <c r="S1012" s="1"/>
    </row>
    <row r="1013" spans="1:19" x14ac:dyDescent="0.3">
      <c r="A1013" s="2">
        <v>513</v>
      </c>
      <c r="B1013" s="3" t="s">
        <v>24</v>
      </c>
      <c r="C1013" s="3" t="s">
        <v>97</v>
      </c>
      <c r="D1013" s="3" t="s">
        <v>18</v>
      </c>
      <c r="E1013" s="3" t="s">
        <v>21</v>
      </c>
      <c r="F1013" s="3">
        <f>IF(D1013="Urban",1,0)</f>
        <v>1</v>
      </c>
      <c r="G1013" s="3">
        <v>24978</v>
      </c>
      <c r="H1013" s="3">
        <v>2</v>
      </c>
      <c r="I1013" s="3">
        <v>80543</v>
      </c>
      <c r="J1013" s="3">
        <f>IF(E1013="Cold",1,0)</f>
        <v>0</v>
      </c>
      <c r="K1013" s="3">
        <f>IF(E1013="Hot",1,0)</f>
        <v>1</v>
      </c>
      <c r="L1013" s="3">
        <v>2009</v>
      </c>
      <c r="M1013" s="3">
        <v>32</v>
      </c>
      <c r="N1013" s="4">
        <v>44758</v>
      </c>
      <c r="O1013" s="10">
        <v>337807.98879999999</v>
      </c>
      <c r="P1013" s="1">
        <f>$C$3+F1013*$C$4+H1013*$C$6+J1013*$C$8+K1013*$C$9+L1013*$C$10+M1013*$C$11</f>
        <v>359595.65712548071</v>
      </c>
      <c r="Q1013" s="1">
        <f>(O1013-P1013)/O1013</f>
        <v>-6.4497196774053064E-2</v>
      </c>
      <c r="R1013" s="1"/>
      <c r="S1013" s="1"/>
    </row>
    <row r="1014" spans="1:19" x14ac:dyDescent="0.3">
      <c r="A1014" s="5">
        <v>367</v>
      </c>
      <c r="B1014" s="6" t="s">
        <v>16</v>
      </c>
      <c r="C1014" s="6" t="s">
        <v>87</v>
      </c>
      <c r="D1014" s="6" t="s">
        <v>14</v>
      </c>
      <c r="E1014" s="6" t="s">
        <v>21</v>
      </c>
      <c r="F1014" s="3">
        <f>IF(D1014="Urban",1,0)</f>
        <v>0</v>
      </c>
      <c r="G1014" s="6">
        <v>5438</v>
      </c>
      <c r="H1014" s="6">
        <v>7</v>
      </c>
      <c r="I1014" s="6">
        <v>84562</v>
      </c>
      <c r="J1014" s="3">
        <f>IF(E1014="Cold",1,0)</f>
        <v>0</v>
      </c>
      <c r="K1014" s="3">
        <f>IF(E1014="Hot",1,0)</f>
        <v>1</v>
      </c>
      <c r="L1014" s="6">
        <v>2037</v>
      </c>
      <c r="M1014" s="6">
        <v>60</v>
      </c>
      <c r="N1014" s="7">
        <v>45084</v>
      </c>
      <c r="O1014" s="11">
        <v>292986.15830000001</v>
      </c>
      <c r="P1014" s="1">
        <f>$C$3+F1014*$C$4+H1014*$C$6+J1014*$C$8+K1014*$C$9+L1014*$C$10+M1014*$C$11</f>
        <v>319316.1773464288</v>
      </c>
      <c r="Q1014" s="1">
        <f>(O1014-P1014)/O1014</f>
        <v>-8.9867791704577552E-2</v>
      </c>
      <c r="R1014" s="1"/>
      <c r="S1014" s="1"/>
    </row>
  </sheetData>
  <autoFilter ref="A14:Q1014" xr:uid="{1304BC63-EE72-45AB-9D70-268E1C2C5523}">
    <sortState xmlns:xlrd2="http://schemas.microsoft.com/office/spreadsheetml/2017/richdata2" ref="A15:Q1014">
      <sortCondition descending="1" ref="Q14:Q1014"/>
    </sortState>
  </autoFilter>
  <mergeCells count="3">
    <mergeCell ref="M3:R4"/>
    <mergeCell ref="M5:R5"/>
    <mergeCell ref="M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Linear_regression_raw_data</vt:lpstr>
      <vt:lpstr>Sheet6</vt:lpstr>
      <vt:lpstr>Preprocessing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Nadeem</dc:creator>
  <cp:lastModifiedBy>MOHD  NADEEM</cp:lastModifiedBy>
  <dcterms:created xsi:type="dcterms:W3CDTF">2024-10-17T07:47:26Z</dcterms:created>
  <dcterms:modified xsi:type="dcterms:W3CDTF">2024-10-17T07:47:35Z</dcterms:modified>
</cp:coreProperties>
</file>